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H:\000第九期\2-书-答疑汇总-夏令营手册\"/>
    </mc:Choice>
  </mc:AlternateContent>
  <xr:revisionPtr revIDLastSave="0" documentId="13_ncr:1_{6D3085B6-73C8-4F6C-B259-E8FCF7A05B3F}" xr6:coauthVersionLast="47" xr6:coauthVersionMax="47" xr10:uidLastSave="{00000000-0000-0000-0000-000000000000}"/>
  <bookViews>
    <workbookView xWindow="-103" yWindow="-103" windowWidth="21806" windowHeight="13886" tabRatio="798" xr2:uid="{00000000-000D-0000-FFFF-FFFF00000000}"/>
  </bookViews>
  <sheets>
    <sheet name="从医行第8期夏令营册夏令营部分（2025年）" sheetId="7" r:id="rId1"/>
    <sheet name="从医行第7期夏令营手册夏令营部分（2024年）" sheetId="6" r:id="rId2"/>
    <sheet name="从医行第6期夏令营手册夏令营部分（2023年）" sheetId="4" r:id="rId3"/>
    <sheet name="从医行第5期夏令营手册夏令营部分（2022年）" sheetId="1" r:id="rId4"/>
    <sheet name="从医行第2-4期夏令营手册（2018-2021年）" sheetId="3" r:id="rId5"/>
    <sheet name="Sheet1" sheetId="8"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289" i="7" l="1"/>
  <c r="E277" i="7"/>
  <c r="G276" i="7"/>
  <c r="G271" i="7"/>
  <c r="K208" i="7"/>
  <c r="G205" i="7"/>
  <c r="G199" i="7"/>
  <c r="G196" i="7"/>
  <c r="G193" i="7"/>
  <c r="G79" i="7"/>
  <c r="G76" i="7"/>
  <c r="G253" i="6"/>
  <c r="G251" i="6"/>
  <c r="M245" i="6"/>
  <c r="K245" i="6"/>
  <c r="G245" i="6"/>
  <c r="G228" i="6"/>
  <c r="G225" i="6"/>
  <c r="G221" i="6"/>
  <c r="L218" i="6"/>
  <c r="K218" i="6"/>
  <c r="G218" i="6"/>
  <c r="E218" i="6"/>
  <c r="D218" i="6"/>
  <c r="G213" i="6"/>
  <c r="G210" i="6"/>
  <c r="G205" i="6"/>
  <c r="G204" i="6"/>
  <c r="G198" i="6"/>
  <c r="G197" i="6"/>
  <c r="G192" i="6"/>
  <c r="G191" i="6"/>
  <c r="G189" i="6"/>
  <c r="G186" i="6"/>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<sst xmlns="http://schemas.openxmlformats.org/spreadsheetml/2006/main" count="24346" uniqueCount="9155">
  <si>
    <t>学校名称</t>
  </si>
  <si>
    <t>专业院系</t>
  </si>
  <si>
    <t>成绩要求</t>
  </si>
  <si>
    <t>英语要求</t>
  </si>
  <si>
    <t>夏令营形式</t>
  </si>
  <si>
    <t>活动安排</t>
  </si>
  <si>
    <t>申请时间</t>
  </si>
  <si>
    <t>举办时间</t>
  </si>
  <si>
    <t>招生规模</t>
  </si>
  <si>
    <t>材料准备</t>
  </si>
  <si>
    <t>营员待遇</t>
  </si>
  <si>
    <t>优秀营员效力</t>
  </si>
  <si>
    <t>备注</t>
  </si>
  <si>
    <t>北京大学</t>
  </si>
  <si>
    <t>燕京学堂</t>
  </si>
  <si>
    <t>学习成绩优秀；北京大学本校学生专业（或年级）排名原则上居前40%；其他院校专业或年级排名原则上居前20%；</t>
  </si>
  <si>
    <t>英语水平优秀</t>
  </si>
  <si>
    <t>未说明</t>
  </si>
  <si>
    <t>开放时间：2022年4月2日
截止时间：2022年5月20日中午12:00（北京时间）</t>
  </si>
  <si>
    <t>■ 申请表（在线填写）；
■ 个人陈述（英文，750词以内）；
■ 研究兴趣陈述（英文，1500词以内，不包括引用文献）；
■ 个人简历（英文和中文简历各一份，均两页以内）；
■ 在校成绩单（原件扫描）；
■ 在读证明（原件扫描或学信网学籍在线验证报告）；
■ 学习成绩排名教务证明 (原件扫描)；
■ 学术推荐信2封（推荐人须为所申请方向专业领域内具有副教授（含）以上或具有相当专业技术职称者，可用中文或者英文填写）；
■ 英语成绩分数需满足以下其一：
    雅思* (Academic): 总分不低于7.0分；
    托福* (iBT): 总分不低于100分；
    剑桥英语证书(Advanced): 总分不低于185分；
    大学英语六级: 总分不低于600分；
    英语专四成绩不低于良好。
■ 其他可以展示申请人的证书或材料。
*托福和雅思英语考试成绩须确保有效，请提交2021年9月1日后的考试成绩；目前我们不接受TOEFL MyBest Scores, TOEFL iBT Home Edition, 或IELTS Indicator test。
* 若申请报考雅思，请选择“Yenching Academy of Peking University” 作为成绩接收方；若申请报考托福，请选择燕京学堂的编号C488作为成绩接收方。</t>
  </si>
  <si>
    <t>清华大学</t>
  </si>
  <si>
    <t>苏世民书院</t>
  </si>
  <si>
    <t>申请者须具备较强的英语 语言能力。项目接受雅思(不低于7分)或托福(iBT不低 于100分)成绩。</t>
  </si>
  <si>
    <t>2022年 1 月 1 日：在线申请系统开放
2022年 5 月 20日23:59(北京时间)：在线申请系统关闭</t>
  </si>
  <si>
    <t>2022 年 7 月 3日</t>
  </si>
  <si>
    <t>所有申请材料须为英文。
1.成绩单
2.推荐信
3.短文
4.简历
5.视频
6.学历学位证明</t>
  </si>
  <si>
    <t>上海科技大学</t>
  </si>
  <si>
    <t>生命科学与技术学院</t>
  </si>
  <si>
    <t>专业排名需在前30%；创新型、荣誉型特色学院，以及基地班、卓越班、创新班等除外；有科研成果或潜力的同学以及能达到所在高校推免资格的同学除外</t>
  </si>
  <si>
    <t>线下</t>
  </si>
  <si>
    <t>暑期活动会组织安排营员参观校园，到生命学院、iHuman研究所、免疫化学研究所的课题组，与导师、研究生面对面交流。还会组织参观重大科研设施、学校图书馆、体育馆，入住研究生宿舍、体验用餐、运动等便利的生活设施，营员可以实地感受上科大研究生的学习、生活环境。</t>
  </si>
  <si>
    <t>开始时间：2022年2月28日；申请截止时间：2022年6月19日（含）</t>
  </si>
  <si>
    <t>300人</t>
  </si>
  <si>
    <t>A（必须提供）:
❶本科成绩单（院系或教务处盖章；可提供学校网络截图）
❷英语水平证明材料（四六级证书等）
❸个人简历（中英文均可，无格式要求）
❹有效身份证件正反面
❺学生证（照片、学号页即可）
B（自愿提供）：推荐信（推荐人签名，可电子签名）和获奖证书复印件；
C（自愿提供）：已发表的论文、专利或其他原创性工作成果、其他有参考价值的证明材料。</t>
  </si>
  <si>
    <t>生命学院大学生夏令营等暑期活动将根据参与者的综合表现，择优颁发优秀营员证书。“优秀营员”激励政策： 若优秀营员获得推免资格，且申请我院推免生，学院根据招生规模从高分到低分拟录取，额满为止。 若优秀营员通过公开招考第一志愿报考我院，达到我院复试分数线，则免除公开招考复试。学院根据招生规模从高分到低分确定拟入围名单，额满为止。</t>
  </si>
  <si>
    <t>生命科学学院</t>
  </si>
  <si>
    <t>学习成绩优秀</t>
  </si>
  <si>
    <t>英语水平优秀，需提供相关证明。</t>
  </si>
  <si>
    <t>截止日期为2022年5月10日16点</t>
  </si>
  <si>
    <t>2022年6月10-12日</t>
  </si>
  <si>
    <t>180人左右</t>
  </si>
  <si>
    <t>1、提交报名材料
（1）夏令营申请表（附件下载）1份。
（2）夏令营个人陈述（附件下载）1份。
（3）夏令营专家推荐信（附件下载）3封，需要3位副教授（含）以上职称的专家分别推荐，且密封并在封口骑缝处签字。
（4）成绩单原件
应届本科生需提供本科阶段成绩单（由教务部门盖章）1份，前两年半总评成绩排名证明（附件下载、由教务部门盖章）1份。
往届本科生，应届/往届硕士生需提供历年在校学习成绩单（本科和硕士阶段，由教务部门盖章）1份。
（5）有效的英语证明复印件（如国家英语四、六级考试成绩，或TOEFL、雅思与GRE成绩等，详见第一条“申请资格”）。
（6）最高学历、学位证书的复印件：
a.应届本科毕业生提交所在学校在学证明。
b.应届硕士毕业生提交所在培养单位研究生院或研究生部的证明信。
c.只有学位证书而无毕业证书者，提交学位证书复印件即可。
d.最高学历学位证书在国（境）外院校获得者，须提交由教育部留学服务中心出具的认证报告。
（7）发表学术文章的复印件。
（8）获奖证书复印件各1份。
（9）其他证明材料复印件（如体现自身学术水平的出版物、原创性工作成果等）。
将所有申请材料（除推荐信外）按照以上顺序合并到一个PDF附件报名系统上传。
将所有申请材料一并装入A4大信封，信封正面注明“夏令营申请”。所有材料邮寄至北京大学生命科学学院127教务办公室，邮政编码100871，电话62751845。邮寄材料截止日期为2022年5月11日（以当地邮戳为准，请尽早寄出），过期不再接受申请。材料邮寄只接收EMS快递方式。</t>
  </si>
  <si>
    <t>1、应届硕士毕业生（2023届毕业生），及已获得硕士学位的往届生。要求：
1）具有较强的科研能力，在SCI期刊上已发表一篇以上学术论文（第一作者，影响因子大于等于3）；
2）英语水平优秀，满足以下条件的其中一项：
a. GRE成绩310分（含）以上（2018年9月1日后参加考试）。
b. TOEFL成绩100分（含）以上（2021年9月1日后参加考试）。
c.雅思（A类）成绩6.5分（含）以上（2021年9月1日后参加考试）。
d.国家英语六级考试成绩500分（含）以上。
2、获得本科学士学位满6年（到2023年9月1日）的人员，可按照同等学力身份申请。要求：
1）科研能力优秀，在申请学科、专业或相近研究领域的SCI期刊上已发表两篇以上学术论文（独立第一作者，影响因子须大于等于3）。
2）英语水平优秀，满足以下条件的其中一项：
a. GRE成绩310分（含）以上（2018年9月1日后参加考试）。
b. TOEFL成绩100分（含）以上（2021年9月1日后参加考试）。
c.雅思（A类）成绩6.5分（含）以上（2021年9月1日后参加考试）。
d.国家英语六级考试成绩500分（含）以上。</t>
  </si>
  <si>
    <t>——</t>
  </si>
  <si>
    <t>北京生命科学研究所NIBS</t>
  </si>
  <si>
    <t>研究所招生分2批进行：第一批面试时间大约在6月底7月初，主要针对TIMBR项目的招生；第二批面试时间大约在7月底8月初，主要针对北京协和医学院、北京师范大学和中国农业大学学籍的招生。
第一批面试时被TIMBR项目候补录取的同学，根据个人志愿，可以调剂录取到协和、师大或农大；第二批面试时成绩优秀的学生，可以递补到TIMBR项目。</t>
  </si>
  <si>
    <t>第一批报名材料截止日期为2022年6月20日，邮寄材料截止日期为6月20日（以邮戳为准）。第二批报名材料截止日期为2022年7月20日，邮寄材料截止日期为7月20日（以邮戳为准）。</t>
  </si>
  <si>
    <t>见活动安排</t>
  </si>
  <si>
    <t>A.        报名登记表（网上注册时生成的文件，请打印后签名）。
B.         个人陈述。
C.         在校历年成绩单（盖教务处公章）。
D.        国家英语水平考试六级证书或成绩单复印件。
E.         专家推荐信2份，推荐信必须装入信封密封，骑缝处由推荐人签名。</t>
  </si>
  <si>
    <t>一、学籍分配
北京生命科学研究所目前与清华大学、北京协和医学院、北京师范大学（硕博连读）和中国农业大学等高校联合招收推荐免试直博生。面试后我们会根据同学填报的学籍志愿及面试成绩确定大家的学籍单位。
TIMBR项目：研究所每年通过清华大学招收50名推荐免试直博生，不招收往届本科生和应届、往届硕士生。学籍单位为清华大学。TIMBR项目的学生轮转和定导单位均在北京生命科学研究所。
二、录取后学生研究方向的选择和待遇：
1．    研究方向的选择：
录取学生第一年在学籍单位完成基础课后进入研究所。在所内实验室进行2～3轮轮转培训，每轮时间为2个月。轮转结束后，导师和学生进行双向选择，决定研究方向。
2． 录取后的学生待遇：
A．      第一年确定实验室之前，学生生活补贴为2,750元/月，第一年确定实验室后，学生生活补贴为3,000元/月；第二年为5,000元/月；
中期考核转博后第一年为5,500元/月；第二年为6,000元/月；第三年为6,500元/月。
B．       目前设立有NIBS优秀学生奖学金，奖金额度为1.5~3.5万元/人，每年约奖励6人；每年平均有3名学生获得国家奖学金，奖金额度为每人3万元。</t>
  </si>
  <si>
    <t>北京协和医学院</t>
  </si>
  <si>
    <t>血液病医院</t>
  </si>
  <si>
    <t>学习成绩优异</t>
  </si>
  <si>
    <t>活动中您将走进实验血液学国家重点实验室，了解我国血液学发展历程，聆听专题报告，参与学术交流和科研工作。同时向有志于将来免试推荐或报考我单位研究生的优秀本科生提供深入了解本单位的机会。</t>
  </si>
  <si>
    <t>报名截止2022年6月4日</t>
  </si>
  <si>
    <t>2022年7月初</t>
  </si>
  <si>
    <t>60名</t>
  </si>
  <si>
    <t>请扫描二维码进行网上报名。报名后提交附照片的个人简历一份，成绩单及佐证材料一份，所有材料合成一个PDF文件，文件命名：姓名+学校，发送至邮箱</t>
  </si>
  <si>
    <t>浙江大学</t>
  </si>
  <si>
    <t>基础医学院</t>
  </si>
  <si>
    <t>英语水平良好</t>
  </si>
  <si>
    <t>2022年4月8日-5月31日进行</t>
  </si>
  <si>
    <t>7月中旬</t>
  </si>
  <si>
    <t>300名</t>
  </si>
  <si>
    <t>登录浙江大学基础医学院主页-教育教学板块-暑期夏令营报名系统：http://bms.zju.edu.cn/redir.php?catalog_id=89665&amp;cmd=xx_list暑期学校报名系统注册、填写相关信息</t>
  </si>
  <si>
    <t>西湖大学</t>
  </si>
  <si>
    <t>学习主动性强，理论知识扎实，成绩优秀，专业能力强</t>
  </si>
  <si>
    <t>英语水平优秀，须符合以下条件之一：
（1）大学英语六级成绩达到460分及以上（其中计算机科学与技术专业要求480分及以上）；
（2）托福（TOEFL）成绩达到90分及以上；
（3）雅思（IELTS）成绩达到6.0及以上；
（4）攻读全英文授课学位项目且能获得学位；</t>
  </si>
  <si>
    <t>主要活动包括学术报告、讲席教授面对面、在校博士生交流会、实验室及新校区参观和优秀营员选拔等</t>
  </si>
  <si>
    <t>截止时间2022年6月20日中午12时</t>
  </si>
  <si>
    <t>约300名</t>
  </si>
  <si>
    <t>1.个人陈述：内容涵盖学术科研经历及研究计划，1500字左右（可参考附件模板）；
注意：若申请工学院，个人陈述须用“英文”进行书写；若申请生命科学学院、理学院，意向导师中有外籍导师，个人陈述也须用“英文”进行书写，其他情况，中英文均可。
2.在读证明：须加盖学校教学管理部门或院系公章；报考理学夏令营的应届硕士毕业生需提供本科学历学位证书；境外在读的学生需提供就读学校出具的在读证明（写明预计获得学位时间）；
3.成绩排名：应届本科生须提供官方出具的前三年综合排名，须加盖学校教学管理部门或院系公章；
4.成绩单：高等教育阶段历年在校学习成绩单扫描件，并加盖学校教学管理部门或院系公章；
5.英语水平证明：全国大学英语六级、托福或雅思等成绩单；以攻读全英文授课学位作为英语水平条件者，若就读学校所在国家的官方语言或母语不是英语，须提供全英文授课证明；
6.学术科研成果：体现自身学术水平的代表性学术科研成果；
7.获奖证明：在校期间从事课外科技活动获奖证明或其他各类获奖证明；
（注意：以上需在系统提交相关材料的扫描件）
8.专家推荐信：至少2位报考学科领域内的教授（或相当专业技术职称的专家）或博士生导师出具的推荐信。强烈建议由推荐人在线填写提交；申请人提交仅作为推荐人无法在线填写的备选方案，详见系统内报名须知。</t>
  </si>
  <si>
    <t>优秀营员如获得推免资格或表现特别突出的优秀营员将优先获得西湖大学2023年博士研究生拟录取资格。</t>
  </si>
  <si>
    <t>南方科技大学</t>
  </si>
  <si>
    <t>医学院</t>
  </si>
  <si>
    <t>成绩优秀</t>
  </si>
  <si>
    <t>开营仪式、师生互动、实验室参观、校园及深圳市区游览、推免生面试、科普大咖前沿讲座等，具体安排入营后通知。</t>
  </si>
  <si>
    <t>网上申请截止日期：2022年6月15日</t>
  </si>
  <si>
    <t>2022年7月8日-7月10日</t>
  </si>
  <si>
    <t>（1）个人简历，必须涵盖个人基本信息、学校、专业、英文能力、年级排名（示例：1/100）、科研和获奖情况，社会工作等，语言不限；
（2）截止申请时的成绩单，成绩单必须盖有公章，学院章或者学校教务处章都可以；
（3）其他展现个人学术水平、综合能力的证明材料（包括但不限于英语水平证书、论文首页及奖状证书等）。</t>
  </si>
  <si>
    <t>受疫情影响，具体活动形式可能会有所调整。若政策允许，夏令营将线下举办，届时医学院将为异地学校营员提供夏令营期间在深圳的免费食宿，并给予部分路费补贴。深圳地区高校学生原则上不提供住宿，仅提供免费用餐</t>
  </si>
  <si>
    <t>生物医学前沿创新中心</t>
  </si>
  <si>
    <t>英语水平优秀，需提供相关证明</t>
  </si>
  <si>
    <t>网上申报截止日期为2022年5月10日16点</t>
  </si>
  <si>
    <t>（1）夏令营申请表（附件下载）1份。
　　（2）夏令营个人陈述（附件下载）1份。
　　（3）夏令营专家推荐信（附件下载）3封，需要3位副教授（含）以上职称的专家分别推荐，且密封并在封口骑缝处签字。
　　（4）成绩单原件
　　应届本科生需提供本科阶段成绩单（由教务部门盖章）1份，前两年半总评成绩排名证明（附件下载、由教务部门盖章）1份。
　　往届本科生，应届/往届硕士生需提供历年在校学习成绩单（本科和硕士阶段，由教务部门盖章）1份。
　　（5）有效的英语证明复印件（如国家英语四、六级考试成绩，或TOEFL、雅思与GRE成绩等，详见第一条“申请资格”）。
　　（6）最高学历、学位证书的复印件：
　　a.应届本科毕业生提交所在学校在学证明。
　　b.应届硕士毕业生提交所在培养单位研究生院或研究生部的证明信。
　　c.只有学位证书而无毕业证书者，提交学位证书复印件即可。
　　d.最高学历学位证书在国（境）外院校获得者，须提交由教育部留学服务中心出具的认证报告。
　　（7）发表学术文章的复印件。
　　（8）获奖证书复印件各1份。
　　（9）其他证明材料复印件（如体现自身学术水平的出版物、原创性工作成果等）。
　　将所有申请材料（除推荐信外）按照以上顺序合并到一个PDF附件报名系统上传。
　　将所有申请材料一并装入A4大信封，信封正面注明“夏令营申请”。所有材料邮寄至北京大学生命科学学院127教务办公室，邮政编码100871，电话62751845。邮寄材料截止日期为2022年5月11日（以当地邮戳为准，请尽早寄出），过期不再接受申请。材料邮寄只接收EMS快递方式。</t>
  </si>
  <si>
    <t>1、应届硕士毕业生（2023届毕业生），及已获得硕士学位的往届生。要求：
　　1）具有较强的科研能力，在SCI期刊上已发表一篇以上学术论文（第一作者，影响因子大于等于3）；
　　2）英语水平优秀，满足以下条件的其中一项：
　　a. GRE成绩310分（含）以上（2018年9月1日后参加考试）。
　　b. TOEFL成绩100分（含）以上（2021年9月1日后参加考试）。
　　c.雅思（A类）成绩6.5分（含）以上（2021年9月1日后参加考试）。
　　d.国家英语六级考试成绩500分（含）以上。
2、获得本科学士学位满6年（到2023年9月1日）的人员，可按照同等学力身份申请。要求：
　　1）科研能力优秀，在申请学科、专业或相近研究领域的SCI期刊上已发表两篇以上学术论文（独立第一作者，影响因子须大于等于3）。
　　2）英语水平优秀，满足以下条件的其中一项：
　　a. GRE成绩310分（含）以上（2018年9月1日后参加考试）。
　　b. TOEFL成绩100分（含）以上（2021年9月1日后参加考试）。
　　c.雅思（A类）成绩6.5分（含）以上（2021年9月1日后参加考试）。
　　d.国家英语六级考试成绩500分（含）以上。</t>
  </si>
  <si>
    <t>生命科学与基础医学</t>
  </si>
  <si>
    <t>英语良好</t>
  </si>
  <si>
    <t>线上</t>
  </si>
  <si>
    <t>2022年6月16日16：00前</t>
  </si>
  <si>
    <t>2022年7月4日-7月8日</t>
  </si>
  <si>
    <t>1. 有效身份证明。申请人须提供有效中华人民共和国居民身份证，正反页复印在一页扫描上传。
2. 本人自述（中英文均可）。
3. 成绩单原件（官方出具，本科和硕士阶段，成绩单从档案部门复印加盖档案部门红章视同原件）。
4. 前两年半或前三年总评成绩排名原件（官方出具，2023年应届本科生提交）。
5. 英语4级或6级通过证书或成绩单，或其他外语成绩证明。
6. 学生证（需提供每学期注册章）或在学证明，学信网《教育部学籍在线验证报告》（应届生提交）。
7. 学位证书（往届生提交），学历证书和学信网《教育部学历证书电子注册备案表》（往届生提交）。持国（境）外教育机构学历者，须提交中国教育部留学服务中心出具的学位认证报告原件。
8. 两份由申请攻读学位学科有关的副教授（或相当职称）及以上专家的“专家推荐信”。
9. 如果有在核心刊物或会议上发表学术论文、出版物或取得具有学术水平的工作成果，请提交接收函或证明文件，发表文章仅需提供首页，如要提供学位论文仅需提供题目和中文摘要。
10. 如果在学期间从事课外科技活动中有获奖或突出表现，请提交由学校教务部门出具并加盖公章的证明材料。
11. 其他可证明科研水平和能力的材料。
注：申请人在线邀请两位与申请学科相关的副教授以上职称专家在线填写推荐信。推荐专家按申请服务系统要求，在报名规定的时间内填写、上传专家推荐信，同时请专家协助妥善保存推荐信原件，入选为优秀营员的同学待后续接到通知后再邮寄书面版。</t>
  </si>
  <si>
    <t xml:space="preserve">1. 清华大学相关专业为生物学或者基础医学，不定导师，入学第一年一边学习研究生课程，一边进行轮转。轮转在生命学院、医学院基础医学系、生命科学联合中心和药学院生命科学相关方向的所有实验室中选择进行。轮转结束根据导师和学生双向自愿选择定导，定导在医学院的学生需选择基础医学专业，定导在其他学院的学生选择生物学专业，并按各自学科方向的要求完成博士生培养。
2. 云夏令营“报名服务系统”中需选择意向单位和学科方向意向，欢迎学生了解所有导师的研究方向。最终项目由四方统筹决定。 </t>
  </si>
  <si>
    <t>4+4试点班</t>
  </si>
  <si>
    <t>学生在本科期间修读的生物、化学、物理、数学、逻辑思维及写作能力、人文社会类学科课程必须达到下表中每项的要求，同时总学分需要达到≥70。申请人报名时如未全部完成所规定的必修课程及学分，需在申请材料中提供修学计划，并承诺如获得拟录取资格将在正式录取前完成所有必修课程及提供相关证明材料（网上课程必须包括正规的结课学分证明）</t>
  </si>
  <si>
    <t>通过CET英语6级或相当水平的英语能力考试（包括托福和雅思；考试成绩要求：CET英语6级成绩不低于515分，或托福成绩不低于102分，或雅思成绩不低于7.5分）</t>
  </si>
  <si>
    <t>复试采用笔试+多站式考试+专家面试的形式，重点考察医学预科相关的基础知识、英语能力、沟通交流能力、职业素养等综合素质。受疫情影响，本年度的复试视情况可能采用线上考试的方式进行。复试评分由下述三项内容的得分结果综合评定：
        (1)     笔试：是我校组织的标准化入学考试，主要考查申请人思考问题和解决问题能力。其中，生物学（包括生物化学、分子生物学、细胞生物学、遗传学等）、化学（包括无机化学和有机化学）、及大学基础数理概念占考试内容70%；心理—社会方面基本概念占考试内容15%；阅读理解（重点考察申请人理解、分析、评估、和应用相应理论能力）占考试内容15%。笔试为中英文选择题，共120道。
        (2)     多站式考试：主要考察申请人语言组织能力（包括中英文）、个性心理特征和学医的适应性。
        (3)     专家面试：多专家联合面试，了解申请人基本情况、个性心理特征、对医学职业的理解和学医的适应性。</t>
  </si>
  <si>
    <t>2022年4月22日0:00至5月20日24:00</t>
  </si>
  <si>
    <t>预计2022年6月</t>
  </si>
  <si>
    <t>25名</t>
  </si>
  <si>
    <t xml:space="preserve"> 1.  身份证或护照扫描件，以及证件照电子版；
        2.  学校开具的本科成绩单扫描件，如成绩单上不能体现GPA绩点的，需提供学校开具的成绩在年级排名的证明信扫描件；
        3.  英语CET6级或相当水平的英语能力考试（包括托福和雅思）成绩单扫描件；
        4.  按照申请系统要求填写3名推荐人，包括1名申请人的大学任课教师和2名生物医学相关学科副教授（或相当教职）以上职称的推荐人的信息和联系方式，上传由推荐人出具的推荐信，推荐信需要使用推荐人所在单位的信笺纸，有推荐人的亲笔签名；
        5.  申请人个人简历及其他能佐证具有学习医学能力的相关材料扫描件：如见实习经历、工作经历、课外活动、获奖证书、荣誉证书、发表文章或者出版物等；
        6.  所有申请人需提供具有不少于40小时医院/社区卫生/医生诊所/康复医疗等医疗卫生机构的志愿者服务经历并提供证明和服务单位的评价；
        7.  如既往修读过医学相关的课程（如解剖学、生理学、微生物、免疫学、生物信息等）或参加过相关考试，申请人可在申请资料中详细说明，供评审专家参考；
        8.  申请人报名时如未全部完成《北京协和医学院临床医学试点班入学课程要求》（附件2）所规定的必修课程及学分，需在申请材料中提供修学计划，并承诺如获得拟录取资格将在正式录取前完成所有必修课程及提供相关证明材料。</t>
  </si>
  <si>
    <t>北京脑科学与类脑研究中心</t>
  </si>
  <si>
    <t>学习成绩优秀，本科期间总评成绩排名在年级前20%</t>
  </si>
  <si>
    <t>英语六级450分</t>
  </si>
  <si>
    <t>本次活动内容主要包括邀请北京脑中心的PI进行系统授课、展示北京脑中心的实体实验室、以及多种交流形式</t>
  </si>
  <si>
    <t>2022年4月20日-6月11日</t>
  </si>
  <si>
    <t>夏令营拟在7月开始</t>
  </si>
  <si>
    <t>1. 学生定导之后入住北京脑中心统一安排的公寓。
2. 北京脑中心每年支持学生购买专业相关的书籍，存放于图书馆供同学们借阅。
3. 北京脑中心学生“三助”岗位工作时间和津贴标准参照国内大学相关标准制定。</t>
  </si>
  <si>
    <t>生物学、心理学、物理学、数学、化学、计算机、生物医学工程等相关理工科专业背景</t>
  </si>
  <si>
    <t>中国科学院</t>
  </si>
  <si>
    <t>生物物理研究所</t>
  </si>
  <si>
    <t>具体形式待定，另行通知</t>
  </si>
  <si>
    <t>前沿学术讲座、参观研究所、师生座谈交流等</t>
  </si>
  <si>
    <t>2022年5月18日－6月15日</t>
  </si>
  <si>
    <t>2022年7月上旬</t>
  </si>
  <si>
    <t>进入中国科学院智慧教育系统https://kjxt.ucas.ac.cn/index.php/zh/，点击“大学生夏令营报名（学生）”注册后进入申请系统，选择生物物理研究所“生命科学希望之星大学生夏令营”进行网上报名，填报时请仔细阅读系统首页的“填报说明”和“常见问题解答”。</t>
  </si>
  <si>
    <t>药学院</t>
  </si>
  <si>
    <t>综合考核形式及项目：综合考核由综合笔试和综合面试组成。
综合笔试（仅公开招考）：综合专业笔试。
综合面试：面试小组至少由5位博导组成，每位考生面试约30分钟（推免直博生约20分钟），满分100分。面试重点考查申请人在本学科攻读博士学位的基本素养、学术能力、学术志趣等。面试小组根据学生的综合表现进行百分制打分。</t>
  </si>
  <si>
    <t>2022年8月31日16：00前</t>
  </si>
  <si>
    <t>（1）清华大学2023届本科生推荐免试攻读研究生
1） 有效身份证明，申请人须提供有效中华人民共和国居民身份证，正反页复印在一页扫描上传。
2） 外语水平证明，英语4级或6级通过证书或成绩单，或其他外语成绩证明。
3） 本人自述。
4） 清华大学研究生招生考生诚信承诺书。
5） 《申请攻读推荐免试硕士/博士学位研究生报名登记表》。
6） 两封与报考专业相关的职称为副教授(或相当职称)或以上的专家的推荐信。
7） 如果有在核心刊物或会议上发表学术论文、出版物或取得具有学术水平的工作成果，请提交接收函或证明文件，发表文章仅需提供首页。
8） 如果在学期间从事课外科技活动中有获奖或突出表现，请提交由学校教务部门出具并加盖公章的证明材料。
9）其他可证明科研水平和能力的材料。
（2）外校推荐免试攻读博士学位研究生
1） 有效身份证明，申请人须提供有效中华人民共和国居民身份证，正反页复印在一页扫描上传。
2） 在学证明，并附学信网《教育部学籍在线验证报告》。
3） 本人自述。
4） 外语水平证明，英语4级或6级通过证书或成绩单，或其他外语成绩证明。
5） 本科期间学业成绩单原件（含学业排名证明）。
6） 两封与报考专业相关的职称为副教授(或相当职称)或以上的专家的推荐信。
7） 清华大学研究生招生考生诚信承诺书。
8） 《申请攻读推荐免试硕士/博士学位研究生报名登记表》。
9） 如果有在核心刊物或会议上发表学术论文、出版物或取得具有学术水平的工作成果，请提交接收函或证明文件，发表文章仅需提供首页。
10） 如果在学期间从事课外科技活动中有获奖或突出表现，请提交由学校教务部门出具并加盖公章的证明材料。
11） 其他可证明科研水平和能力的材料。</t>
  </si>
  <si>
    <t>上海高等研究院</t>
  </si>
  <si>
    <t>学习成绩优秀，有出色的科研成果者学习成绩标准可适当放宽</t>
  </si>
  <si>
    <t>英语达到国家四/六级水平（425分以上）</t>
  </si>
  <si>
    <t>2022年4月24日至6月17日</t>
  </si>
  <si>
    <t>2022年7月11日-15日</t>
  </si>
  <si>
    <t>100名左右</t>
  </si>
  <si>
    <t>1、 《中国科学院大学2022年大学生夏令营活动申请表》（从报名系统中下载，并手写签名）
2、 本科成绩单和专业排名证明（加盖教务处公章）
3、 身份证、学生证复印件
4、 英语四/六级成绩单复印件
5、 已发表论文的复印件、各类获奖证书复印件等其他证明材料</t>
  </si>
  <si>
    <t>夏令营期间，高研院研究生处为营员提供免费住宿和餐食，报销单程硬座车费或动车二等座车费（学校所在城市至上海）</t>
  </si>
  <si>
    <t>表现优秀者将有机会通过推荐免试途径成为高研院硕士研究生或直博生</t>
  </si>
  <si>
    <t>生物与化学交叉研究中心</t>
  </si>
  <si>
    <t>学习成绩优秀，985、211或省属重点高校本科期间总评成绩排名在年级（或专业）前50%的学生；</t>
  </si>
  <si>
    <t>2022/06/15前</t>
  </si>
  <si>
    <t>1.《生物与化学交叉研究中心2022年暑期夏令营申请表》 点击下载：生物与化学交叉研究中心2022年暑期夏令营申请表.doc
2. 本科成绩单（需加盖教务处或院系公章）
3. 专业排名证明或其他证明材料（需加盖公章或辅导员签字）
4. 英语四/六级成绩单复印件
5. 身份证复印件
6. 学生证复印件
7. 其他等级证书或校级以上获奖证书复印件
8. 副教授以上职称专家推荐信（需有推荐教师签名）
9. 已发表论文或出版物复印件</t>
  </si>
  <si>
    <t>广州医科大学</t>
  </si>
  <si>
    <t>呼吸疾病国家重点实验室</t>
  </si>
  <si>
    <t>985或双一流高校成绩综合评比排名在本专业前50%，211高校专业前30%，非985双一流或211高校成绩综合评比排名在本专业前20%。</t>
  </si>
  <si>
    <t>英语达到国家六级</t>
  </si>
  <si>
    <t>1、初来实验室：初来乍到，营员相识了解实验室。
2、院士面对面：听钟南山院士授课，悟人生理想与方向。
3、名师话科研：基础与临床研究大咖的学术讲座，启发研究思路。
4、院士大查房：观摩国家呼吸医学中心疑难病会诊。
5、招生与读研：实验室研究生招生、培养政策解读；学长研究生学习生活交流。
6、基地观摩行：实验室基础实验部、临床实验部（国家呼吸医学中心）、实验室产学研基地、广州医科大学校园行、实验室共建单位中国科学院广州生物医药与健康研究院。 
7、走进课题组：研究生导师面对面，了解感兴趣研究方向、交流报考意向。
8、体验大广州：参观黄埔军校、中山纪念堂、珠江等革命教育基地。
9、其他活动：待定。</t>
  </si>
  <si>
    <t>7月中下旬</t>
  </si>
  <si>
    <t>30人左右</t>
  </si>
  <si>
    <t>*申请表（https://pan.baidu.com/s/1OYlZloZ-7BafMYsJyJTpeQ?pwd=52mt）
*本科成绩单和专业排名证明（加盖公章）
*班主任或一名教授书面推荐函（教师签名、教师联系方式）
*其他加分证明材料</t>
  </si>
  <si>
    <t>1. 活动期间由呼吸疾病国家重点实验室安排食宿，并为学员报销往返路费（限火车硬座、硬卧，高铁二等座）。</t>
  </si>
  <si>
    <t>实验室将根据报名的先后顺序、择优录取</t>
  </si>
  <si>
    <t>前沿交叉学科研究院——生物医学跨学科研究中心</t>
  </si>
  <si>
    <t>网上报名系统开放时间为4月29日9:00，网上申报截止时间为6月10日17：00</t>
  </si>
  <si>
    <t>月4日-6日</t>
  </si>
  <si>
    <t>1、北京大学前沿交叉学科研究院2022年夏令营申请表1份（北大模板中填写，见附件一） 2、个人陈述（关于个人学术背景、曾经做过的研究工作以及未来学习和研究的计划、目标等）1份（北大模板中填写，见附件二） 3、专家推荐信3封，需要3位副教授（含）以上职称的专家分别推荐，且密封并在封口骑缝处签字（北大模板中填写，见附件三） 4、应届本科生需提供本科阶段成绩单（由教务部门盖章）1份，前两年半总评成绩排名证明（由教务部门盖章）1份（北大模板中填写，见附件四） 5、往届本科生，应届/往届硕士生需提供历年在校学习成绩单（本科和硕士阶段，由教务部门盖章）1份 6、体现自身英语水平的证明，如国家英语四、六级考试、或TOEFL、雅思与GRE考试等成绩的复印件。 7、学位，学历证书的复印件（往届生提交），境外获得的学位证书须提供教育部留学服务中心出具的《国（境）外学历学位认证书》。 8、其他证明材料（如体现自身学术水平的代表性学术论文或其他原创性工作成果的首页复印件、获奖证书复印件等）</t>
  </si>
  <si>
    <t>专业背景要求：
  1）定量生物学中心、纳米科学与技术研究中心、生物医学跨学科研究中心、生命科学联合中心、大数据科学研究中心、脑科学与类脑研究中心和昌平实验室的申请者应具有生物学、计算机科学、数学、物理、化学、医学、材料、电子等相关理工科专业背景，对交叉学科领域的学术研究有浓厚的兴趣，愿意从事学术研究工作；
  2）科学技术与医学史系申请者可以是全国高校各学科专业（含理工、人文、社科等学科）对科学、技术与医学史及其社会史、文化史、思想史等研究有浓厚兴趣的同学，特别欢迎具有理工科专业背景、愿意从事科学-人文交叉学科研究的同学；
  3）大数据科学研究中心对于申请层次为博士的申请者，在选拔时将侧重于以下2个方向：
a. 机器学习的基础理论和算法（要求学生有比较强的数学或算法背景）
         b. 机器学习的科学应用（物理、化学、材料、生物、力学等，要求学生有相应的科学背景）</t>
  </si>
  <si>
    <t>上海营养与健康研究所</t>
  </si>
  <si>
    <t>根据所在高校关于推荐免试攻读研究生的相关规定，与本系往年的推免生比较下来，确信自己能得到学校的推免生名额</t>
  </si>
  <si>
    <t>取得国家英语(CET) 六级/四级水平证书(425分以上)</t>
  </si>
  <si>
    <t>现场或线上（视后续情况而定）</t>
  </si>
  <si>
    <t>4月20日—6月20日</t>
  </si>
  <si>
    <t>2022年7月4-7月8日</t>
  </si>
  <si>
    <t>100-180人</t>
  </si>
  <si>
    <t>上海营养与健康研究所将提供入选人员在沪期间的食宿。</t>
  </si>
  <si>
    <t>复旦大学</t>
  </si>
  <si>
    <t>附属儿科医院</t>
  </si>
  <si>
    <t>学习成绩优秀，本科阶段总成绩排名在就读专业同年级学生中名列前茅（或在其它方面有突出表现），可达到所在高校推荐免试生要求</t>
  </si>
  <si>
    <t>2022年5月1日10:00-5月31日17:00</t>
  </si>
  <si>
    <t>6月</t>
  </si>
  <si>
    <t>80名</t>
  </si>
  <si>
    <t>1.申请材料封面及申请人基本情况表；2.个人陈述1份（关于个人学术背景、曾经做过的研究工作以及未来学习和研究的计划、目标等）；3.个人生活照1张；4.学校出具的在读证明或学信网学籍在线验证报告；5.代表性学术成果，如发表论文、出版物或其他原创性工作；6.各类获奖证明或荣誉证书。同时，请在报名系统上传：7.本科阶段历年成绩单和专业排名证明，须加盖教务处或院系公章；8.外语水平证明，如CET四级、CET六级、雅思、托福、专业外语成绩等；
49.《考生诚信考核承诺书》（从报考服务系统下载）。申请直博生者还须按报名系统要求，提交正高职称专家推荐信2封。如申请人因疫情等原因不在校内，无法按时提供成绩单、排名证明等材料，可在上传材料中备注并提供佐证材料，待入营后补充提交。申请人务必保证所提交申请材料的真实性和准确性，所提供信息不实的将被取消申请人资格，相关后果由申请人本人承担。</t>
  </si>
  <si>
    <t>夏令营优秀营员评选其他相关要求，参照《复旦大学2022年硕士研究生招生复试录取办法》执行</t>
  </si>
  <si>
    <t>报考临床医学专业学位硕士研究生者除符合专业学位报考的一般条件外，本科就读专业还应符合医师资格考试报名资格规定和住院医师招录的各项要求</t>
  </si>
  <si>
    <t>上海巴斯德研究所</t>
  </si>
  <si>
    <t>根据疫情情况再决定采取线上或线下活动</t>
  </si>
  <si>
    <t>2022/06/24前</t>
  </si>
  <si>
    <t>2022年7月18日至7月23日</t>
  </si>
  <si>
    <t xml:space="preserve">① 英文CV（无固定模板）
② “中国科学院上海巴斯德研究所大学生夏令营申请表” （可以用夏令营申请系统下载表格，也可以单独在本网页下载申请表填写）； 
③ 两封推荐信，推荐人须具有副教授以上职称（非必要，可以不提供）； 推荐信
④ 本科学校教务部门（或院系）出具并加盖公章的大学本科成绩单以及成绩排名证明； 
⑤  获奖证明材料（体现自身学术水平的代表性学术论文的复印件、获奖证书复印件、英语四、六级证书复印件等）。 </t>
  </si>
  <si>
    <t>1、免费提供在上海夏令营期间的食宿； 
2、从所在学校到上海的单程火车票补助（参加推免生面试的营员，报销双程旅费）。</t>
  </si>
  <si>
    <t>主要面向全国“985”、“211”大学生命科学、医学等领域品学兼优的大学三年级学生</t>
  </si>
  <si>
    <t>生命科学学院、遗传工程国家重点实验室</t>
  </si>
  <si>
    <t>7月5日-9日</t>
  </si>
  <si>
    <t>200名</t>
  </si>
  <si>
    <t>1.近期正面免冠彩色证件照片，电子版JPG格式，150×200像素，大小500K以内。
2.本科阶段历年成绩单和排名证明（须加盖教务处或院系公章），JPG或PDF格式。若院系不能出具排名证明，请提供说明。
3.外语水平证明，如CET六级、雅思、托福、专业外语成绩等。
4.其他获奖证明材料（体现自身学术水平的代表性学术论文PDF格式、获奖证书扫描件等）。</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</si>
  <si>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3.评选考核采用网络远程面试方式，通过“腾讯会议”进行。
评选考核时间：网络远程面试与模拟面试时间将另行通知，每位考生的面试时间一般不少于 20 分钟，进行全程录音录像。
4.优秀营员评选小组根据考生的专业综合知识与技能、外国语水平及思想政治素质和品德考核等进行综合评分。考核成绩不合格者，不能评为优秀营员。
5.评选考核结果将在面试结束5天内，由研究院统一用电子邮件方式通知考生。
6.夏令营优秀营员评选其他相关要求，参照《复旦大学2022年硕士研究生招生复试录取办法》执行。
推免生拟录取名单以学校公示为准。</t>
  </si>
  <si>
    <t>类脑智能科学与技术研究院</t>
  </si>
  <si>
    <t>学习成绩优秀，本科前3年或前5学期总评成绩排名在该校同年级相关专业（数学、物理、信息、计算机、生物医学工程、神经科学等）前20%之内 (在科研方面有突出表现的学生可不受此约束)，并能达到所在高校推荐免试资格要求。</t>
  </si>
  <si>
    <t>2022年6月下旬至7月初</t>
  </si>
  <si>
    <t>代谢与整合生物学研究院</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</si>
  <si>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 《考生诚信考核承诺书》（从服务系统下载）。
6. 报名直博生，根据报考系统要求填写提交。</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</si>
  <si>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3.评选考核采用网络远程面试方式，通过“腾讯会议”进行。评选考核时间：网络远程面试与模拟面试时间将另行通知。每位考生的面试时间一般不少于 20 分钟，进行全程录音录像。
4.评选考核成绩中，专业知识面试成绩占90%，外国语面试成绩占10%。按照总成绩由高到低排名。评选考核成绩不合格者，不能评为优秀营员。
5.评选考核结果可在考核5天后，通过我校研究生报考服务系统查询。
6.夏令营优秀营员评选其他相关要求，参照《复旦大学2022年硕士研究生招生复试录取办法》执行。
推免生拟录取名单以学校公示为准。</t>
  </si>
  <si>
    <t>人类表型组研究院</t>
  </si>
  <si>
    <t>英文水平良好</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</si>
  <si>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5.其他需要补充的相关材料。</t>
  </si>
  <si>
    <t>学习成绩优秀。本科阶段前4（或3）年总成绩排名在该校同年级本专业名列前茅（在其它方面有突出表现者可适当放宽要求），达到所在高校推荐免试生要求</t>
  </si>
  <si>
    <t>2022年5月1日 10:00-5月31日17:00</t>
  </si>
  <si>
    <t>2022年 6月29日-2022年 7月1日</t>
  </si>
  <si>
    <t>200-250名</t>
  </si>
  <si>
    <t>1.近期正面免冠彩色证件照片，电子版JPG格式，150×200像素，大小500K以内。
2.本科阶段历年成绩单和专业排名证明（均须由教务部门盖章）各1份，JPG或PDF格式。
3.外语水平证明，如CET四级、CET六级、雅思、托福、专业外语成绩等;
4.有关获奖证书和学术科研成果，如发表论文、出版物或其他原创性工作;
5.院系要求上传的其他材料。正高级职称专家撰写的“申请复旦大学优秀大学生夏令营导师推荐信”2份。</t>
  </si>
  <si>
    <t>公共卫生学院</t>
  </si>
  <si>
    <t>学习成绩优秀，本科期间总评成绩排名在该校同年级本专业前列（在其他方面有突出表现的学生除外）</t>
  </si>
  <si>
    <t>2022年 6月27日-2022年 6月29日</t>
  </si>
  <si>
    <t>250名</t>
  </si>
  <si>
    <t>1. 近期正面免冠彩色证件照片，电子版JPG格式，150×200像素，大小500K以内。
2. 个人简历及陈述1份。
3. 专家推荐信2份。
4. 本科阶段成绩单和专业排名证明（均须由教务部门盖章）各1份。
5. 外语水平证明，如CET四级、CET六级、雅思、托福、专业外语成绩等;
6. 有关获奖证书和学术科研成果，如发表论文、出版物或其他原创性工作;</t>
  </si>
  <si>
    <t>学习成绩优秀，本科前3年总评成绩（绩点）排名靠前</t>
  </si>
  <si>
    <t>英语水平良好，达到国家四级水平（550分以上）或六级水平（500分以上），托福成绩90分以上（含90分）或雅思成绩6.0分以上（含6.0分）。在科研方面有突出表现者可适当放宽条件</t>
  </si>
  <si>
    <t>110名</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</si>
  <si>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5.个人陈述1份（格式不限）；
6.《复旦大学全国优秀大学生夏令营专家推荐信》2封（仅报考直博生需提供2名所报考学科专业领域除报考导师本人外的正高级职务专家或相当专业技术职务专家的推荐意见），请在系统中输入推荐人的邮箱，系统将自动发送推荐信撰写链接至推荐人邮箱。</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</si>
  <si>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2.评选考核内容包括所报考专业的综合知识与技能、外国语水平及思想政治素质和品德考核等。具体要求如下：
（1）专业知识与技能考核
着重考核营员应用专业知识分析和解决实际问题的能力或实验技能等。
（2）外语水平考核
按照《复旦大学研究生入学考试英语口试实施办法》，测试营员外语口语主要包括即兴叙述或描述、专业问题讨论等内容，时间为每位营员约5分钟，主要考核营员口语会话的准确性、连贯性和得体性等。
（3）除专业知识与技能、外语水平的考核之外，还需加强对营员的思想政治品质和专业水平进行全面考核，以及对营员本科阶段学习成绩、科研活动以及工作业绩的考察，尤其是要对营员创新能力、科学研究潜质的考察，将作为评选优秀营员的重要依据之一。
3.评选考核采用网络远程面试方式，通过“腾讯会议”进行。
网络远程面试与模拟面试时间将另行通知。每位考生的面试时间一般不少于 20 分钟，进行全程录音录像。
4.评选考核成绩中，专业知识面试成绩占90%，外国语面试成绩占10%。按照总成绩由高到低排名。评选考核成绩不合格者，不能评为优秀营员。
5.评选考核结果将在面试后10个工作日内，通过复旦大学研究生报考服务系统发布。
6.夏令营优秀营员评选其他相关要求，参照《复旦大学2022年硕士研究生招生复试录取办法》执行。
推免生拟录取名单以学校公示为准。</t>
  </si>
  <si>
    <t>放射医学研究所</t>
  </si>
  <si>
    <t>CET四级或CET六级成绩不低于425分</t>
  </si>
  <si>
    <t>初拟5月下旬召开线上宣讲会和线上答疑咨询会各1次，7月上旬开展优秀营员评审</t>
  </si>
  <si>
    <t>20名</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</si>
  <si>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4.有关获奖证书和学术科研成果，如发表论文、出版物或其他原创性工作等。
5.副高级职称以上专家撰写的推荐信2封。</t>
  </si>
  <si>
    <t>优秀营员评选实施细则
1.研究所成立一个优秀营员评选小组，选派责任心强、教学经验丰富、学术及外语水平较高的人员参与评选工作，评选小组成员不少于5人。
2.评选考核内容包括放射医学与防护专业的综合知识与技能、外国语水平及思想政治素质和品德考核等。
3.评选考核采用网络远程面试方式，通过“腾讯会议”进行。
评选考核时间：“网络远程面试与模拟面试时间将另行通知。每位考生的面试时间一般不少于20分钟，进行全程录音录像。
4.评选考核成绩中，专业知识面试成绩占60%，外国语面试成绩占40%。按照总成绩由高到低排名。评选考核成绩不合格者，不能评为优秀营员。
5.评选考核结果可在考核5天后，通过我校研究生报考服务系统查询。
6.夏令营优秀营员评选其他相关要求，参照《复旦大学2022年硕士研究生招生复试录取办法》执行。
推免生拟录取名单以学校公示为准。</t>
  </si>
  <si>
    <t>生物医学研究院</t>
  </si>
  <si>
    <t>学习成绩优秀，总成绩排名在学校同年级同专业中名列前茅</t>
  </si>
  <si>
    <t>100名</t>
  </si>
  <si>
    <t>1.近期正面免冠彩色证件照片，电子版JPG格式，150×200像素，大小500K以内。2.本科阶段历年成绩单（须加盖教务处或院系公章），JPG或PDF格式。3.外语水平证明，如CET四级、CET六级、雅思、托福、专业外语成绩等。4.有关获奖证书和学术科研成果，如发表论文、出版物或其他原创性工作。5.报考直博生的同学按报名系统要求提供推荐专家信息。</t>
  </si>
  <si>
    <t>脑科学研究院</t>
  </si>
  <si>
    <t>1.近期正面免冠彩色证件照片，电子版JPG格式，150×200像素，大小500K以内。2.本科阶段历年成绩单（须加盖教务处或院系公章），JPG或PDF格式。3.外语水平证明，如CET四级、CET六级、雅思、托福、专业外语成绩等。4.有关获奖证书和学术科研成果，如发表论文、出版物或其他原创性工作。5.个人简历（一页A4纸以内）。6.两封正高级专家推荐信。7.学信网学籍认证报告（须在有效期内）。</t>
  </si>
  <si>
    <t>脑科学转化研究院</t>
  </si>
  <si>
    <t>5月1日10:00——5月31日17:00</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</si>
  <si>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 《考生诚信考核承诺书》（从报考服务系统下载）。
6.个人简历（一页A4纸以内）。
7.两封副高级以上专家推荐信（报考直博生的同学按报名系统要求提供专家推荐信）。</t>
  </si>
  <si>
    <t>优秀营员评选实施细则
1. 研究院根据夏令营活动安排成立（若干）优秀营员评选小组，选派责任心强、教学经验丰富、学术及外语水平较高的人员参与评选工作，每个小组成员一般不少于5人。
2.评选考核内容包括所报考专业的综合知识与技能、外国语水平及思想政治素质和品德考核等。
3.根据当前疫情形势，评选考核暂定采用网络远程面试方式。每位考生的面试时间一般不少于 20 分钟，进行全程录音录像。
具体形式将根据当时疫情形势确定是否改为线下，如有变动届时将提前通过邮件通知。
4.评选考核成绩中，专业知识面试成绩占70%，外国语面试成绩占30%。按照总成绩由高到低排名。评选考核成绩不合格者，不能评为优秀营员。
5.评选考核结果可在考核10天后，通过我校研究生报考服务系统查询。
6.夏令营优秀营员评选其他相关要求，参照《复旦大学2022年硕士研究生招生复试录取办法》执行。
推免生拟录取名单以学校公示为准。</t>
  </si>
  <si>
    <t>万科公共卫生与健康学院</t>
  </si>
  <si>
    <t>本科期间总评成绩在该校同年级本专业表现优异，预计能获得推免资格</t>
  </si>
  <si>
    <t>线上/线下形式待定，时间如有调整，请以入营通知为准</t>
  </si>
  <si>
    <t>活动期间，学院将安排精彩的学术讲座、师生互动、校园参观等活动（线下活动具体时间将根据疫情确定），增进同学们对清华大学卫健学院的了解，帮助有志于从事公共卫生与健康领域工作和研究的同学选择未来学科方向。</t>
  </si>
  <si>
    <t>2022年6月15日前</t>
  </si>
  <si>
    <t>2022年7月7日-9日</t>
  </si>
  <si>
    <t>1.“清华大学卫健学院2022年全国优秀大学生暑期夏令营”报名登记表1份。（系统中填写：https://xlybm.yjszsfw.com）
2. 个人陈述1份：介绍本人专业背景、申请动机、从事过的研究工作以及攻读研究生阶段的学习和研究计划等(1000字以内)。
3. 加盖院系或学校教务部门公章的成绩单1份。
4. 院系教务部门出具的成绩综合排名证明(须需盖学校或院系教务部门公章)。
5. 其它材料：能体现自身学术水平的学术论文、出版物等，及获奖证书扫描件（不局限于学术，包括思想品德和社会活动等）。</t>
  </si>
  <si>
    <t>如最终确定为线下形式，入选的营员食宿自理，我院将给予每位营员全额铁路交通补贴（京外学生）与适当食宿补贴（全体学生）</t>
  </si>
  <si>
    <t>脑科学与智能技术卓越创新中心</t>
  </si>
  <si>
    <t>学习成绩优秀，本科期间总评成绩排名在本年级前20%之内；对有科研实践经历学生的学习成绩标准可适当放宽</t>
  </si>
  <si>
    <t>英语达到国家四/六级水平（450分以上）</t>
  </si>
  <si>
    <t xml:space="preserve">暑期学校通过开设课程，讲述和介绍脑科学与智能技术基本知识和学科发展。通过深入实验室及技术平台等，感受脑科学与智能技术的魅力所在。同学们将与研究生和导师座谈、联欢，听取他们对科学事业的理解和不懈追求，了解科学前沿的最新动态，同时将参观上海地标性景观，感受上海国际大都市的精彩生活。 </t>
  </si>
  <si>
    <t>2022年4月28日 — 2022年6月20日</t>
  </si>
  <si>
    <t>2022年7月4日 — 7月13日</t>
  </si>
  <si>
    <t>100人</t>
  </si>
  <si>
    <t>推荐信（推荐信需要有推荐教师的签名）上传至申请表中指定位置，并将学生证复印件、身份证正反面复印件、本科成绩单、四六级成绩单、各类证书、奖状扫描件、其他材料</t>
  </si>
  <si>
    <t>我们将为入选暑期学校学习的学生提供来程车费（动车/高铁二等座标准）及在沪期间的食宿</t>
  </si>
  <si>
    <t>数字医学研究中心</t>
  </si>
  <si>
    <t>昌平实验室</t>
  </si>
  <si>
    <t>2022年6月25日-6月26日</t>
  </si>
  <si>
    <t>150人</t>
  </si>
  <si>
    <t>(1)网报信息真实承诺书1份。
(2)夏令营申请表1份。
(3）夏令营个人陈述1份。
(4）夏令营专家推荐信3封，需要3位副教授(含)以上职称的专家分别推荐，且密封并在封口骑缝处签字。
(5)成绩单原件及成绩排名证明
本科阶段成绩单（由教务部门盖章)1份,前两年半总评成绩排名证明（由教务部门盖章)1份。
(6）有效的英语证明复印件（如国家英语六级考试成绩,或TOEFL、雅思与GRE成绩等)。
(7）在学证明。
(8)发表学术文章的复印件。
(9)获奖证书复印件各1份。
(10）其他证明材料复印件（如体现自身学术水平的出版物、原创性工作成果等)。</t>
  </si>
  <si>
    <t>北京大学&amp;清华大学</t>
  </si>
  <si>
    <t>北大-清华-北京生科所 Peking-Tsinghua-NIBS(PTN)项目</t>
  </si>
  <si>
    <t>6月20日17：00</t>
  </si>
  <si>
    <t>2022年7月13日-14日</t>
  </si>
  <si>
    <t>1) PTN项目申请表（学生网上信息采集系统生成并打印）
2) 本人自述（中英文均可）
3) 历年在校学习成绩单，并加盖学校教务处或院系公章，密封后在该信封的封口处加盖公章（本科和硕士阶段）
4) 在校本科生需提供官方出具的前两年半成绩排名（加盖学校教务处或院系公章后）
5) 外语水平证明复印件。以下证明选择一种。复试时携带原件审核。
①国家英语四级考试成绩500分（含）以上，或国家英语六级考试成绩470（含）以上；
②GRE 成绩300分(含)以上（2018年9月1日后参加考试）；
③TOEFL成绩95分(含)以上（2021年9月1日后参加考试）；
④雅思（A类）成绩6.0分(含)以上（2021年9月1日后参加考试）；
⑤以第一作者或者并列第一作者在报考学科、专业或相近研究领域的期刊或会议发表（含已录用）的英文学术论文；
⑥在英语国家或地区使用英语撰写学位论文并已获得学位；
⑦可证明英语能力达到相当于前述要求的成绩证明（如北京大学博士研究生英语水平考试（PKU-GATE）成绩60分及以上（2015年12月-2019年1月参加考试））；
6) 如果有在核心刊物或会议上发表的学术论文、出版物或取得具有学术水平的工作成果，请提交复印件或证明信。
7) 如果在学期间从事课外科技活动中有获奖或突出表现，请提交由学校教务部门出具并加盖公章的证明材料。
8) 学位、学历证书的复印件（往届生提交）。如持境外获得的学历学位证书，须提交教育部留学服务中心提供的学历学位认证证明。
9) 提供两份由申请攻读学位学科有关的副教授（或相当职称）以上专家的“专家推荐信”（下载空表请专家填写并签字），推荐信须由推荐专家密封并在封口处签字。</t>
  </si>
  <si>
    <t>3. 在国（境）外院校取得学位者，还须在录取当年入学前取得教育部留学服务中心出具的《国（境）外学历学位认证书》。
注： = 1 \* GB3 ①申请者须承诺学历、学位证书和其他申请材料的真实性，一经选拔单位或认证部门查证为不属实，即取消报名及入选资格。
= 2 \* GB3 ②申请者报名前应仔细核对本人是否符合申请条件，凡不符合申请条件的学生将不予入选，相关后果由学生本人承担。</t>
  </si>
  <si>
    <t>南开大学</t>
  </si>
  <si>
    <t>英语水平良好，符合以下任意一条：
（1）通过全国大学英语六级考试,成绩425分或更高；
（2）TOEFL成绩90分及以上；
（3）IELTS（A类/学术类）成绩6分及以上；
（4）GRE成绩在310以上，GMAT成绩在640以上；
（5）英语专业四级（及以上）考试合格。</t>
  </si>
  <si>
    <t>截止时间为2022年6月10日</t>
  </si>
  <si>
    <t>2022年7月上中旬</t>
  </si>
  <si>
    <t>（1）《南开大学2022年推荐免试研究生报名信息表》（进行网上报名并确认后生成此表，按照系统提示打印此表，本人签字）；
（2）个人简历
（3）加盖教务处公章的本科学习成绩单和专业排名证明；
（4）副教授及以上级别的专家推荐信2封（附件下载，需专家亲笔签字）；
（5）其他证明材料，包括：科研成果（发表论文等，论文仅提供首页即可）、毕业论文摘要、英语四六级成绩单、其他考生认为需要展示的材料。</t>
  </si>
  <si>
    <t>若夏令营确定为线下举办，我院为所有参营营员提供以下保障：
1、夏令营不收取任何费用，统一安排夏令营期间营员食宿。
2、学院将为入选营员统一购买夏令营活动期间的团体意外保险。</t>
  </si>
  <si>
    <t>申请项目
1、直博生项目，学制五年；
2、科学学位硕士项目，学制三年（可申请专业：100701药物化学、100703生药学、100705微生物与生化药学）；
3、专业学位硕士项目，学制三年（可申请专业086002制药工程）。
注：优秀营员在研究生入学后，在符合条件的情况下可享受校院两级的研究生新生奖学金</t>
  </si>
  <si>
    <t>武汉病毒研究所</t>
  </si>
  <si>
    <t>学习成绩优秀，本科期间总评成绩排名在本专业前50%之内；对有出色的科研成果者学习成绩标准可适当放宽</t>
  </si>
  <si>
    <t>具备一定的英语水平和语言使用能力</t>
  </si>
  <si>
    <t>活动设有研究所参观，聆听科研讲座，与专家、导师面对面交流，了解湖北省及武汉市历史楚文化等一系列环节，让学生能够对武汉病毒所和武汉有更加全面的认识，同时对有意攻读研究生学位的同学进行考研指导。夏令营将筛选优秀营员作为2023年度推荐免试研究生的部分生源。在遵守疫情防控要求的前提下，本年度夏令营计划采取线下活动的形式进行，如受疫情影响需调整活动形式，会提前告知。</t>
  </si>
  <si>
    <t>2022/06/19前</t>
  </si>
  <si>
    <t>7月下旬</t>
  </si>
  <si>
    <t>120人</t>
  </si>
  <si>
    <t>本次夏令营我所将为所有营员提供在营期间免费食宿（其中武汉本地高校来所营员不提供住宿，但提供一定额度的每日来所交通补贴），外地营员报销来所单程路费（动车二等座）。</t>
  </si>
  <si>
    <t>1、参加夏令营的学生必须征得学校同意，并告知家长，营员必须遵守我所的相关规定，按照统一的安排进行工作和活动。如自愿提前或延后，所需费用自理。
2、夏令营期间外地营员由我所研究生处安排食宿，报销单程路费（实报实销高校所在城市至武汉的动车二等座或相当于动车二等座票价，如乘坐飞机前往武汉，请提交行程单和登机牌作为报销凭证，按照动车二等座票价进行报销，市内车费不予报销）。
3、学员须携带相关证件，如学生证、身份证等，准备好活动期间的换洗衣物和雨伞等生活用品。
4、请各位同学提前购买往返车票，以免影响回家。</t>
  </si>
  <si>
    <t>生物医学工程系</t>
  </si>
  <si>
    <t>学业成绩优秀</t>
  </si>
  <si>
    <t>开营仪式、院系介绍、师生互动、实验室参观、学术交流、营员个人展示、闭营仪式等。</t>
  </si>
  <si>
    <t>2022年6月底至7月初期间</t>
  </si>
  <si>
    <t>夏令营暂定以线下方式举行（最终形式将根据国家疫情防控要求调整），南科大将为异地学校营员提供夏令营期间在深圳的免费食宿，并给予部分路费补贴（请根据届时发布的报销指南保留好一切票据）。深圳地区高校学生原则上不提供住宿，仅提供免费用餐。</t>
  </si>
  <si>
    <t>1.应届生可以暂不提供大四下学期成绩单吗？
同学可以根据情况提供成绩单，但是需要于入学前补交完整成绩单。
2.夏令营报名开始及截止日期？
即日起已经开放报名通道，有意向同学请尽快报名。我系将根据学校通知及具体报名情况公布报名截止日期。</t>
  </si>
  <si>
    <t>脑科学与脑医学学院</t>
  </si>
  <si>
    <t>学习成绩优秀，满足“免试推荐”研究生标准</t>
  </si>
  <si>
    <t>英语水平优良</t>
  </si>
  <si>
    <t>2022年4月23日-6月5日</t>
  </si>
  <si>
    <t>成绩优秀，功底扎实</t>
  </si>
  <si>
    <t>英语水平良好并符合以下任一项：通过全国大学英语六级考试，成绩425分或更高；TOEFL成绩90分及以上；IELTS（A类/学术类）成绩6分及以上；GRE成绩在310以上，GMAT成绩在640以上；英语专业四级（及以上）考试合格</t>
  </si>
  <si>
    <t>活动内容包括开营仪式、学院和学科介绍、百年生科名家讲座、师生交流、个人风采展示等环节</t>
  </si>
  <si>
    <t>2022年6月15日（周三）中午12：00前</t>
  </si>
  <si>
    <t>①《南开大学2023年推荐免试研究生报名信息表》（进行网上报名并确认后生成此表，按照系统提示打印此表，本人签字）；
② 加盖教务处公章的本科学习成绩单和专业排名证明；
③《南开大学生命科学学院2022年夏令营申请表》（附件下载）；
④ 副教授及以上级别的专家推荐信2封（附件下载，需专家亲笔签字或电子签名）；
⑤ 其他证明材料，包括：国家英语四、六级考试成绩或其他英语水平的证明复印件；获奖证书或科研成果证明复印件；本人代表性学术论文、出版物或原创性成果等。</t>
  </si>
  <si>
    <t>湖南师范大学</t>
  </si>
  <si>
    <t>具有良好的英语听说读写能力</t>
  </si>
  <si>
    <t xml:space="preserve">
时 间	                                事 宜	                                                                        线上平台	                        备注
6月17日（周五）	营员报到、参访生命科学学院实验楼	QQ群会议、抖音平台等	具体详情待营员择定后另行通知
6月18日（周六）	开幕式、系列讲座等	腾讯会议、QQ群会议等
6月19日（周日）	营员面试、优秀营员评选、闭幕式	腾讯会议、QQ群会议等</t>
  </si>
  <si>
    <t>2022年5月9日-5月31日</t>
  </si>
  <si>
    <t>6月17日—19日</t>
  </si>
  <si>
    <t>1.《夏令营申请表》（不需加盖公章）；
2.《申请人信息汇总表》；
3.本人有效二代身份证和学生证；
4.在校历年学习成绩单（需加盖公章）；
5.大学英语四级或六级考试成绩单；
6.学术成果电子版（包括公开发表论文、出版著作、获得专利、获得学术科技奖项、承担课题或者其他具有学术水平的工作成果等）；
7.各类荣誉、表彰、奖励证书者电子版。</t>
  </si>
  <si>
    <t>1. 所有合格营员将被授予“湖南师范大学生命科学学院2022年度优秀大学生夏令营活动”证书，其中优秀营员还将获得“湖南师范大学生命科学学院2022年度优秀大学生夏令营优秀营员”证书。
2. 凡获得推免保送攻读研究生资格的营员，参加本次夏令营合格后，可录取为我院2023年度研究生。生物学专业推免生可根据自己意愿选择研究方向和导师，在第一年评定奖学金时，同等条件下优先推荐一等奖学金，同等条件下优先获得湖南师范大学生命科学学院“长沙妇幼生命科学奖学金”中对推免生的奖励。
3. 未取得2023年推荐免试攻读研究生资格的优秀营员，参加2023年全国硕士研究生招生考试，第一志愿报考湖南师范大学生命科学学院且入围复试，同等条件下优先录取。
4.读研期间的各种奖助学金：
研究生国家助学金：
博士 1.3万元/年、硕士0.6万元/年
研究生国家奖学金 博士 3万元、硕士2万元
研究生学业奖学金：
一年级：
博士 0.9万元/年、硕士0.4万元/年
二、三年级博士：
1.6万元/年（一等）、1.2万元/年（二等）、0.9万元/年（三等）
二、三年级硕士：
1.0万元/年（一等）、0.7万元/年（二等）、0.4万元/年（三等）
长沙妇幼、光琇生命科学奖学金
奖池金额全院共10万元/年
刘筠奖学金
大北农奖学金</t>
  </si>
  <si>
    <t>中国科学技术大学</t>
  </si>
  <si>
    <t>苏州医工所</t>
  </si>
  <si>
    <t>2022/06/25前</t>
  </si>
  <si>
    <t xml:space="preserve">1. 网上报名成功生成的表格打印后本人签字纸质版； 
2. 两封副教授以上授课老师推荐信（见附件）； 
3. 前两年半成绩单（有学校教务部门或所在院系公章）与总成绩排名证明（有学校教务部门或所在院系公章）； 
4. 能体现自身能力的获奖证书复印件、英语水平证明、学术论文等。 </t>
  </si>
  <si>
    <t>上海交通大学</t>
  </si>
  <si>
    <t>上海市免疫学研究所</t>
  </si>
  <si>
    <t>外语水平达到CET6≥440、或TOEFL≥90、或IELTS≥6.0</t>
  </si>
  <si>
    <t>网络直播、腾讯会议</t>
  </si>
  <si>
    <t>6月19日-7月4日</t>
  </si>
  <si>
    <t>2022年7月9日-7月10日</t>
  </si>
  <si>
    <t>（1）《上海交通大学医学院研究生招生夏令营申请表》（报名系统生成）
（2）身份证、学生证复印件各1份
（3）本科期间成绩单复印件1份
（4）其他证明材料复印件（如发表的学术论文、获奖或资格证书、国家英语四、六级等各类英语考试成绩单）各1份
（5）2位副高（含）以上职称的专家推荐信（参考附件1模板；相关附件请点击本文最后“阅读原文”，在原通知下方下载）</t>
  </si>
  <si>
    <t>基础医学院各系根据营员综合素质、科研能力和学术潜质等进行考核，考核评审结束后给予相应的考核等第成绩，具体如下：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</si>
  <si>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生物医学工程学院</t>
  </si>
  <si>
    <t>2022年6月30日前</t>
  </si>
  <si>
    <t>7月份</t>
  </si>
  <si>
    <t>A：必须提供的材料
有效身份证件正反面；
学生证 (照片、学号页即可)；
本科成绩单 (院系或教务处盖章，可提供学校网络截图)；
个人陈述与简历 (中英文均可，字数不限)；
英语水平证明材料 (四六级证书等)。
B：自愿提供的材料
获奖证书扫描件；
其他能证明自身潜力的材料 (如已发表的论文、专利或其他原创性工作成果)。</t>
  </si>
  <si>
    <t>线上钉钉群</t>
  </si>
  <si>
    <t>（1）研究所及各学科、实验室介绍；
（2）线上学术讲座；
（3）师生交流，了解课题内容、学科发展前沿，咨询推免和考研政策。</t>
  </si>
  <si>
    <t>5月16日～6月30日</t>
  </si>
  <si>
    <t>2022年7月20日~7月30日</t>
  </si>
  <si>
    <t>计划招收硕博贯通推免研究生100名、药学专硕统考生80名。 此外，继续招收生物与医药工程硕士推免生20人（新药创制工程项目10人和人工智能药学项目10人）</t>
  </si>
  <si>
    <t>（1）2022年浙江大学药学院大学生学术夏令营申请表；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t>
  </si>
  <si>
    <t>生命科学与医学部</t>
  </si>
  <si>
    <t>2022/06/28前</t>
  </si>
  <si>
    <t>2022年7月中下旬</t>
  </si>
  <si>
    <t>1、网上报名后生成的表格打印后本人签字；
2、专家推荐信2封；
   生命医学夏令营推荐信模版请在夏令营网站中“文件下载”中下载。
3、前两年半成绩单（有学校教务部门公章）与总评成绩排名证明（有学校教务部门或所在院系公章）；
4、能体现自身能力的获奖证书复印件、英语水平证明、学术论文等</t>
  </si>
  <si>
    <t>兰州大学</t>
  </si>
  <si>
    <t>在校前5或7学期学业成绩排名在专业或班级前30%（所有专业课成绩及格）</t>
  </si>
  <si>
    <t xml:space="preserve">  1.开营典礼：主要包括学院介绍、学科专业整体发展情况、导师介绍。
   2.讲座与交流：主要包括知名专家学术报告与专题讲座、与研究生导师面对面自由交流、与在读研究生座谈。
   3.政策宣传:2023年公共卫生学院接收统考研究生和校外推荐免试研究生的有关政策宣传。
   4.文化活动：参观学院和校园，感受学术氛围。</t>
  </si>
  <si>
    <t>2022/06/10前</t>
  </si>
  <si>
    <t>2022年7月9-10日</t>
  </si>
  <si>
    <t>20人</t>
  </si>
  <si>
    <t>（1）兰州大学公共卫生学院2022年优秀大学生暑期夏令营申请表（附件1）
    （2）2封专家亲笔签名推荐信（附件2）
    （3）本科前5或7个学期成绩单（由教务部门盖章），排名专业或班级前30％的证明（由教务部门或院系盖章）
    （4）身份证、学生证复印件
    （5）英语四六级证书复印件
    （6）其他证明材料（如获奖证书、学术论文、TOEFL/IELTS/GRE成绩单等复印件，非必须）</t>
  </si>
  <si>
    <t>1.兰州大学将为营员提供夏令营期间的食宿（本地学校学生不提供住宿）、人身保险费以及异地学校学生往返硬座火车票/汽车票。住宿提供双人标间，原则上要求双人入住。请自行提前预订往返车票，主办方不提供订票服务。</t>
  </si>
  <si>
    <t>获得优秀营员资格者，可优先享受以下政策：
    （1）取得所在学校推免资格的优秀营员，可直接接收为兰州大学公共卫生学院2023年推荐免试硕士研究生；
    （2）部分未取得所在学校推免资格的优秀营员，如第一志愿报考兰州大学，参加2023年全国硕士研究生统一入学考试，初试成绩达到我院报考专业“学院复试分数线”，参加复试且成绩合格者，同等条件下优先录取。</t>
  </si>
  <si>
    <t>厦门大学</t>
  </si>
  <si>
    <t>学习成绩优秀，对本领域的科学研究有着浓厚兴趣，具有潜在的科研能力，学习成绩排名年级前20%，并能取得所在学校研究生推荐免试资格</t>
  </si>
  <si>
    <t>国家英语四级考试成绩达到425分及以上</t>
  </si>
  <si>
    <t>2022年5月25日-6月10日，6月10日17:30前报名系统关闭</t>
  </si>
  <si>
    <t>2022年7月11日—7月14日</t>
  </si>
  <si>
    <t>50名</t>
  </si>
  <si>
    <t>1. 夏令营申请表（厦门大学大学生夏令营网上报名系统自动生成，网址为：http://dxsxly.xmu.edu.cn）；
2. 个人陈述（主要包括考生本人的政治表现、外语水平、业务和科研能力、研究计划等方面内容）；
3. 成绩单（申请之日所能提供的成绩单，须加盖所在学校教务部门公章）；
4. 成绩排名（所在学院出具）；
5. 专家（教授或副教授）推荐信2份；
6. 其他证明材料（获奖证书、个人代表作品、国家英语四、六级证书和雅思、托福成绩单等证明材料的复印件）。</t>
  </si>
  <si>
    <t>通过我院夏令营考核并且获得推荐免试研究生资格和名额的夏令营营员，可免于参加我校九月份或十月份的推荐免试研究生（含直博生）考试（详情以我校招生办网站上公布的《厦门大学2023年推荐免试研究生（含硕士生、直博生）招生简章》为准）；通过夏令营考核但未获得推荐免试研究生资格和名额的夏令营营员，如果选择以公开招考方式报考厦门大学2023年硕士研究生和2023年博士研究生，成绩达到相应标准，在同等条件下我校将给予优先录取。欢迎全国高校优秀学子和厦大本校优秀学子踊跃报名。</t>
  </si>
  <si>
    <t>注：申请厦门大学健康医疗大数据国家研究院“健康大数据与智能医学”交叉学科的学生专业不限，可以是计算机科学与技术、统计学、临床医学、生物学、管理科学与工程、物理学等相关学科，需具备较强的计算机编程和数学基础（数二及以上），以及建模和定量分析能力。</t>
  </si>
  <si>
    <t>学习成绩优秀（“985”高校生源在本科期间总评成绩排名年级前30%，“211”高校生源在本科期间总评成绩排名年级前20%，省属重点高校生源在本科期间总评成绩排名年级前10%）</t>
  </si>
  <si>
    <t>5月25日—6月15日17:30</t>
  </si>
  <si>
    <t>150名</t>
  </si>
  <si>
    <t>1.夏令营申请表（可通过报名系统生成）
2.个人陈述；
3.成绩单（申请之日所能提供的成绩单，需加盖学校教务部门公章）；
4.成绩排名（所在学院出具）；
5.专家（教授或副教授）推荐信2份；
6.英语四六级水平证书或相关成绩证明复印件（须加盖就读学院公章）；
7.其他证明材料复印件（获奖证书等证明材料）。</t>
  </si>
  <si>
    <t>我院将为营员提供活动期间（线下举办）在厦的食宿费用（统一安排入住校内学生公寓，并提供蚊帐、草席、线毯、枕头、床垫等5件套寝室用具）。通过推免录取为我院研究生的夏令营营员，可于确定录取后凭票报销往返夏令营的路费（以火车硬座票为标准）。</t>
  </si>
  <si>
    <t>通过此次考核并且获得推荐免试研究生资格的夏令营营员，可免予参加我校今年9-10月举行的推荐免试研究生考试；通过此次考核但未获得推荐免试研究生资格和名额的夏令营营员，如果选择以公开招考方式报考厦门大学2023年硕士研究生，成绩达到相应标准，在同等条件下我校将给予优先录取。</t>
  </si>
  <si>
    <t>中山大学</t>
  </si>
  <si>
    <t>来自“双一流”学科或学校，本科总评成绩排名年级前20%或其他高校特别优秀、能获得推免资格的学生</t>
  </si>
  <si>
    <t>具有良好听、说、读、写的英语应用能力，英语六级成绩应达到426分及以上</t>
  </si>
  <si>
    <t>内容包括专业介绍（我院研究生专业包括药理学、药剂学、药物分析学、药物化学、生药学、微生物与生化药学、有机化学、药学硕士（专业学位））、名师讲座等，同时组织拟推免我校药学专业研究生的营员进行提前线上综合评价，综合评价成绩作为中山大学药学院选拔2023年推荐免试硕士的方式之一</t>
  </si>
  <si>
    <t>2022年6月1日开始，6月20日结束</t>
  </si>
  <si>
    <t>7月7日至8日</t>
  </si>
  <si>
    <t>1．中山大学暑期研究生教育教学活动申请表；
2．本科阶段成绩单及同年级总成绩排名（由教务部门或院系盖章）；
3．体现自身英语水平的证明以及其他证明材料（如体现自身学术水平的代表性学术论文或其他原创性工作成果复印件、获奖证书复印件等）；
4．身份证及学生证复印件各一份。</t>
  </si>
  <si>
    <t>英语水平优秀（六级成绩≥425分或新TOEFL≥90分或IELTS≥6.0）</t>
  </si>
  <si>
    <t>2022年5月14日上午10:00至2022年6月19日上午10:00</t>
  </si>
  <si>
    <t>2022年7月11日-7月13日</t>
  </si>
  <si>
    <t>（1）《上海交通大学生物医学工程学院（含Med-X研究院）研究生优才夏令营申请表》（需签字盖章）；
（2）大学期间成绩单（需教务部门盖章）；
（3）英语六级成绩单（扫描件）或其他英语考试成绩证明：如托福，雅思，中、高级口译证书等（扫描件）；
（4）学生证、身份证（正反面，扫描件）；
（5）其他证明材料（如已发表论文的复印件、奖状复印件、各类证书等）。</t>
  </si>
  <si>
    <t xml:space="preserve"> 优才夏令营根据参与者的综合表现，择优颁发优秀营员证书。“优秀营员”如果获得推免资格并申请我院的2023年免试研究生，学院根据招生规模按夏令营综合表现依次录取，额满为止。申请直博生优先。</t>
  </si>
  <si>
    <t>输血研究所</t>
  </si>
  <si>
    <t>学习成绩优秀，在校期间无重修或者补考科目</t>
  </si>
  <si>
    <t>英语水平优良：CET4≥450分。</t>
  </si>
  <si>
    <t>2022年5月18日——2022年6月25日</t>
  </si>
  <si>
    <t>1.个人简历 2.大学期间成绩单（截至2022年6月）和专业排名，须由教务部门盖章； 3.英语四级考试成绩证明； 4.其他证明材料（如体现自身学术水平的代表性学术论文或其他原创性工作成果复印件、获奖证书复印件等）</t>
  </si>
  <si>
    <t>若为线下举行：
◆夏令营期间，我所提供食宿！
◆往返路费（硬座）凭对应车票即可报销！</t>
  </si>
  <si>
    <t>群医学及公共卫生学院</t>
  </si>
  <si>
    <t>本科阶段学习成绩优秀</t>
  </si>
  <si>
    <t>英语水平良好，达到大学英语六级（450分以上）或相当水平，科研潜力突出者可适当放宽</t>
  </si>
  <si>
    <t>师生座谈会、学术活动、学校参观、专题讲座</t>
  </si>
  <si>
    <t>1.填写问卷
2. 协和群公学院2022年夏令营申请表（见附件）；
3. 截止报名时的本科历年成绩单１份（加盖教务部门公章）；
4. 专业总评成绩排名证明材料（加盖教务部门公章）；
5. 大学英语六级考试成绩或TOEFL、 IELTS、 GRE 成绩等体现自身英语水平的证明；
6. 其他有关能力的证明材料（如发表论文、专利，各类获奖证书等）；
7. 专家推荐信2封，需副教授及以上职称专家亲笔签字；</t>
  </si>
  <si>
    <t>本次夏令营活动不收取任何费用，为京外营员提供食宿、往返交通补贴，京内营员住宿、交通费自理</t>
  </si>
  <si>
    <t>生命科学技术学院</t>
  </si>
  <si>
    <t>学业成绩优秀：前三年总评成绩排名前30%</t>
  </si>
  <si>
    <t>英语水平需达到：CET6≥425或TOEFL≥90或IELTS≥6.0</t>
  </si>
  <si>
    <t>2022年6月20日前</t>
  </si>
  <si>
    <t>1. 两封推荐信（推荐信模板下载），并且至少一封推荐信的推荐人职称为副高或副高以上（副高指副教授和副研究员）（必须提供）
2.  本科成绩单（教务部门盖章）（必须提供）
3.  本科成绩排名证明（教务部门盖章）（必须提供）
4．英语六级成绩单或其他英语考试成绩证明：如托福，雅思，中、高级口译证书等（必须提供）
5．学生证（必须提供）
6.  身份证（必须提供）
7.  学籍认证报告（必须提供）
申请人需登录高等教育学生信息咨询网www.chsi.com.cn，进入“学信档案”在线申请学籍验证，打印下载本人的学籍认证报告。如不成功可根据要求申请书面认证，获得“学籍认证报告”。
8. 所获奖励证书 （如有请提供，如没有可不提供）
9. 参与科研课题材料或发表文章（如有请提供，如没有可不提供）
10. 其他申请人想提供的材料（如有请提供，如没有可不提供）</t>
  </si>
  <si>
    <t>“优秀营员”获得所在学校推荐免试研究生资格，并符
合我校推免生招生要求，我院根据招生规模从高分到低分依次直接录取，额满为止（申请直博生优先）。</t>
  </si>
  <si>
    <t>1. 由于报名网站的设置问题，各位同学无法在系统直接报名相应的夏令营。因此请各位同学在进行我校夏令营网上报名时，不论是报考什么专业，不论是直硕还是直博，在夏令营报名阶段，请都选择“推免硕士生”，专业请选择：生物学。
2. 夏令营网站的报名专业和信息仅仅作为区分夏令营分营的依据，不影响推免生正式录取的专业以及直博或直硕的选择，推免生录取将会以教育部网站为准。</t>
  </si>
  <si>
    <t>学习成绩优秀，专业成绩和综合成绩均名列本专业或年段前茅</t>
  </si>
  <si>
    <t>有较高的外语应用水平和能力。全国大学英语四级成绩达500分以上（含500分），或六级成绩达425分以上（含425分）。若申请者无法提供全国大学英语四、六级成绩或成绩不达标，TOEFL、GMAT、GRE或雅思考试成绩达到总分的60%及以上亦可。第一外语为其它语种的，需提供等同全国大学英语四、六级、TOEFL、GMAT、GRE或雅思考试的成绩证明。申请者的本科专业为外语类专业的，其外语水平达到相应的专业外语等级即可。</t>
  </si>
  <si>
    <t>活动内容包括学院介绍、学术讲座、与导师沟通、了解推免与考研政策等。届时将邀请学院各研究方向优秀教师，与同学们进行面对面交流，增加大家对药学院的了解。</t>
  </si>
  <si>
    <t>2022年6月15日17:30前</t>
  </si>
  <si>
    <t>7月上旬</t>
  </si>
  <si>
    <t>1.厦门大学药学院2022年全国优秀大学生夏令营申请表（见附件，须加盖就读学院公章）；2.个人陈述（见附件）；3.本科正式成绩单1份（大一、二、三年级阶段成绩，须加盖所在学校教务部门公章）；4.英语四、六级水平证书或相关成绩证明（须加盖就读学院公章）；5.获奖（资格）证书复印件或个人代表作品、论文等（须加盖就读学院公章）；6.两位副教授及其以上专家的推荐信(见附件)。</t>
  </si>
  <si>
    <t>“直博生”申请条件1.推免资格要求：须获得本科毕业院校的推免生资格。2.成绩要求：学业成绩优秀，成绩名列前茅。
3.外语水平要求：全国大学英语四级成绩达500分以上（含500分），或六级成绩达425分以上（含425分），或IELTS 6.5分以上，或TOFEL 85分以上，或GRE 290分以上。第一外语为其它语种的，需提供等同于全国大学英语四、六级考试的成绩证明。4.直博生要做PPT加试。PPT报告时间10分钟，概要介绍本科论文的重点。重点考核考生的专业知识、对所从事的科研工作的理解程度、分析问题和解决问题的能力、对跨领域新知识的接受能力、专业知识的综合应用能力、是否具备拟从事的专业方向的学科背景、逻辑思维是否清晰和是否具备批判性思维能力等。同时考核考生的创新、表达、合作精神、心理素质、抗压能力和成熟度。“直博生”入学后将直接进入博士培养环节，除享受博士生生活待遇外，还将获得3万元额外奖励。</t>
  </si>
  <si>
    <t>吉林大学</t>
  </si>
  <si>
    <t>英语水平良好，原则上至少应达到大学英语四级考试425分以上</t>
  </si>
  <si>
    <t>学院介绍、重点科研机构及方向介绍、专家报告会、实验室参观、导师见面会等</t>
  </si>
  <si>
    <t>2022年6月下旬</t>
  </si>
  <si>
    <t>夏令营申请表（系统生成）、成绩单及排名证明扫描件、英语四、六级证书扫描件及其他证明材料、专家推荐信1封</t>
  </si>
  <si>
    <t>如果夏令营采用线下形式进行，吉林大学生命科学学院为外地营员提供免费食宿，并按火车硬座、硬卧或高铁、动车二等车厢及以下标准凭据实额报销往返路费，本地营员不提供路费和住宿，提供免费餐饮和其他用品。</t>
  </si>
  <si>
    <t>凡在夏令营活动中表现优秀，且能获得所在高校推荐免试资格的学生，可直接进入我院2023年招收推荐免试研究生拟录取名单</t>
  </si>
  <si>
    <t>公共卫生及应急管理学院</t>
  </si>
  <si>
    <t>英语水平良好（报名时请提供四六级成绩证明或雅思、托福、GRE等证明英语水平的成绩单）</t>
  </si>
  <si>
    <t>开营仪式、院系介绍、师生互动、实验室参观、学术交流、营员个人展示、闭营仪式等</t>
  </si>
  <si>
    <t>南科大将为异地学校营员提供夏令营期间在深圳的免费食宿，并给予部分路费补贴（一般情况按照高铁二等座的票价标准报销，飞机票价如果低于高铁二等坐的票价，截图并说明也可全部报销，请根据届时发布的报销指南保留好一切票据）。深圳地区高校学生原则上不提供住宿，仅提供免费用餐。</t>
  </si>
  <si>
    <t>1. 应届生可以暂不提供大四/大五下学期成绩单吗？
同学可以根据情况提供成绩单，但是需要于入学前补交完整成绩单。
2. 夏令营报名开始及截止日期？
即日起已经开放报名通道，有意向同学请尽快报名，我院将根据学校通知及具体报名情况公布报名截止日期。</t>
  </si>
  <si>
    <t>同济大学</t>
  </si>
  <si>
    <t>医学院（基础医学类）</t>
  </si>
  <si>
    <t>学科排名靠前，学习成绩优秀</t>
  </si>
  <si>
    <t>6月25日前</t>
  </si>
  <si>
    <t>2022年7月7日-10日</t>
  </si>
  <si>
    <t>1.本科成绩单（由教务处或院系盖章）与总评成绩排名证明；
2.外语水平证明，如CET四级、CET六级、雅思、托福、专业外语成绩等;
3.相关专业领域副教授以上职称的专家推荐信2份（如有）；
4.近期正面免冠彩色证件照片，电子版JPG格式（大小不超过500K）；
5.其他材料（如：发表论文、授权专利、各类获奖或资格证书等）。</t>
  </si>
  <si>
    <t>优秀学员的评选将按照我校研究生入学考试复试的标准进行综合考核，根据综合考核成绩结合学员本科期间的材料评价成绩评选出优秀学员，优秀学员可获得同济大学医学院2022年优秀学生暑期学校优秀学员资格，并可享受以下政策：
1.获得本科学校2023年推荐免试资格的优秀学员在推免阶段中申请我院，我院将根据接收规模从高分到低分择优录取，额满为止，暑期学校的考核成绩可以视为推免复试成绩。
2.未获得本科学校推免资格的优秀学员，若2023年全国研究生入学考试报考我院，初试成绩达到其所报考我院相应专业的复试成绩基本要求者，可优先录取，暑期学校的考核成绩可以视为研究生入学考试复试成绩。</t>
  </si>
  <si>
    <t>口腔医学院</t>
  </si>
  <si>
    <t>本校在校营员采取线下形式参加，本校外出实习营员及其他高校营员全部采取线上形式</t>
  </si>
  <si>
    <t>开幕式、学术讲座 学术讲座 个人汇报展示 综合报告汇报、闭营仪式 学术讲座</t>
  </si>
  <si>
    <t xml:space="preserve"> 2022年7月13日-7月14日</t>
  </si>
  <si>
    <t>北京基因研究所</t>
  </si>
  <si>
    <t>1、开营典礼；多场前沿学术讲座和报告；线上与心仪导师及研究组深入交流；多方位了解基因组所研究生学习生活；线上云参观基因组所；结营典礼等。</t>
  </si>
  <si>
    <t>2022年6月19日24:00前</t>
  </si>
  <si>
    <t>2022年7月11日至15日</t>
  </si>
  <si>
    <t>1、中国科学院大学2022年大学生夏令营申请表（报名网站下载、签字版）；  
2、已修课程成绩单原件； 
3、身份证及学生证复印件； 
4、英语四、六级成绩单复印件或体现自身英语水平的证明材料复印件； 
5、其它能佐证兴趣和能力的重要材料（已发表论文或出版物、奖励证书等）的复印件，最多不超过5项。</t>
  </si>
  <si>
    <t>本活动不收取任何费用。研究所为每一位按时参加活动的营员准备了大礼包，礼包将在活动结束后以快递方式邮寄给每一位按时参加的营员。</t>
  </si>
  <si>
    <t>开营仪式、学院与学科介绍、专家讲座、师生座谈会、实验室参观活动、优秀营员选拔考核、表达性艺术体验沙龙等</t>
  </si>
  <si>
    <t>2022/06/30前</t>
  </si>
  <si>
    <t>30人</t>
  </si>
  <si>
    <t>1.学生报名基本情况表电子版（附件1）；
2.本人本科学习阶段的成绩单扫描件（须加盖院系或学校教务部门公章）；
3.身份证、学生证复印件；
4.一份专家推荐信（模板见附件2，推荐人为副高级职称及以上专家）；
5.英语四、六级成绩单复印件扫描件（可选）；
6.获奖证书扫描件（可选）；
7.已发表论文或接受函扫描件（可选）。</t>
  </si>
  <si>
    <t>兰州大学将为营员提供夏令营期间的食宿（本地学校学生不提供住宿）、人身保险费以及异地学校学生往返硬座火车票/汽车票。住宿提供双人标间，原则上要求双人入住。请自行提前预订往返车票，学院不提供订票服务。返程后务必将车票按地址邮寄回学校。</t>
  </si>
  <si>
    <t>如取得所在学校推荐免试资格并报考兰州大学基础医学院，可视同面试合格直接录取。部分未取得所在学校推免资格的优秀营员，第 一志愿报考兰州大学基础医学院，初试成绩达到我院报考专业“学院复试分数线”，参加复试且体检合格在同等条件下优先录取。</t>
  </si>
  <si>
    <t>学习成绩优秀（双一流建设高校、双一流建设学科和第四轮学科评估在A类的生源在本科期间总评成绩排名年级前30%，知名医科院校生源在本科期间总评成绩排名年级前10%）</t>
  </si>
  <si>
    <t>英语水平良好，原则上CET4≥425分</t>
  </si>
  <si>
    <t>2022年5月25日-6月15日</t>
  </si>
  <si>
    <t>2022年7月10日-15日</t>
  </si>
  <si>
    <t>（1）夏令营申请表（可通过报名系统生成）；
（2）个人陈述；厦门大学考生自述表.doc
（3）成绩单１份（须加盖所在学校教务部门公章）；
（4）成绩排名（所在学院出具并盖章）；
（5）两位副教授及其以上专家的推荐信；专家推荐信.doc
（6）其他证明材料（获奖证书、国家英语四、六级证书和雅思、托福成绩单、科研成果等证明材料的扫描件）。</t>
  </si>
  <si>
    <t xml:space="preserve">我院为参加线下夏令营的营员入住校内学生公寓，并提供蚊帐、草席、线毯、枕头、床垫等五件套寝室用具。通过推免录取为我院研究生的夏令营营员，可于确定录取后凭票报销往返夏令营的路费（以火车硬座票为标准）。  </t>
  </si>
  <si>
    <t>通过我院夏令营考核并且获得推荐免试研究生资格和名额的夏令营营员，可免参加我校9-10月份的推荐免试研究生（含直博生）考试；通过夏令营考核但未获得推荐免试研究生资格和名额的夏令营营员，如果选择以公开招考方式报考厦门大学2023年硕士研究生和2023年博士研究生，成绩达到相应标准，在同等条件下我校将给予优先录取。</t>
  </si>
  <si>
    <t>生命科学与医学部临床医学院、附属第一医院</t>
  </si>
  <si>
    <t>1、网上报名后生成的表格打印后本人签字；
2、 前3年半成绩单与总评成绩排名证明（有学校教务部门或所在院系公章）；
3、其他能体现自身能力的材料：获奖证书复印件、英语水平证明、学术论文、参与项目证明等（非必要，如有，请提供）。</t>
  </si>
  <si>
    <t>中国海洋大学</t>
  </si>
  <si>
    <t>医药学院</t>
  </si>
  <si>
    <t>预计能够获得本科所在学校推免资格；或前三年学习成绩在本专业同年级中排名符合《前三年学习成绩要求》（附件1）；或在科技创新、发明创造、学术研究等方面成绩突出，具有较强的科研能力和培养潜质。</t>
  </si>
  <si>
    <t>开营仪式，学校、学院及学科介绍，与科学家座谈，线上参观中国海洋大学，综合考核等</t>
  </si>
  <si>
    <t>5月23日-6月20日</t>
  </si>
  <si>
    <t>6月26日-27日</t>
  </si>
  <si>
    <t>1.中国海洋大学2022年优秀大学生暑期夏令营申请表（附件2）。
2.本科在读期间成绩单。
3.英语CET-4/6成绩单，或其他相应外语水平证明。
4.学信网的教育部学籍在线验证报告。
5.各类获奖证书、已发表论文等其他证明材料。</t>
  </si>
  <si>
    <t>华东师范大学</t>
  </si>
  <si>
    <t>具有较强的英语听说和写作能力</t>
  </si>
  <si>
    <t xml:space="preserve"> 夏令营期间将安排讲座、参观考察、座谈交流，以了解各营员的学识、能力等情况，具体活动内容包括：   第一天：学员报到，进行线上营员见面会，介绍本次夏令营的具体安排； 第二天：上午举行开营仪式，下午各学科介绍讲座及导师代表学术报告； 第三天：各学科举行推免生面试，晚上参加青年学术论坛； 第四天：上午夏令营闭幕仪式（优秀学员、优秀志愿者表彰会），学员离营。</t>
  </si>
  <si>
    <t>2022年6月15日申请截止</t>
  </si>
  <si>
    <t>7月初</t>
  </si>
  <si>
    <t xml:space="preserve"> ①《华东师范大学2022年优秀大学生夏令营活动报名信息表》（报名系统中下载，填写推荐意见后，签字盖章，扫描上传）；
 ②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③本科成绩单（前5学期）1份；
 ④专家推荐信1封，需要副教授及以上职称专家推荐（推荐信模板：https://yjszs.ecnu.edu.cn/download/2021ss/Letter_of_Recommendation_xly.doc）；
 ⑤其他材料（英语等级证书、论文发表、专利发明、各类获奖或资格证书等）。</t>
  </si>
  <si>
    <t xml:space="preserve">夏令营将根据营员的表现产生优秀营员，优秀营员如获得本科学校推免资格，达到我校推免接收条件的，且于2022年9月申请推免至我校夏令营期间面试的学科，则可根据优秀营员排序结果、在该学科可以接收的推免生限额内，经审核拟录取为我校2023级研究生。  </t>
  </si>
  <si>
    <t>中山医学院</t>
  </si>
  <si>
    <t>具有较好英语应用能力</t>
  </si>
  <si>
    <t xml:space="preserve">        （一）7月12日9:00—11:00：开营仪式（线上，具体安排另行通知）；
        （二）7月13-16日：师生沟通、面试（线上）；
        （三）7月30日前完成录取意向，提交《中山大学免试硕士研究生复试录取表》或《中山大学免试直博生复试录取表》（请在“复试小组对考生的综合评语”中注明导师姓名、拟录取专业）。</t>
  </si>
  <si>
    <t>2022年6月19日17:30前</t>
  </si>
  <si>
    <t>2022年7月12日-7月16日</t>
  </si>
  <si>
    <t xml:space="preserve">        1.中山大学2022年优秀大学生夏令营申请表（附件）。
        2.本科阶段成绩单及同年级总成绩排名（由教务部门或院系盖章）1份。
        3.学生证复印件。
        4.教育部学籍在线验证报告。
        5.二代居民身份证复印件2份，正反面复印在同一张A4纸内。
        6.其他相关证明材料：英语水平及获奖证书复印件等。</t>
  </si>
  <si>
    <t>中南大学</t>
  </si>
  <si>
    <t>2022年5月23日-6月9日</t>
  </si>
  <si>
    <t>6-8月份</t>
  </si>
  <si>
    <t>获得我校优秀营员且取得所在高校推荐免试资格的学生，须于2022年9月28日-10月15日在教育部“全国推荐优秀应届本科毕业生免试攻读研究生信息公开暨管理服务系统”(网址：http://yz.chsi.com.cn/tm)进行网上报名、确认录取，否则视为放弃</t>
  </si>
  <si>
    <t>南京大学</t>
  </si>
  <si>
    <t>2022年5月20日0点-6月5日24点</t>
  </si>
  <si>
    <t xml:space="preserve">    （1）身份证，正反面扫描在同一张A4纸上；
    （2）学生证，学生证须上传完整的个人信息页扫描件，含前六（四年制）/八（五年制）个学期注册章的注册页，如学生证不符合要求，请上传在有效期内的学信网在线学籍认证报告； 
    （3）本科成绩单，本科前五个学期（四年制）/前七个学期（五年制）的成绩单（需有所在学校教务处或院系公章，机打成绩单已有公章的不必另外加盖）；   
    （4）成绩排名证明，排名证明扫描件(由所在院系或教务处盖章)，如不能提供，请所在院系或教务处给出不能提供成绩排名的证明扫描件；
    （5） 外语能力证明材料，英语六级或四级成绩证明、其它外语能力证明材料扫描件，如有多项材料，请按顺序合并成一个pdf；   
    （6）获奖证书，各类获奖证书扫描件，选 5 个获奖证书，请按重要性顺序，从高到低合并成一个 pdf；
    （7）学术论文、科技专利证书，以第一作者身份在公开发行的刊物或国内国际会议上发表的学术论文、科技专利证书等材料的扫描件，如有多项材料，请按顺序合并成一个 pdf。</t>
  </si>
  <si>
    <t>表现优秀的同学将获得暑期开放日证书，在拿到所在本科学校的推免资格后将优先进入我院推免研究生的选拔名单。</t>
  </si>
  <si>
    <t>①申请直博者，本科前三（四年制）/前四（五年制）学年学习成绩应名列专业前茅，具有优秀研究生潜质，原则上应通过英语六级（≥426分）或TOEFL≥85分或雅思≥6.0分
②确定获得暑期开放日证书后，申请直博者须提交与申请学科相关的两位教授（或相当职称）以上的“专家推荐信”（专家推荐信格式详见附件1），专家推荐信末需要推荐人本人签字，并须由推荐人用信封密封并在封口处签字，根据后续通知提交。申请硕士者不需要提交专家推荐信。我们积极鼓励优秀本科生申请直接攻读博士学位。特别优秀者，我们拟推荐其进入南京大学名师计划，由长江学者、国家杰青获得者等导师亲自指导。</t>
  </si>
  <si>
    <t>华东理工大学</t>
  </si>
  <si>
    <t>①教育部“双一流建设”高校专业排名前40%大三本科生;
②非“双一流建设”但“具有推免资格”高校专业排名前10%以内大三本科生;</t>
  </si>
  <si>
    <t>国家大学英语四级480分或六级425分以上</t>
  </si>
  <si>
    <t>专业介绍、名师交流、研究生座谈、专业知识面试等活动</t>
  </si>
  <si>
    <t>2022年7月2日～3日</t>
  </si>
  <si>
    <t>1. 身份证正反面扫描件/照片。
2. 教育部学籍在线验证报告：登录“高等教育学生信息咨询网”(www.chsi.com.cn)，进入“学信档案”在线申请学籍验证。
3. 学校盖章的申请表扫描件1份，申请表在报名系统内生成。
4.学校教务处盖章的成绩单扫描原件(本科两年半成绩)。
5. 国家英语四、六级考试成绩扫描件1份。
6. 两名本科学校教师书面推荐信。</t>
  </si>
  <si>
    <t>1、通过考核的夏令营学员获得所在学校2023年推荐免试研究生资格，并报考我院相关专业，学院将根据接收规模依次录取，额满为止，复试成绩以夏令营考核成绩为准。
2、通过考核的夏令营学员如未获得所在学校推荐免试研究生资格，并在2023年硕士研究生招生考试中以第一志愿报考我院相关专业时，将享受相应的优惠政策。</t>
  </si>
  <si>
    <t>中日友好医院</t>
  </si>
  <si>
    <t>英语水平优良：CET6≥480分；CET4≥500分或雅思成绩不低于6.0分，托福成绩不低于90分</t>
  </si>
  <si>
    <t>2022年6月28日24时前</t>
  </si>
  <si>
    <t>1、夏令营报名请填写下方问卷星；
2、推免资格证明（须由所在学校教务部门盖章）；
3、大学期间成绩单和专业排名（须由所在学校教务部门盖章）；
4、英语成绩证明；
5、两位副教授（或相当职称）或以上专家的专家推荐信；
6、其他材料（如：发表论文、专利、获奖证书复印件等）。</t>
  </si>
  <si>
    <t>四川大学</t>
  </si>
  <si>
    <t>华西基础医学与法医学院</t>
  </si>
  <si>
    <t>学习成绩优秀，本科期间综合成绩加权平均分不低于80分</t>
  </si>
  <si>
    <t>英语达到国家四/六级水平（425分以上）或TOEFL、GRE等考试成绩优秀者</t>
  </si>
  <si>
    <t>2022年6月15日24:00前</t>
  </si>
  <si>
    <t>2022年6月27日至7月1日</t>
  </si>
  <si>
    <t>1、申请表（报名成功后由系统自动生成）；
2、本科成绩单和专业排名证明（各1份；需加盖所在学院或学校教务处公章）；
3、大学英语四/六级成绩单、TOEFL、GRE成绩单等英语成绩证明材料；
4、相关获奖证书复印件、学术成果复印件等。</t>
  </si>
  <si>
    <t>考核优秀的营员，届时获得推免资格且满足我校及学院接收推免生条件者，在推免系统及时响应填报我校即可免复试予以录取；未能获得推免资格但第一志愿报考我院的优秀营员（统考报考专业需与夏令营考核专业相同），同等条件下优先录取</t>
  </si>
  <si>
    <t>国科大杭州高等研究院</t>
  </si>
  <si>
    <t>药物科学与技术学院</t>
  </si>
  <si>
    <t>本科期间总评成绩排名在本年级（专业）前20%之内，双一流重点高校学生学习成绩标准可再适当放宽</t>
  </si>
  <si>
    <t>英语达到国家四级合格水平</t>
  </si>
  <si>
    <t>开营仪式，学院及各工作室介绍，交流讨论，优秀营员选拔面试</t>
  </si>
  <si>
    <t>7月</t>
  </si>
  <si>
    <t>（1）身份证（含正反面）；
（2）英语等级证书；
（3）成绩单（需要盖公章）；
（4）辅导员推荐信（没有辅导员的学校，可由做学生工作的老师来写推荐信）；
（5）其它附件，包括各类“奖励证明”、“等级证书”、“已发表论文首页”等。</t>
  </si>
  <si>
    <t>深圳先进技术研究院（SIAT）</t>
  </si>
  <si>
    <t>情况允许将线下组织</t>
  </si>
  <si>
    <t>开营仪式、科技前沿讲座、导师沙龙、园区参观交流、项目实践体验、师兄师姐茶话会、优秀营员面试等</t>
  </si>
  <si>
    <t>2022年6月25日前</t>
  </si>
  <si>
    <t>300-400人</t>
  </si>
  <si>
    <t>1、 中国科学院2022年大学生夏令营申请表（系统报名提交申请后下载打印并签字）；
2、本科前三年（五年制为本科前四年）成绩单和专业排名证明（需加盖教务处公章，如因疫情影响无法盖章需提供书面说明） ；
3、相关英文能力证明（大学英语四、六级，雅思，托福与GRE等相关英文能力证明）； 
4、学生证和身份证； 
5、其他证明材料（如已发表论文或出版物首页、各类证书奖状等）； 　</t>
  </si>
  <si>
    <t>夏令营期间不收取任何费用。如线下举行可报销从学校/家庭所在地至深圳的单程交通费用（按火车（汽车）硬座或硬卧或动车二等座标准），夏令营期间提供免费食宿、文化衫、周边礼包等等；</t>
  </si>
  <si>
    <t>获得夏令营优秀营员资格的同学将优先接收为我院2023级推免硕士研究生或直接攻读博士生。</t>
  </si>
  <si>
    <t>护理学院</t>
  </si>
  <si>
    <t>开营仪式、学院与学科介绍、专家讲座、参观护理学院和兰州大学校园、师生座谈会等。</t>
  </si>
  <si>
    <t>2022年6月30日（24:00）前</t>
  </si>
  <si>
    <t>2022年 7 月中上旬</t>
  </si>
  <si>
    <t xml:space="preserve">  （1）兰州大学护理学院2022年优秀大学生暑期夏令营申请表（附件1）
  （2）本科前5或7个学期成绩单（由教务部门或院系盖章），排名专业前30％的证明（由教务部门或院系盖章）；
  （3）学生证扫描件；
  （4）大学英语四、六级成绩单或其他英语水平证明（如近两年内TOEFL 成绩或近三年内 GRE 成绩等）；
  （5）两封专家推荐信（附件2）；
  （6）其他证明材料（如体现自身学术水平的代表性学术论文或其他原创性工作成果扫描件、获奖证书扫描件等）；
  （7）申请人填写兰州大学护理学院2022年优秀大学生暑期夏令营报名基本信息表电子版（附件3）。</t>
  </si>
  <si>
    <t>兰州大学护理学院将为营员提供夏令营期间的食宿（包含2晚，本地学校学生不提供住宿）、人身保险费以及异地学校学生往返硬座火车票（高铁二等座）/汽车票。请自行提前预订往返车票，留好所有票据，主办方不提供订票服务。</t>
  </si>
  <si>
    <t>获得优秀营员资格者，可优先享受以下政策：
  （1）如取得所在学校推荐免试资格并报考兰州大学护理学院，可视同面试合格直接拟录取。
  （2）部分未取得所在学校推免资格的优秀营员，如第一志愿报考兰州大学，参加2023年全国硕士研究生统一入学考试，初试成绩达到我院报考专业“学院复试分数线”，参加复试且成绩合格者，同等条件下优先录取。</t>
  </si>
  <si>
    <t>以学科和专业领域活动为主，其他活动为辅。形式为“云宣讲、云讲座、云参观”等</t>
  </si>
  <si>
    <t>学习成绩优秀，本科期间综合成绩高于专业平均水平</t>
  </si>
  <si>
    <t>2022/06/20前</t>
  </si>
  <si>
    <t>（一）申请表（报名成功后由系统自动生成）；
（二）专家推荐信2封（1由拟报考的四川大学生命科学学院研究生导师负责填写，2由本科就读学院老师出具）；
（三）本科成绩单（院、校两级教务部门盖章均可，如因疫情原因，成绩单无法加盖公章，可先提交教务系统导出的电子版，后期增补公章后再次提交正式成绩单）；
（四）其他附件材料：个人简历1份以及相关证明材料扫描件（如已发表论文、各类获奖或资格证书、国家英语四六级证书等能展示自身学习和工作能力的材料）。</t>
  </si>
  <si>
    <t>第二医院
（第二临床医学院）</t>
  </si>
  <si>
    <t>学习优秀</t>
  </si>
  <si>
    <t>英语水平较好</t>
  </si>
  <si>
    <t>参观兰州大学和兰州大学第二医院学习科研环境，兰州大学第二医院研究生教育介绍、专家学术报告、导师面对面交流、学生互动与风采展示、优秀营员选拨等。</t>
  </si>
  <si>
    <t>30-40名</t>
  </si>
  <si>
    <t>①《兰州大学第二医院2022年暑期夏令营申请表》(附件1);
② 本科成绩单与本专业排名证明扫描件（需加盖教务处或院系公章）;
③ 外语水平证明，全国大学英语四/六级成绩单或其他同类别英语考试成绩单扫描件；
④ 其他证明材料，如已发表论文或专利扫描件、本科期间各类获奖证书扫描件等。</t>
  </si>
  <si>
    <t>参加线下活动的外地营员统一提供免费食宿。并将按普通硬座火车票价报销交通费，学生需保存并在返校后以快递形式提交相关票据</t>
  </si>
  <si>
    <t>1. 本科期间参加科研训练者优先；
2. 以第一作者发表CSCD论文或获得专利者优先；
3. 预计能取得所在学校推荐免试硕士生资格者优先；
4.“双一流”建设院校的优秀本科生优先。</t>
  </si>
  <si>
    <t>分子医学院</t>
  </si>
  <si>
    <t>开营（单位介绍及专家报告）、院士讲座、学术交流、优秀营员选拔面试、闭营颁奖。</t>
  </si>
  <si>
    <t>截止至6月20日（中午12点）</t>
  </si>
  <si>
    <t>(1)国科大杭高院2022年大学生夏令营优营申请表（附件1）；
(2)本科成绩单扫描件（需盖章）；
(3)专业排名证明扫描件（需盖章）；
(4)英语四级/六级成绩单扫描件；
(5)身份证扫描件；
(6)学生证扫描件；
(7)2封专家推荐信（扫描件）；
(8)其他证明材料扫描件，包括各类“奖励证明”、“等级证书”、“已发表论文首页”等。</t>
  </si>
  <si>
    <t>获优秀营员资格的同学将优先获得分子医学院推免生资格，但最终以实际录取情况为准。根据培养安排，我院优秀硕士在研二如通过硕转博考核，可直接攻读博士学位</t>
  </si>
  <si>
    <t>生命与健康科学学院</t>
  </si>
  <si>
    <t>学习成绩优秀，在所在专业年级排名居前列</t>
  </si>
  <si>
    <t>开营仪式，杭高院介绍、生命学院及各工作室介绍，专家讲座，交流讨论，优秀营员选拔面试。</t>
  </si>
  <si>
    <t>2022年6月22日24点前</t>
  </si>
  <si>
    <t>2022年6月28日-29日</t>
  </si>
  <si>
    <t>1）国科大杭州高等研究院2022年大学生暑期夏令营优秀营员申请表（综合评审系统可下载申请表）
2）本科成绩单扫描件（需盖章）
3）英语四级/六级成绩单扫描件
4）身份证扫描件
5）学生证扫描件
6）其他证明材料扫描件</t>
  </si>
  <si>
    <t>学习成绩优秀，本科阶段总成绩排名原则上在所读学校同年级本专业前20%</t>
  </si>
  <si>
    <t>具有良好听、说、读、写的英语应用能力</t>
  </si>
  <si>
    <t>2022年6月26日前</t>
  </si>
  <si>
    <t>2022年7月15日-17日</t>
  </si>
  <si>
    <t>120名</t>
  </si>
  <si>
    <t>1、中山大学暑期及夏季学期研究生教育教学活动计划申请表（夏令营）见附件，请帖好1寸证件照，无底色要求，签名并加盖公章；
2、本科阶段成绩单及同年级总成绩排名原件（由学院或学校教务部门盖章，如成绩单显示排名或绩点，无需另附证明文件）；
3、英语水平证明材料原件，如CET四级、CET六级、雅思、托福、专业外语成绩等;
4、以及其他证明材料原件：如代表性学术论文（首页-即题目、摘要、作者所在页）、其他原创性工作成果、获奖证书等；
5、身份证正反面复印到一张A4纸的复印件；</t>
  </si>
  <si>
    <t>①通过我院2022年夏令营考核的营员，推荐免试录取时不再进行复试；
②参加我院举办的夏令营并获得推免成功录取的学术型研究生，除获得学校正常规定的奖助金外，在入学后还可参评‘中山大学公共卫生学院融创学术培优专项奖学金’，奖励金额 8000-12000元/人。</t>
  </si>
  <si>
    <t>现代生物研究院</t>
  </si>
  <si>
    <t>本科前两年半（四年制）或前三年半（五年制）成绩在年级名列前茅</t>
  </si>
  <si>
    <t>大学英语六级426分或四级497分、托福85分或雅思6分以上、英语专业四级合格及以上、英语专业八级合格及以上</t>
  </si>
  <si>
    <t>研究院介绍，学术报告，参观实验室与仪器平台，与导师座谈沟通，夏令营优秀营员的面试选拔等。</t>
  </si>
  <si>
    <t>2022年6月25日中午12:00</t>
  </si>
  <si>
    <t>7月8日至7月11日</t>
  </si>
  <si>
    <t>提供夏令营期间的统一餐饮和住宿、往返车费（限普快、动车或高铁二等座及以下，经济舱机票，须提供往返票据）报销，其他费用自理。</t>
  </si>
  <si>
    <t>1."优秀营员"如获得所在学校推荐免试研究生资格，并在推免申报系统中以第一志愿报考南京大学现代生物研究院相关专业硕士研究生，根据本人志愿，将优先进入选拔名单。
2.硕士研究生阶段中期考核通过后，在同等条件下优先获得硕博连读资格。
3.其他营员如获得所在学校推荐免试研究生资格，经我院复试并通过的，也将优先进入选拔名单。</t>
  </si>
  <si>
    <t>在校成绩优秀</t>
  </si>
  <si>
    <t>具有良好的英语水平</t>
  </si>
  <si>
    <t>参加院系介绍、前沿领域讲座、师生互动、学术交流等活动，同时将安排推免硕士生、直博生及境外联合培养博士生的面试和选拔工作</t>
  </si>
  <si>
    <t>2022年7月或8月</t>
  </si>
  <si>
    <t>1) 南方科技大学2022年夏令营申请表（网申系统自动生成打印，需签字盖章）； 2) 身份证正反面复印件； 3) 学生证复印件（在校生提供）或毕业证书与学位证书复印件（往届生提供）； 4) 包含所修全部课程的正式成绩单（院系或教务公章），本科生需加上成绩排名证明； 5) 英语水平证明材料复印件（四、六级英语，托福、GRE、雅思等证书）； 6) 其它证明材料（体现个人学术水平的有代表性的学术论文首页，各类获奖证书等）； 7) 申请人自愿提交的证明材料、推荐信等。</t>
  </si>
  <si>
    <t>南科大将为异地学校营员提供夏令营期间在深圳的免费食宿，并给予部分路费补贴。深圳地区高校学生原则上不提供住宿，仅提供免费用餐。</t>
  </si>
  <si>
    <t>“双一流”建设高校或生物相关专业的“双一流”建设学科，成绩优异、学术研究成果突出的应届本科、硕士毕业生优先考虑</t>
  </si>
  <si>
    <t>武汉大学</t>
  </si>
  <si>
    <t>学习成绩优异，本科前两年半或三年学习成绩在所在专业年级排名居前列（原则上前50%）</t>
  </si>
  <si>
    <t>6月22日24:00前</t>
  </si>
  <si>
    <t>7月9-10日</t>
  </si>
  <si>
    <t>170人左右，其中校外营员人数不少于50%，学院可根据报名人数和生源情况适当调整</t>
  </si>
  <si>
    <t>（1）“武汉大学生命科学学院2022年优秀大学生线上夏令营申请表”（下载附件1或夏令营系统下载打印）（须有本人签名、所在学校院系推荐意见和教务部门盖章）；
（2）“武汉大学生命科学学院2022年优秀大学生线上夏令营个人陈述”（下载附件2或夏令营系统下载打印）（须有本人签名）；
（3）两封副高级（含）以上职称专家的推荐信；
（4）其它证明材料：
① 本科前两年半或三年学习成绩单原件及成绩排名证明原件，均须加盖申请人所在单位公章；
② 国家英语四、六级考试成绩或TOEFL/GRE/GMAT/IELTS成绩等体现自身外语水平的证明；
③ 体现自身学术水平的代表性学术论文、专利、出版物或原创性成果，各类获奖竞赛证书等证明；
（5）《诚信参加夏令营选拔考核承诺书》（下载附件3） (须有本人手写签名）。</t>
  </si>
  <si>
    <t>　　1.取得推免资格的“优秀营员”，在规定时间内进入教育部推免系统报考武汉大学生命科学学院推免生，且服从调剂，可优先接收为我院2023年推免生。
　　2.未取得所在学校“推免资格”的优秀营员，第一志愿报考武汉大学生命科学学院，参加2023年硕士研究生招生考试，初试成绩达到生命科学学院相应专业复试分数线，其夏令营选拔考核综合成绩可作为复试综合成绩使用。
　　3.优秀营员在推免和统考招生中所报考及录取的专业必须与其夏令营录取专业一致，若更换专业则不能享受上述优惠政策。</t>
  </si>
  <si>
    <t>深圳国际研究院生物医药与健康工程研究院</t>
  </si>
  <si>
    <t>本科前5学期总评成绩在该校同年级本专业排名中名列前茅</t>
  </si>
  <si>
    <t>5月27日14点-6月27日16点</t>
  </si>
  <si>
    <t>7月3日-7日</t>
  </si>
  <si>
    <t>1．有效身份证（二代居民身份证）
2．在学证明（学生证）
3．个人陈述1份：介绍本人专业背景、从事过的研究工作以及攻读研究生阶段的学习和研究计划等（千字以内，申请人签字后上传至报名系统）。
4．专家推荐信2封：申请人在线邀请两位与申请学科相关的副教授以上职称专家在线填写推荐信。推荐专家按申请服务系统要求，在规定的时间内填写、上传专家推荐信。同时请专家妥善保存原件，待后续接收通知将书面版寄至我院，或将书面版密封（在密封信封的封口骑缝处签字）交申请人寄至我院，寄送时间和地址另行通知。
5. 前5学期的各科成绩单与前5学期的年级总评成绩排名（需盖学校或院系教务部门公章）。
6. 英语水平证明材料复印件
7. 其它材料（选择提交）：包括获奖证书复印件（学术类相关奖项），能体现自身学术水平的学术论文、出版物等。</t>
  </si>
  <si>
    <t>英语水平良好，达到国家六级或相当水平，科研潜力突出者可适当放宽</t>
  </si>
  <si>
    <t>6月24日00:00前</t>
  </si>
  <si>
    <t>2022年7月2日-3日</t>
  </si>
  <si>
    <t>1. 夏令营申请表（申请表可于系统导出打印），填写后学校教务处或院系负责人签字盖章；
2. 个人简历及个人陈述（包括兴趣、特点、经历以及你选择北京大学药学院和应该被录取的理由），需在最后手写签名（个人陈述模板可在夏令营申请系统中下载）；
3. 本科历年成绩单1份，须加盖所在学校或学院教务部门公章；
4. 英语六级水平证书或相关英语成绩证明；
5. 成绩排名证明（含专业成绩排名和综合成绩排名，由学校教务部门盖章或院系出具证明）；
6. 其他有关能力的证明材料（如：发表论文、专利，各类获奖等）；
7. 两位副教授或以上专家的推荐信（模板可在夏令营申请系统中下载，须专家签字确认）；
8. 声明（可在系统中下载模板）。</t>
  </si>
  <si>
    <t>华西药学院</t>
  </si>
  <si>
    <t>“双一流”建设高校的优秀学生；最新学科评估结果为B类及以上的学科年级成绩排名前10%者（营员本科专业与报考硕士学科一致）；</t>
  </si>
  <si>
    <t>英语四级成绩优良，或六级成绩 425分及以上，或TOEFL、GRE等考试成绩优良；</t>
  </si>
  <si>
    <t>学院宣传、学科介绍、学生活动和奖学金与就业介绍、推免与考研政策介绍、优秀学长云沙龙、营员与导师交流、推免生预面试、“云游药院”等</t>
  </si>
  <si>
    <t>截止日期2022年6月19日</t>
  </si>
  <si>
    <t>2022年7月5日至6日</t>
  </si>
  <si>
    <t>200名（包括本校)</t>
  </si>
  <si>
    <t>1、申请表（报名成功后由系统自动生成）；
2、本科成绩单和专业排名证明（各1份；院、校两级教务部门盖章均可）；
3、大学英语四/六级成绩单、TOEFL、GRE成绩单等英语成绩证明材料；
4、相关获奖证书复印件、学术成果复印件等有关能力的证明材料（如获奖证书、发表论文、专利等）。</t>
  </si>
  <si>
    <t>华西临床医学院</t>
  </si>
  <si>
    <t>学习成绩优秀，本科期间综合成绩年级排名原则上要求为:原世界一流大学建设高校年级成绩排名前30%者，若本科所学专业学科评估同时为A类学科者，年级成绩排名前50%;原世界一流学科建设高校年级成绩排名前20%者;学科评估B类院校年级成绩年级排名前10%者;</t>
  </si>
  <si>
    <t>全国大学外语四级水平考试成绩优良（480分以上)，或全国大学外语六级水平成绩合格（425分以上），或TOEFL、GRE等考试成绩优秀者。</t>
  </si>
  <si>
    <t>云开营仪式
云参观医院
学科介绍、科室参观
导师见面与交流
优秀学长在线交流会
云复试考核</t>
  </si>
  <si>
    <t>2022年6月12日前</t>
  </si>
  <si>
    <t>2022年7月12日-7月14日</t>
  </si>
  <si>
    <t>450人</t>
  </si>
  <si>
    <t>1、申请表（报名成功后由系统自动生成）; 2、本科成绩单和专业排名证明（各1份;需加盖所在学院教务处公章）; 3、相关英语成绩、荣誉、比赛竞赛获奖证书复印件、学术成果复印件等。 请大家认真准备申请材料，只填报一个意向专业，我院将组织各学科专家对申请材料进行集体评议打分，根据评议成绩由高到低，按照二级学科(内外科涉及三级学科)依次排序确定入营名单。 特别提示:请只提交正式发表的第一作者文章（英文论文可包括共一排第二的文章)、比赛竞赛获奖请提交校级及以上的获奖证书。</t>
  </si>
  <si>
    <t>营员优惠:参加夏令营复试考核合格的营员，如获得所在本科院校2023年推荐免试资格，在全国推免服务系统（预计9月下旬)开放后及时填报推免我院，且夏令营填报专业与推免填报专业一致者，可被我院直接录取为推荐免试研究生，特别优秀者可申请直接攻读博士学位。</t>
  </si>
  <si>
    <t>湘雅医院</t>
  </si>
  <si>
    <t>学习成绩优秀（本科期间综合成绩年级排名前30%）</t>
  </si>
  <si>
    <t>全国大学外语四级水平考试成绩优良，或全国大学外语六级水平成绩合格（425分以上），或TOEFL、GRE等考试成绩优秀者</t>
  </si>
  <si>
    <t>6月9日前</t>
  </si>
  <si>
    <t>2022年7月11-15日</t>
  </si>
  <si>
    <t>　   （1）本人有效二代身份证件和学生证；
　　（2）大学英语四级或六级考试成绩单复印件一份；
　　（3）在校历年学习成绩单及成绩排名证明，并由所在学校或院系教务部门加盖公章；
　　（4）有学术成果（包括公开发表论文、出版著作、获得专利、获得学术科技奖项、承担课题或者其他具有学术水平的工作成果）者，提供学术成果一份；
　　（5）获得各类荣誉、表彰、奖励证书；
　　（6）个人简历及个人陈述，简要陈述参加本次夏令营的原因、目的和期望。</t>
  </si>
  <si>
    <t>湘雅三医院</t>
  </si>
  <si>
    <t>开营仪式、医院基本情况简介、招生政策宣讲、学院招生学科专业介绍、优秀营员选拔面试等内容</t>
  </si>
  <si>
    <t>（1） 本人有效二代身份证件和学生证（扫描件，原件在面试时出具）； （2） 网上提交申请后，下载打印《申请表》一份； （3） 个人简历及个人陈述，简要陈述参加本次夏令营的原因、目的和期望 （4） 在校历年学习成绩单及成绩排名证明一份（含专业排名），并由所在学校或院系教务部门加盖公章； （5） 大学英语四级或六级考试成绩单复印件一份； （6） 有学术成果（包括公开发表论文、出版著作、获得专利、获得学术科技奖项、承担课题或者其他具有学术水平的工作成果）者，提供学术成果复印件一份； （7） 有获得各类荣誉、表彰、奖励证书者，提供复印件一份。</t>
  </si>
  <si>
    <t>大学本科前三学年（学制四年）或前四学年（学制五年）总评成绩在专业名列前茅（平均学分绩排名在本专业前10%将优先考虑进入营员名单）</t>
  </si>
  <si>
    <t>英语成绩按南京大学研究生院要求六级达到426分或四级达到497分</t>
  </si>
  <si>
    <t>预计包括医学院以及各附属医院介绍、重点科室宣讲、名师讲堂、推免面试等</t>
  </si>
  <si>
    <t>6月30日前</t>
  </si>
  <si>
    <t>2022年7月12日-15日</t>
  </si>
  <si>
    <t>（1) 身份证正反面(一页)
（2) 学生证个人信息页和注册页（一页）
（3) 成绩单（院系或教务处盖章）
（4） 英语水平证明材料（英语六级/四级证书等）
（5） 获奖证书及发表文章首页（如有）</t>
  </si>
  <si>
    <t>1、“优秀营员”可获得精美纪念品一份；
2、“优秀营员”如获得所在学校推荐免试研究生资格，只要在教育部推免生系统中申报我校我院，可第一批次进入选拔名单，无需再次参加推免研究生复试。</t>
  </si>
  <si>
    <t>开营仪式、学院基本情况介绍、招生政策宣讲、学院招生学科专业介绍、优秀营员选拔等内容</t>
  </si>
  <si>
    <t>2022年7月18日-20日</t>
  </si>
  <si>
    <t>①本人身份证件和学生证；
②网上报名《申请表》一份；
③个人自述：含个人简历、参加本次夏令营的原因、目的和期望等；
④学习成绩单及成绩排名证明（有所在学校或院系教务部门加盖公章）；
⑤大学英语四级或六级考试成绩单；
⑥学术成果（包括公开发表论文、出版著作、获得专利、获得学术科技奖项、承担课题或者其他具有学术水平的工作成果）；
⑦获得的各类荣誉、表彰、奖励证书等。</t>
  </si>
  <si>
    <t>湘雅公共卫生学院</t>
  </si>
  <si>
    <t>第一阶段：中南大学暑期学校线上课程。具体安排详见暑期学校通知。
第二阶段：学院学科与导师情况介绍、营员面试考核。具体安排请关注后期通知。</t>
  </si>
  <si>
    <t>湘雅二院</t>
  </si>
  <si>
    <t xml:space="preserve">全国大学外语四级水平考试成绩优良，或全国大学外语六级水平成绩合格（425分以上），或TOEFL、GRE等考试成绩优秀者。 </t>
  </si>
  <si>
    <t>2022年6月9日前</t>
  </si>
  <si>
    <t>2022年7月11日—7月15日</t>
  </si>
  <si>
    <t>    1.本人有效二代身份证件和学生证；
    2.大学英语四级或六级考试成绩单复印件一份；
    3.在校历年学习成绩单及成绩排名证明，并由所在学校或院系教务部门加盖公章；
    4.有学术成果（包括公开发表论文、出版著作、获得专利、获得学术科技奖项、承担课题或者其他具有学术水平的工作成果）者，提供学术成果一份；
    5.获得各类荣誉、表彰、奖励证书；
    6.个人简历及个人陈述，简要陈述参加本次夏令营的原因、目的和期望。</t>
  </si>
  <si>
    <t>山东大学</t>
  </si>
  <si>
    <t>英语水平良好，通过国家英语六级水平考试，学习成绩优秀者可放宽至英语四级水平</t>
  </si>
  <si>
    <t>学科专业介绍、专家学术讲座、研究生座谈等多种活动</t>
  </si>
  <si>
    <t>6月13-30日</t>
  </si>
  <si>
    <t>2022年7月中旬</t>
  </si>
  <si>
    <t>1、基础医学院夏令营申请表
2、本科阶段成绩单、年级专业成绩排名证明（需由学校教务部门或所在院系盖章）
3、语言成绩证明，如国家英语四、六级考试成绩，TOEFL成绩，IELTS成绩，GRE等能体现外语水平的证明。
4、科研成果、奖励等证明材料，申请人可提交体现自身学术水平的代表性学术论文、出版物或原创性工作成果及获奖证书。</t>
  </si>
  <si>
    <t>学习成绩优秀，原则上本科阶段的学业成绩排名在本专业前20%</t>
  </si>
  <si>
    <t>具备良好的英文听说读写能力</t>
  </si>
  <si>
    <t>学科专业介绍、专家学术讲座、研究生座谈、与导师沟通、了解推免与考研政策、优秀营员选拔等多种活动。</t>
  </si>
  <si>
    <t>6月13日-6月30日16：00</t>
  </si>
  <si>
    <t>2022年7月中上旬</t>
  </si>
  <si>
    <t>1.药学院夏令营申请表（需签字盖章，上传扫描件）；
2.截止到报名前的本科成绩单（需加盖教务处公章）；
3.学业成绩排名证明材料（模板见附件，需教务老师签字加盖公章）；
4.英语成绩证明：如国家英语四、六级考试成绩、TOEFL成绩、GRE成绩等证明材料；
5.科研成果相关证明材料：申请人可提交体现自身学术水平的代表性学术论文、出版物或原创性工作成果及获奖证书。无科研成果者可不提交本项材料。</t>
  </si>
  <si>
    <t>优秀营员在规定时间内获得推免资格，确定推免到我院的优秀营员，将免予复试。</t>
  </si>
  <si>
    <t>学习成绩优秀，具有较强动手能力和较好科研潜质。目前本科阶段总成绩排名原则上在所读学校同年级本专业前30％之内者，已经获得或即将获得所在高校推荐免试生资格者优先；</t>
  </si>
  <si>
    <t>英语四级450及以上，或者六级426及以上</t>
  </si>
  <si>
    <t>根据国内疫情变化情况，本次夏令营可能采取线上线下相结合形式。</t>
  </si>
  <si>
    <t>7月6日：开幕式、领导介绍学院总体情况
分课题组介绍学科方向、各导师研究方向等
7月7日：学生分组轮转与各课题组进行交流，参观2-3家深圳的企业
7月8日：推免面试</t>
  </si>
  <si>
    <t>2022年7月6日-7月8日</t>
  </si>
  <si>
    <t>50-60名</t>
  </si>
  <si>
    <t>（1）《中山大学生物医学工程学院2022年优秀本科生暑期夏令营申请表》
（2）本科阶段成绩单及同年级总成绩排名1份（由教务部门或院系盖章）；
（3）一篇300-500字左右的科研兴趣自述；
（4）身份证、学生证复印件各1份；
（5）四六级证书；
（6）其他：各类获奖证书、发表论文、专利证书等材料。</t>
  </si>
  <si>
    <t>湘雅药学院</t>
  </si>
  <si>
    <t>(1)聘请专家学者担当主讲嘉宾;
(2)介绍校院概况、师资队伍、学科特色、学生培养、研究生招生、研究生生活和就业等;
(3)专业和招生相关问题答疑解惑，以及导师云交流;
(4)各专业面试考核小组进行面试考核，内容为：专业课测试、外语能力测试(采取听说交流的形式进行)、综合素质及能力测试。总成绩为以上三项成绩之和。优秀营员名单按总成绩高低排序决定。</t>
  </si>
  <si>
    <t>2022年7月-8月</t>
  </si>
  <si>
    <t>中国药科大学</t>
  </si>
  <si>
    <t>本科期间学习成绩优异，来自于“双一流”建设高校的学生截至目前总评成绩在本专业排名前25%；普通类高校的学生截至目前总评成绩在本专业排名前5%；或预计可获得所在高校免试推荐资格的学生。其中申报直博生的营员，截至目前总评成绩在本专业排名前5%（含5%）；各类国家级基地班的推免生本科推荐环节总评成绩在本专业排名前50%（含50%）；或入选药学“拔尖创新人才培养计划”的推免生。
满足下列条件的申报直博生的营员，其总评成绩排名可以适当放宽。
（1）以第一作者（排位第一）在《中国药科大学共识期刊目录》的SCI期刊上发表过一篇专业学术论文。
（2）在由教育部/团中央组织的国家级科技类和创新创业类竞赛中，以第一完成人获得一等奖/金奖或二等奖/银奖，或以第一、第二完成人获得团体奖。具体奖项见附件1。</t>
  </si>
  <si>
    <t xml:space="preserve">具有良好的英语水平，CET-6成绩合格或达到六级相应水平，特别优秀的可以适当放宽。
其中申报直博生的营员，要求六级（CET-6）成绩≥450分；或托福（TOEFL）成绩≥90分；或雅思（IELTS）成绩≥7；或以第一作者（排位第一）在SCI期刊（不含扩展版）上发表过一篇专业学术研究论文。（成绩有效期均在4年之内）  </t>
  </si>
  <si>
    <t>5月31日15：00至6月22日17：00</t>
  </si>
  <si>
    <t>预计6月26日-30日</t>
  </si>
  <si>
    <t>（1）近期正面免冠彩色证件照片，电子版JPG格式，150×200像素，大小100K以内；
（2）个人简历，包括本人简介、专业背景、实习经历和/或研究经历、个人特长及报考理由等（点击下载）。
（3）本科阶段历年成绩单（须加盖学校教务部门公章）。
（4）本科阶段综合成绩排名证明（含申请人所在专业同年级人数、本科三年的综合成绩总评名次、排名比例等内容，并加盖学校教务部门公章）。
（5）外语水平证明，如CET-6成绩、雅思、托福、专业英语等。
（6）有关获奖证书和学术科研成果，如发表论文、出版物或其他原创性工作。
（7）申请直博生的营员还应提供至少2份《专家推荐书》，由所报考学科专业领域内的正高级教授（或相当专业技术职称的专家）撰写的书面推荐意见（模板在系统中“推荐人信息维护”模块生成下载）。
（8）各学院要求提交的其它材料。</t>
  </si>
  <si>
    <t>具有“优秀营员”资格的学生若获得所在学校推荐免试研究生资格，征得拟报考导师同意后优先拟录取为我校2023年研究生，无需再参加我校推免生复试。“优秀营员”资格仅限在其所参加考核的同一学院同一学科专业内录取时有效。</t>
  </si>
  <si>
    <t>四川大学再生医学研究中心</t>
  </si>
  <si>
    <t>学习成绩优秀，本科期间综合成绩年级排名前30%者;</t>
  </si>
  <si>
    <t>英语良好，达到国家四/六级水平(425分以上）或TOEFL、GRE等考试成绩优秀者优先。</t>
  </si>
  <si>
    <t>云开营仪式、参观实验室
中心介绍、导师见面与交流
云复试考核</t>
  </si>
  <si>
    <t>2022年6月19日前</t>
  </si>
  <si>
    <t>2022年7月4日-7月6日</t>
  </si>
  <si>
    <t>50人</t>
  </si>
  <si>
    <t>1、申请表（报名成功后由系统自动生成）﹔
2、本科成绩单和专业排名证明（各1份;需加盖所在学校教务处公章）;
3、相关英语成绩、荣誉、比赛竞赛获奖证书复印件、学术成果复印件等。</t>
  </si>
  <si>
    <t>营员优惠:
参加夏令营复试考核合格的营员，如获得所在本科院校2023年推荐免试资格，在全国推免服务系统（预计9月下旬）开放后及时填报推免我中心，且夏令营填报专业与推免填报专业一致者，可被我中心直接录取为推荐免试研究生，特别优秀者可申请直接攻读博士学位。</t>
  </si>
  <si>
    <t>生物医学工程</t>
  </si>
  <si>
    <t>本科前三学年总评成绩一般在年级前15%</t>
  </si>
  <si>
    <t>1.申请表(在夏令营报名服务系统中填写并提交);
2.个人陈述(1000字左右);
3.身份证（需在有效期内，需把身份证正反面编辑在一页pdf文件中上传);
4.学生证（需把个人照片页、个人信息页、注册页扫描件编辑在一个pdf文档内上传)
5.成绩单1份，并加盖院系教务部门公章;
6.院系教务部门出具的成绩综合排名证明;
7.相关获奖证书和外语水平证书;
8.在学术期刊上发表的文章、出版物或其他学术作品也可作为申请材料提交。</t>
  </si>
  <si>
    <t>医学研究院/免疫与代谢前沿科学中心</t>
  </si>
  <si>
    <t>学习成绩优异，本科前两年半学习成绩在所在专业年级排名居前列</t>
  </si>
  <si>
    <t>外语水平良好</t>
  </si>
  <si>
    <t>6月20日12:00前</t>
  </si>
  <si>
    <t>①“武汉大学医学研究院2022年优秀大学生线上夏令营申请表”（附件1 武汉大学医学研究院2022年优秀大学生线上夏令营申请表）（须有本人签名、所在学校院系推荐意见和教务部门盖章）；
②“武汉大学医学研究院2022年优秀大学生线上夏令营个人陈述”（附件2 武汉大学医学研究院2022年优秀大学生线上夏令营个人陈述）（须有本人签名）；
③《诚信参加夏令营选拔考核承诺书》（附件3 诚信参加夏令营选拔考核承诺书） (须有本人手写签名）。
④其它证明材料：
a. 本科前两年半或三年学习成绩单原件及成绩排名证明原件，均须加盖申请人所在单位公章；
b. 国家英语四、六级考试成绩或TOEFL/GRE/GMAT/IELTS成绩等体现自身外语水平的证明；
c.体现自身学术水平的代表性学术论文、专利、出版物或原创性成果，各类获奖竞赛证书等证明；</t>
  </si>
  <si>
    <t>1）取得推免资格的“优秀营员”，在规定时间内进入教育部推免系统报考武汉大学医学研究院推免生，且服从专业调剂（我院按一级学科生物学、基础医学招生，基于两个专业招生指标分配，学院酌情在报考推免生中进行专业调整），可优先接收为我院2023年推免生。
2）未取得所在学校“推免资格”的优秀营员，第一志愿报考武汉大学医学研究院，参加2023年硕士研究生招生考试，初试成绩达到医学研究院相应专业复试分数线，其夏令营选拔考核综合成绩可作为复试综合成绩使用。
3）优秀营员在推免和统考招生中所报考的专业必须与其夏令营录取专业一致，若更换专业则不能享受上述优惠政策。</t>
  </si>
  <si>
    <t>湘雅护理学院</t>
  </si>
  <si>
    <t>远程面试平台测试
腾讯线上面试进行优秀营员选拔</t>
  </si>
  <si>
    <t>（1） 网上提交申请后，下载打印《申请表》一份，不需加盖公章。
（2）本人有效二代身份证件和学生证及复印件（原件在面试时出具）</t>
  </si>
  <si>
    <t>高等医学研究院</t>
  </si>
  <si>
    <t>学习成绩优秀，综合成绩排名前列</t>
  </si>
  <si>
    <t>通过国家英语六级水平考试，学习成绩优秀者可放宽至英语四级水平。TOEFL或GRE成绩优秀者亦可</t>
  </si>
  <si>
    <t>⑴ 开营仪式
⑵ 研究院和学科介绍
⑶ 导师面对面
⑷ 前沿讲座
⑸ 线上实验室参观
⑹ 学生综合素质考察
⑺ 闭营仪式</t>
  </si>
  <si>
    <t>6月28日前</t>
  </si>
  <si>
    <t>2022年7月5日-6日</t>
  </si>
  <si>
    <t>1.夏令营申请表（附件1）
2.截至当前本科阶段成绩单原件（教务部门盖章）；
3.截至当前总评成绩排名证明（教务部门盖章），如暂未有成绩排名，可在九月份补交；
4.国家英语四、六级考试成绩等体现自身英语水平的证明材料；
5.其他证明材料：如能体现自身学术水平的代表性学术论文、本科阶段重要获奖证书等。
备注：
⑴ 本科阶段成绩单、总评成绩排名如因疫情影响，暂时无法签字、盖章，请申请人在成绩单、总评成绩排名证明空白处标注“本人保证提供所有信息及材料真实、准确”并签名；
⑵ 请申请人自行对所提交材料的真实性负责，如有不实一经发现，取消参营资格并追究后续责任。</t>
  </si>
  <si>
    <t>附属第一医院</t>
  </si>
  <si>
    <t>学习成绩优异（本科综合成绩排名全年级同专业前30%，已获得或将获得所读大学免试推荐研究生资格者优先考虑）。</t>
  </si>
  <si>
    <t>开营式、医院介绍、学术讲座主题参观、学位教育介绍、名师讲堂、特色学科互动和青年学者沙龙、综合面试、闭营式</t>
  </si>
  <si>
    <t>2022年6月30日16:00</t>
  </si>
  <si>
    <t>2022年8月3日-8月5日</t>
  </si>
  <si>
    <t>1、填写暑期夏令营问卷星申请表，并按顺序将以下附件合并成一个PDF文件（不超过5M）后上传：
①PDF版个人简历（A4纸，限1页）
②有效期内的身份证PDF扫描件；
③加盖有效注册印章的在校学生证PDF扫描件；
④加盖教务部门公章的本科阶段成绩单及成绩总评证明PDF扫描件；
⑤英语四/六级或TOEFL、IELTS、GRE、GMAT等体现自身英语水平的考试成绩单PDF扫描件；
⑥公开发表论文、获奖证书PDF扫描件（论文提交首页即可）；
⑦其他辅助申请材料PDF扫描件。
2、个人30秒自我简介（不超过25M）
以视频形式录制1分钟简单自我介绍，须涵盖名字及所就读院校。该视频将会由教育处研究生科整理并发送至所报考的意向专业老师。
视频格式要求为AVI或MP4，横频，视频文件命名方式为：2022夏令营自我介绍+姓名+就读院校名称，如格式不符合要求则不予接收。</t>
  </si>
  <si>
    <t>西安交通大学</t>
  </si>
  <si>
    <t>医学部</t>
  </si>
  <si>
    <t>所在专业在第四轮学科评估中排名B+以上学科，学习成绩排名前15%。在科研、竞赛等方面表现优异者，如在重要学术期刊上发表论文、在国际级或国家级竞赛中获奖、获双学位等，上述排名要求可适当放宽；</t>
  </si>
  <si>
    <t>一般应通过英语6级</t>
  </si>
  <si>
    <t>线上+线下举办</t>
  </si>
  <si>
    <t>1．概况介绍：介绍医学部的发展历史与现状，以及在人才培养、教学和科研等方面取得的成绩；
2．知名教授学术前沿讲座：邀请知名教授和学科带头人做专题讲座和学术报告，培养学生对科研工作的兴趣；
3．院、系宣讲会：由各院、系负责人向学生介绍系所导师团队、研究方向、科研基础设施和研究生毕业去向等，使学生对各系所及研究方向有更进一步的了解；
4．组织相关面试，选拔优秀营员。</t>
  </si>
  <si>
    <t>2022年6月15日-6月30日</t>
  </si>
  <si>
    <t>7月中、下旬</t>
  </si>
  <si>
    <t>1．2022年优秀大学生暑期夏令营申请表1份；
2．学生证及身份证复印件1份；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5．外语水平证明材料（如大学英语四、六级成绩、TOEFL成绩、GRE成绩等）。</t>
  </si>
  <si>
    <t>被评为优秀营员者，获得所在学校2023推免资格，且第一志愿申报医学部相关专业免试攻读硕士学位研究生，同等条件下可优先录取。</t>
  </si>
  <si>
    <t>生物医学工程研究所</t>
  </si>
  <si>
    <t>学习成绩优秀，具有博士学位授予权的高校学生，专业成绩排名在同年级前50%，其他普通高校学生专业成绩排名在同年级前30%；</t>
  </si>
  <si>
    <t>英语水平满足下列条件之一者优先：CET-6≥425分，雅思5.5分，托福80分或GRE280分以上</t>
  </si>
  <si>
    <t>2022年7月15日至7月16日</t>
  </si>
  <si>
    <t>1、个人简历及个人陈述（包括：个人基本信息、学术背景、曾经做过的研究工作以及未来学习和研究的计划、目标、参与过的社团活动等）；
2、本科或硕士历年成绩单一份；
3、全国大学生英语四、六级考试成绩单或TOEFL、IELTS、GRE成绩等能够体现自身英语水平的证明材料；
4、其他相关能力的证明材料（如发表论文、专利、各类获奖证书等）；
5、本人有效期内的身份证与学生证；
6、本人的联系电话与常用邮箱。</t>
  </si>
  <si>
    <t>主要包括邀请北京脑中心的PI进行系统授课、展示北京脑中心的实体实验室、以及多种交流形式。</t>
  </si>
  <si>
    <t xml:space="preserve"> 6月12日24:00前</t>
  </si>
  <si>
    <t>（1）电子版材料：登录北京脑中心报名网站 (www.education.cibr.ac.cn，请用Fire Fox或Google Chrome浏览器)，填写个人申报信息。
（2）纸质版材料：
1)  专家推荐信2封，需要2位副教授（含）以上职称的专家分别推荐，且密封并在封口骑缝处签字（无模板）；
2)  应届本科生需提供本科阶段成绩单和成绩排名证明（由教务部门盖章）1份；
3)  体现自身英语水平的证明，如国家英语四、六级考试、或TOEFL、雅思与GRE考试等成绩的复印件；
4)  其他证明材料（如体现自身学术水平的代表性学术论文或其他原创性工作成果的首页复印件、获奖证书复印件等）；</t>
  </si>
  <si>
    <t>学习成绩优秀，本科前三年总评成绩排名在本班前10%之内</t>
  </si>
  <si>
    <t>英语水平良好，达到国家六级水平（450分以上），或TOEFL、IELTS或GRE成绩，具备利用英语进行科研、写作以及交流的能力；</t>
  </si>
  <si>
    <t>6月1日00:00-6月20日23:59</t>
  </si>
  <si>
    <t>7月8日-9日</t>
  </si>
  <si>
    <t>不超过100人</t>
  </si>
  <si>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8、声明
提示：个人陈述、专家推荐信、声明均可在系统中下载模板。</t>
  </si>
  <si>
    <t>上海中医药大学</t>
  </si>
  <si>
    <t>交叉科学研究院</t>
  </si>
  <si>
    <t>学习成绩优异，专业排名需在前25%；创新型、荣誉型特色学院，以及基地班、卓越班、创新班等除外；有科研成果或潜力的同学以及能达到所在高校推免资格的同学除外；</t>
  </si>
  <si>
    <t>Ø CET-6通过（或 ≥ 425分）；
Ø WSK（PETS-5）考试合格；
Ø 国家英语专业四级及以上考试合格；
Ø TOEFL成绩100分以上（IBT）或250分以上（CBT）；
Ø GRE成绩1300分以上，新GRE成绩325分以上；
Ø IELTS ≥ 6.0</t>
  </si>
  <si>
    <t>2022年6月1日~2022年7月1日</t>
  </si>
  <si>
    <t>2022年7中旬</t>
  </si>
  <si>
    <t>30-50人</t>
  </si>
  <si>
    <t>1. 《上海中医药大学交叉科学研究院2022年大学生夏令营申请表》；
2. 有效身份证件（正反面在一页上）；
3. 本人学籍认证报告，学信网上在线验证并下载；
4. 学生证（照片、学号页即可）；
5. 本科成绩单（院系或教务处盖章；可提供学校网络截图），专业排名需在前15%。
6. 英语水平证明材料（英语成绩证书等）；
7. 个人简历（中英文均可，无格式要求）；
8. 推荐信（推荐人签名，可电子签名）；
9. 获奖证书复印件（包括本科期间能突出自己特长、社会贡献、综合素质能力等各类证书）；
10. 已发表的论文及专利，或其它原创性成果、其他有参考价值的科研实验工作证明材料；
11. 身体健康情况申报表。</t>
  </si>
  <si>
    <t>若优秀营员获得本科所在学校的2023年优秀应届本科毕业生推荐免试攻读研究生资格，且第一志愿报考我校交叉科学研究院相关专业，将免除推免复试并根据报考导师的研究生招生名额等实际情况优先录取。</t>
  </si>
  <si>
    <t>华西口腔医学院</t>
  </si>
  <si>
    <t>学习成绩优秀，原则上本科期间学业成绩达到本专业年级排名前20%</t>
  </si>
  <si>
    <t>英语成绩优秀（CET-4考试成绩达到480分、CET-6考试成绩达到425分，或TOEFL、IELTS、GRE等考试成绩优秀者）</t>
  </si>
  <si>
    <t>学院宣传及学科介绍、学术讲座、创新论坛、营员与导师交流、参观实验室等活动</t>
  </si>
  <si>
    <t>2022年7月12日至14日</t>
  </si>
  <si>
    <t xml:space="preserve">　　1、申请表（报名成功后由系统自动生成）。
　　2、本科成绩单和全专业学业成绩排名证明（各1份，院、校两级教务部门盖章均可）。
　　3、大学英语CET-4/CET-6成绩单，TOEFL、IELTS、GRE成绩单等英语成绩证明材料。
　　4、个人简历及相关支撑材料做成一个PDF文件，如荣誉证书、资格证明、发表论文、专利等有关能力的证明材料。
</t>
  </si>
  <si>
    <t>考核优秀的营员，获得推免资格且满足学校接收推免生条件者，在推免系统及时响应填报我校即可免复试予以录取（含直博生申请及考核）</t>
  </si>
  <si>
    <t>湘雅口腔医院</t>
  </si>
  <si>
    <t>学院宣讲招生政策、教研室、科室进行招生宣讲</t>
  </si>
  <si>
    <t>7月-8月</t>
  </si>
  <si>
    <t>1.报名系统下载打印的《申请表》；
2.本人有效二代身份证件和学生证；
3.在校历年学习成绩单，并由所在学校或院系的教务部门加盖公章；
4.大学英语四级、六级考试成绩单，或托福、雅思成绩单；
5.有学术成果（包括公开发表论文、出版著作、获得专利、获得学术科技奖项、承担课题或者其他具有学术水平的工作成果）者，提供学术成果扫描件；
6.有获得各类荣誉、表彰、奖励证书者，提供扫描件一份；
7.所在学院党组织或学工部门出具的在校表现及无违法违纪、无受处分证明。</t>
  </si>
  <si>
    <t>在校学科成绩排名前20%</t>
  </si>
  <si>
    <t>6月13日—7月3日</t>
  </si>
  <si>
    <t>（一）前四学年的成绩单原件与总评成绩排名证明（均需单位盖章）。
（二）获奖证书复印件各1份;
（三）国家英语四、六级考试成绩等体现自身英语水平的证明1份;
（四）体现自身学术水平的代表性学术论文、出版物或原创性工作成果。
（五）山东大学报考硕士研究生人员思想政治素质和品德考核表。</t>
  </si>
  <si>
    <t>取得所在学校“推免资格”的优秀营员，将免予复试。</t>
  </si>
  <si>
    <t>学习成绩排名前列</t>
  </si>
  <si>
    <t>英语水平优秀（六级成绩≥425分）</t>
  </si>
  <si>
    <t>截止时间为6月19日17：00</t>
  </si>
  <si>
    <t>6月30日—7月1日</t>
  </si>
  <si>
    <t>1.公共卫生学院夏令营申请表（需签字盖章）；
2.截止到报名前的本科成绩单（需加盖教务处公章）；
3.英语成绩证明：如国家英语四、六级考试成绩、TOEFL成绩、GRE成绩等证明材料；
4.科研成果相关证明材料：申请人可提交体现自身学术水平的代表性学术论文、出版物或原创性工作成果及获奖证书。无科研成果者可不提交本项材料。
5. 夏令营申请信息表（见通知附件）。</t>
  </si>
  <si>
    <t>取得优秀营员资格的同学如报考我院推荐免试研究生，经过复试选拔后，在推免计划允许的情况下，按照成绩依次录取。</t>
  </si>
  <si>
    <t>所在学校或专业需符合下列条件中的一条者优先考虑：
所在学校属于教育部公布的世界一流大学A类建设高校（36所）；
中国科学院大学；
不属于上述高校，但所在专业在教育部第四轮学科评估中的结果为“B+及以上”</t>
  </si>
  <si>
    <t>英语水平良好，全国大学外语四级考试成绩在425分以上</t>
  </si>
  <si>
    <t>学院及学科介绍、个人学术能力展示、与青年学者线上面对面交流探讨及优秀营员考核等</t>
  </si>
  <si>
    <t>2022年6月6日8点前</t>
  </si>
  <si>
    <t>2022年6月10日至6月23日</t>
  </si>
  <si>
    <t>（1）2022年全国优秀大学生学术夏令营申请表（附件1）；
（2）成绩单一份，需加盖教务部门公章；
（3）其他证明材料—外语水平证明（英语四、六级证书等）、获奖证明材料、发表论文材料。</t>
  </si>
  <si>
    <t>我院将根据学生提交的申请材料及在夏令营期间的综合表现等进行评审，确定优秀营员名单，在符合我校接收推荐免试硕士研究生相关要求和学院相关政策基础上，可直接接收为吉林大学公共卫生学院“推免生”，并以《报名表》中本人所填申请攻读专业作为以后本人录取专业的参考；所有推免的学生录取后，第一学年将获得学业奖学金。</t>
  </si>
  <si>
    <t>学习成绩优异，在学期间专业主干课无重修科目或补考记录；</t>
  </si>
  <si>
    <t>外语程度良好，具有较强的外语听、说、读、写应用能力</t>
  </si>
  <si>
    <t>2022年5月18日-6月15日</t>
  </si>
  <si>
    <t>　　 1．《中国科学院生物物理研究所推荐免试攻读硕博连读研究生申请表》，见附件。申请表需本人签名。（注：申请人所学专业的同年级总人数及申请人三学年总评成绩在本专业年级排名处必须由院系及学校教务管理部门填写并盖章，是否具有推免资格一栏如所在学校尚未开展推免工作可暂时不填写）；
　　 2．所在学校教务部门（或院系）出具并加盖公章的大学本科前三年所修课程成绩单（五年制的提供前四年课程成绩单）；
　　 3．《政审表》；
　　 4．第二代居民身份证复印件；
　　 5．英语等级证书复印件；
　　 6．大学期间的获奖证书复印件；
　　 7．在公开发行的学术刊物或全国性学术会议上发表的学术论文、所获专利或其他原创性工作成果的复印件或证明。及对申请有参考价值的其它材料；
　　 8.《专家推荐信》（非必须），由副教授或相当职称以上专家推荐，请推荐专家直接发送邮件至kb@ibp.ac.cn，邮件主题请注明：学生姓名-专家推荐信）。纸版推荐信需密封并由推荐专家在封口处骑缝签字，待后续通知上交纸版材料时再行提交。</t>
  </si>
  <si>
    <t>卫生管理与政策研究中心</t>
  </si>
  <si>
    <t>英语水平优秀（原则上须达到六级成绩≥425分）</t>
  </si>
  <si>
    <t>线上线下相结合</t>
  </si>
  <si>
    <t xml:space="preserve">开营仪式和介绍中心发展历程、学科优势及发展前景；提前面试、闭营仪式。  </t>
  </si>
  <si>
    <t>6 月19日前</t>
  </si>
  <si>
    <t>2022年 6月30 日</t>
  </si>
  <si>
    <t>什么</t>
  </si>
  <si>
    <t>1）个人简历1份；
2）前两年半（4年制）或前三年半（5年制）成绩单与总评成绩排名证明；成绩单和排名的纸质材料需要加盖院系公章，如有不实将取消录取资格，并承担相应后果；
3）相关证明材料（英语六级成绩单；各类奖励材料）的电子扫描件；
4）申请人还可提交体现自身学术水平的代表性学术论文、出版物等材料。</t>
  </si>
  <si>
    <t>得优秀营员资格的同学如报考中心推荐免试研究生，在推免计划允许的情况下，将免予复试，按照成绩依次拟录取。</t>
  </si>
  <si>
    <t>移免实验室/前沿科学中心</t>
  </si>
  <si>
    <t>学习成绩优秀，本科期间总评成绩排名年级前30%</t>
  </si>
  <si>
    <t>全国大学外语四级水平考试成绩优良（480分以上），全国大学外语六级水平考试成绩合格（425分及以上），或TOEFL、GRE等考试成绩优秀者</t>
  </si>
  <si>
    <t>我室/中心宣传与学科介绍、实验室参观、科研平台与团队介绍、营员与导师交流、优秀学长沙龙、推免与考研政策介绍等活动</t>
  </si>
  <si>
    <t>截止日期2022年6月26日</t>
  </si>
  <si>
    <t>2022年7月12日-13日</t>
  </si>
  <si>
    <t>1、申请表（报名成功后由系统自动生成）；
2、本科成绩单和专业排名证明（各1份；院、校两级教务部门盖章均可）；
3、大学英语四/六级成绩单、TOEFL、GRE成绩单等英语成绩证明材料；
4、其他有关能力的证明材料（如发表论文、专利、相关获奖证书等的复印件）。</t>
  </si>
  <si>
    <t>考核优秀的营员、获得推免资格且满足学校接收推免生条件者，在推免系统及时响应填报我校即可免复试予以录取</t>
  </si>
  <si>
    <t>本科前三年（或前5学期）总评成绩排名在本学院或专业前20%之内</t>
  </si>
  <si>
    <t>英语达到国家四级及以上水平（总分＞450分）；或提供相应水平的TOEFL、雅思、GMAT、GRE等成绩</t>
  </si>
  <si>
    <t>学术报告、课题组介绍、实验室平台云参观、研究生科研生活展示、招生政策解读及学生与导师座谈交流等</t>
  </si>
  <si>
    <t>2022年6月3日-2022年6月27日</t>
  </si>
  <si>
    <t>50人以上</t>
  </si>
  <si>
    <t>①中国科学院大学2022年夏令营申请表（报名系统生成，须本人签字）；
②本科成绩单和专业排名证明（需加盖教务处或学院公章）；
③相关英文水平证明：英语四/六级成绩单、雅思成绩单等；
④其他证明材料（包括已发表论文或出版物复印件、各类奖励证书复印件、推荐信等）；
⑤学生证和身份证复印件。</t>
  </si>
  <si>
    <t xml:space="preserve"> 本次夏令营期间将通过视频面试等考核方式选拔优秀营员，优秀营员在获得所在学校免试推荐直升研究生资格后，在推免系统中选报我院，我院将根据申请人综合考评情况优先录取</t>
  </si>
  <si>
    <t>学习成绩优异，本科前三年（或前五学期）总评成绩排名在专业前30%</t>
  </si>
  <si>
    <t>英语水平良好，全国大学英语六级成绩≥425分或新TOEFL≥90分或IELTS≥6.0分。</t>
  </si>
  <si>
    <t>6月24日前</t>
  </si>
  <si>
    <t>1.上海交通大学药学院研究生优才夏令营活动申请表（点击下载：上海交通大学药学院研究生优才夏令营申请表；打印后需签字盖章扫描上传）
2.居民二代身份证（正反面扫描件）
3.学生证（扫描件）
4.教育部学籍在线验证报告（登录学信网：http://www.chsi.com.cn/进入“学信档案”在线申请学籍验证）
5.本科阶段成绩单并加盖所在学校教务部门公章，成绩单上应标明专业排名（扫描件）
6.外语水平证明材料（如英语六级、托福、雅思等成绩单原件扫描件）
7.个人简历
8.其他材料（如已发表的论文或专利、与科研相关的获奖证书等原件扫描件；非必须项）
9.博士阶段研究计划书（仅申请推免直博生需填写）。</t>
  </si>
  <si>
    <t>如“优秀营员”获得所在学校推荐免试直升研究生资格，并在教育部“全国推荐优秀应届本科毕业生免试攻读研究生信息公开暨管理服务系统”（以下简称“推免服务系统”）中选报我院，我院将通过“推免服务系统”向其发送拟录取通知。如“优秀营员”在该系统中按照本科直博生进行报名，经报名的博士导师同意后，则可转为本科直博生录取。我院根据夏令营综合考核分数从高到低择优录取，额满为止，同等情况下申请直博者优先</t>
  </si>
  <si>
    <t>中国医学科学院/北京协和医学院</t>
  </si>
  <si>
    <t>病原生物研究所</t>
  </si>
  <si>
    <t>英语水平良好，达到大学英语六级（450分以上）或相当水平</t>
  </si>
  <si>
    <t>师生座谈会、学术活动、专题讲座。</t>
  </si>
  <si>
    <t>1.营员需扫码填写问卷星；
2.北京协和医学院病原所2022年夏令营申请表（见附件）；
3.截止报名时的本科历年成绩单１份（加盖教务部门公章）；
4.专业总评成绩排名证明材料（加盖教务部门公章）；
5.大学英语六级考试成绩或TOEFL、 IELTS、 GRE 成绩等体现自身英语水平的证明；
6.其他有关能力的证明材料（如发表论文、专利，各类获奖证书等）；
7.专家推荐信2封，需副教授及以上职称专家亲笔签字；</t>
  </si>
  <si>
    <t>在符合北京协和医学院推免生要求前提下，全程参加我所暑期夏令营，且学科组考核被评为优秀营员的学生，若获得所在学校推荐免试研究生资格，同等条件优先拟录取为我校2023年推免研究生</t>
  </si>
  <si>
    <t>学习成绩优秀，本科前两年半学习成绩在所在专业年级排名居前</t>
  </si>
  <si>
    <t>1.举办专业介绍和学术讲座，由知名专家学者主讲；
2.开展优秀生源的选拔工作。</t>
  </si>
  <si>
    <t>7月7日－7月8日</t>
  </si>
  <si>
    <t>100人左右</t>
  </si>
  <si>
    <t>1.“武汉大学2022年优秀大学生夏令营”申请表1份（附件1），申请表须有本人所在学校院系推荐意见和教务部门盖章；
2.个人陈述1份（附件2）；
3.其他证明材料（包括：前两年半学习成绩单；获奖证书复印件；各类证书复印件；国家英语四、六级考试成绩或TOEFL/GRE/GMAT/雅思成绩等体现自身英语水平的证明复印件；体现自身学术水平的代表性学术论文、出版物或原创性成果复印件等）。</t>
  </si>
  <si>
    <t>转化医学研究院</t>
  </si>
  <si>
    <t>2022年6月16日9:00AM</t>
  </si>
  <si>
    <t>华中科技大学</t>
  </si>
  <si>
    <t>同济医学院药学院</t>
  </si>
  <si>
    <t>来自“双一流”学校或学科，本科总评成绩排名年级前30%或其他高校特别优秀、能取得推免资格的学生；</t>
  </si>
  <si>
    <t>6月22日24点前</t>
  </si>
  <si>
    <t>2022年7月7日-7月9日</t>
  </si>
  <si>
    <t>1.个人简历1份(含不少于300字的个人陈述)；
2.加盖学校或院系公章的在校学习成绩单和专业排名证明；
3.英语水平证明材料（包括国家英语四、六级成绩，TOEFL/GRE/GMAT成绩等）；
4.获奖证书或参与科研项目证明扫描件各1份；
5.申请人还可提交体现自身学术水平的代表性学术论文、出版物或原创性工作成果的扫描件；
（1，2，3为必要材料，其他材料可以根据自身情况选择性提交）</t>
  </si>
  <si>
    <t>英语水平良好，原则上至少应通过大学英语四级考试</t>
  </si>
  <si>
    <t>学科介绍、名师讲座、个人学术能力展示、与青年学者线上面对面交流探讨</t>
  </si>
  <si>
    <t>2022年6月13日前</t>
  </si>
  <si>
    <t>6月中下旬</t>
  </si>
  <si>
    <t>（1）《吉林大学药学院2022年全国优秀大学生夏令营报名表》（系统生成）；
（2）本科成绩单和成绩排名，需加盖教务部门公章；
（3）其他证明材料—外语水平证明（英语四、六级证书等）、获奖证明材料、发表论文材料。</t>
  </si>
  <si>
    <t>我院将根据学生提交的申请材料、以及在夏令营期间的综合表现等进行评审，在符合我校接收推荐免试硕士研究生相关要求和学院相关政策基础上，可直接接收为吉林大学“推免生”，并以《报名表》中本人所填申请攻读专业作为以后本人录取专业的参考</t>
  </si>
  <si>
    <t>深圳先进技术研究院生物医药与技术研究所</t>
  </si>
  <si>
    <t>英语水平良好（通过英语六级）</t>
  </si>
  <si>
    <t>知名专家学术讲座、生物制药相关专题报告、实验室参观体验、师生座谈交流会、导师面对面畅谈、推免生面试、深圳自然人文风情学习观光</t>
  </si>
  <si>
    <t>2022年6月25日截止</t>
  </si>
  <si>
    <t>1）中国科学院深圳先进院2022年夏令营申请表，需网上报名后下载；
2）本科成绩单（GPA）和专业排名，需教务处盖章（如因疫原因暂时无法提供，可提供一份书面说明）
3）相关英文能力证明（包括大学四、六级，雅思，托福，GRE等）
4）学生证（封面与信息页）和身份证（正反面）复印件
5）推免资格证明（如有请提供）
6）专家推荐信（如有请提供）
7）其它获奖或证明书材料（如已发表论文、各类证书奖状、较厚的论文或出版物提供论文首页或出版物摘要即可）</t>
  </si>
  <si>
    <t>本次夏令营不收取任何费用，且可凭票报销来深单程路费（实报高校或家庭所在城市至深圳的火车硬座或硬卧或动车二等座费用。市内车费不予报销）；夏令营期间免费提供住宿、餐饮、文化衫等，并为每位营员购买意外保险。</t>
  </si>
  <si>
    <t xml:space="preserve"> 夏令营期间将通过面试等考核方式选拔优秀营员，优秀营员将有机会优先获得2023级医药所推荐免试研究生资格</t>
  </si>
  <si>
    <t>第一医院</t>
  </si>
  <si>
    <t>在学期间成绩优秀</t>
  </si>
  <si>
    <t>英语水平良好，具备利用英语进行科研、写作以及交流的能力</t>
  </si>
  <si>
    <t>学院总体情况介绍、学科专业介绍、科研/临床环境介绍、奖助政策介绍等环节</t>
  </si>
  <si>
    <t>截止时间为6月30日23:00</t>
  </si>
  <si>
    <t>　　1.夏令营申请表(申请表可于系统导出打印)，填写后学校教务处或院系负责人签字盖章;
　　2.个人简历及个人陈述(关于个人学术背景、曾经做过的研究工作以及未来学习和研究的计划、目标等，可于系统中下载模板，须亲笔签字);
　　3.本科历年成绩单1份;
　　4.英语六级水平证书或相关英语成绩证明(官方认证的纸质成绩单复印件);
　　5.成绩排名证明(含专业成绩排名和综合成绩排名，由学校教务部门盖章或院系出具证明);
　　6.专家推荐信2封(副教授及以上职称相关专业专家分别推荐，模板可在夏令营申请系统中下载，须专家签字确认);
　　7.声明(可于系统中下载模板);
　　8.其他有关能力的证明材料(如：发表论文、专利，各类获奖等)。
以上1-7为必须项，第8项由申请人根据自身实际情况提交</t>
  </si>
  <si>
    <t>第二医院</t>
  </si>
  <si>
    <t>线上讲座、报告和研讨会等多种活动</t>
  </si>
  <si>
    <t>截止时间为6月25日</t>
  </si>
  <si>
    <t xml:space="preserve">    a.2022年山大二院优秀大学生暑期夏令营报名信息表.xlsx（附件1）；
    b.2022年山大二院优秀大学生暑期夏令营申请表.doc（附件2）；
    c.截止报名时间前的本科阶段成绩单，需有出具成绩单的教务部门盖章；
    d.语言成绩证明，如大学生英语四、六级考试成绩，TOEFL成绩，IELTS成绩，GRE成绩等能体现外语水平的证明；
    e.科研成果、奖励等证明材料，申请人可提交体现自身学术水平的代表性学术论文、出版物或原创性工作成果及获奖证书。</t>
  </si>
  <si>
    <t>首都医科大学</t>
  </si>
  <si>
    <t>北京市神经外科研究所</t>
  </si>
  <si>
    <t>在学期间学习成绩优秀</t>
  </si>
  <si>
    <t>英语熟练掌握听、说、读、写，全国大学英语六级（成绩425分以上）或同等水平以上</t>
  </si>
  <si>
    <t>线上线下结合</t>
  </si>
  <si>
    <t>专家讲座、导师答疑、学长学姐分享、云游神外所、前沿热点科研项目介绍</t>
  </si>
  <si>
    <t>2022年6月30日中午12：00前</t>
  </si>
  <si>
    <t>20-30名</t>
  </si>
  <si>
    <t>材料1：名称：本科阶段成绩单，含综合成绩排名，要求：教务部门或档案管理部门盖章，提交格式：PDF，命名方式：“姓名+本科阶段成绩单”。
材料2：名称：证明材料，要求：将英语水平证书、获奖证书等所有证明材料，存为一个PDF文件，提交格式：PDF，命名方式：“姓名+证明材料”。
材料3：名称：个人简历，要求：A4纸一页，包含基本信息，联系方式，本科院校，专业，主要课程，成绩体现，英语成绩，个人特长等，提交格式：PDF，命名方式：“姓名+个人简历”。
材料4：网报信息真实承诺书1份，打印后签字，扫描为PDF格式，命名方式：“姓名+网报信息真实承诺书”。
材料5：发表的科研论文（若有），PDF格式，文件名：“姓名+论文1，姓名+论文2……”。
材料6：学生基本情况登记表，Excel格式，文件名：“姓名+登记表”。</t>
  </si>
  <si>
    <t>根据夏令营期间整体表现颁发“优秀营员”证书，在考研同等条件下优先录取。</t>
  </si>
  <si>
    <t>同济医学院生殖健康研究所</t>
  </si>
  <si>
    <t>（1）开营仪式、生殖健康研究所发展历程及各研究方向介绍，在读研究生分享研究生生活，导师与营员交流等；
（2）生殖健康研究所第二届“1+X”研究生学术论坛；</t>
  </si>
  <si>
    <t>7月5日和7月6日</t>
  </si>
  <si>
    <t>1.《华中科技大学同济医学院生殖健康研究所2022年暑期夏令营申请表》1份；
2.《2022年夏令营营员个人信息汇总表》1份；
3.本科阶段成绩单及同年级总成绩排名（由教务系统或院系盖章）1份；
4.体现自身英语水平的证明（如国家英语四、六级考试成绩，TOEFL、GRE成绩等）；
5.个人简历1份（按A4排版不超过一页）；
6.体现自身学术水平的代表性学术论文或其他原创性工作成果、获奖证书等。</t>
  </si>
  <si>
    <t>优秀营员在推免阶段或者在研究生国家统一招考报考生殖健康研究所，如达到国家和院系分数线，将被优先考虑。</t>
  </si>
  <si>
    <t>医学技术研究院</t>
  </si>
  <si>
    <t>（1）各二级学科、实验室介绍；
（2）线上学术讲座；
（3）师生交流，了解课题内容、学科发展前沿。</t>
  </si>
  <si>
    <t>6月25日00:00前</t>
  </si>
  <si>
    <t>2022年7月4日至5日</t>
  </si>
  <si>
    <t>1) “北京大学医学技术全国优秀大学生暑期夏令营活动申请表”(附件1) 1份；
2) 教务部门盖章的本科阶段成绩单扫描件1份（PDF文件，不能返校盖章的提供教务系统查询截图）；
3) 体现自身英语水平的证明的扫描件1份（包括但不限于国家英语四六级成绩、TOEFL成绩、雅思成绩）
4) 其他证明材料扫描件（如体现自身学术水平的代表性学术论文、出版物或原创性工作成果、获奖证书）
5) 专家推荐信（附件2）2封： 2位副教授以上职称专家分别推荐。</t>
  </si>
  <si>
    <t>天津大学</t>
  </si>
  <si>
    <t>学习成绩优秀，一流大学建设高校和研究生院高校学生学习成绩排名须在班级或专业前30％；一流学科建设高校或所在专业为国家重点学科院校的学生学习成绩排名在班级或专业前10％；或有突出成果、论文或特殊专业特长者；或在全国重大竞赛中获奖者；或具备推荐免试攻读研究生优先。</t>
  </si>
  <si>
    <t>英语水平良好，达到英语六级水平（成绩≥425分）或四级成绩优秀（成绩≥550分）。</t>
  </si>
  <si>
    <t>活动举办期间，将全面介绍学院发展近况，请营员云参观实验室，邀请专家学者开设线上专题讲座、导师见面会、优秀学长交流会等活动。</t>
  </si>
  <si>
    <t>6月7日-6月24日</t>
  </si>
  <si>
    <t>2022年6月30日—7月1日</t>
  </si>
  <si>
    <t>申请者须通过报名系统提交电子版照片，请下载药学院专用模板：“药学院2023级申请天津大学推荐免试硕士研究生证明材料”，并使用英文填写，完成后转成PDF上传至系统</t>
  </si>
  <si>
    <t>天津大学2023级研究生招生夏令营的招生优惠政策分设A、B两档标准：
    （1）A档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
A-档  合格营员如获得所在学校的研究生推荐免试资格，并选报天津大学，同等条件下优先录取。
如未获得所在学校的研究生推荐免试资格，但报考我校2023级硕士研究生的合格营员，可享受B档优惠政策。
      （2）B档
        合格营员报考我校2023级硕士学位研究生，考试成绩达到我校的相应学科门类复试基本分数线（即学校线，含总分、单科分数）后，可直接参加复试，不受学院分数线限制，表现优异者可优先拟录取。
   此外，我校录取的学术型推荐免试硕士研究生，可直接录取为直接攻读博士学位研究生（直博生），或在学期间表现优秀者，可申请硕博连读。</t>
  </si>
  <si>
    <t>人民医院</t>
  </si>
  <si>
    <t>学院总体情况介绍、学科专业介绍、学科交流、科研/临床环境介绍、奖助政策介绍等环节</t>
  </si>
  <si>
    <t>1.夏令营申请表(申请表可于系统导出打印)，填写后学校教务处或院系负责人签字盖章；
2.个人简历及个人陈述(关于个人学术背景、曾经做过的研究工作以及未来学习和研究的计划、目标等，可在系统中下载模板，须亲笔签字)；
3.本科历年成绩单1份，须加盖所在学校或院系教务部门公章；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7.两位副教授或以上专家的推荐信（可在系统中下载模板，须专家签字）；
8.声明（可在系统中下载模板）。</t>
  </si>
  <si>
    <t>第三医院</t>
  </si>
  <si>
    <t>学院总体情况介绍、学科专业介绍、科研/临床环境介绍、师生交流等环节</t>
  </si>
  <si>
    <t>网上申报截止时间为6月30日24:00</t>
  </si>
  <si>
    <t>1.夏令营申请表(申请表可于系统导出打印，本人亲笔签名)，须学校教务处或院系负责人签字盖章；
2.个人简历及个人陈述(关于个人学术背景、曾经做过的研究工作以及未来学习和研究的计划、目标等)，须本人亲笔签名；
3.本科历年成绩单1份，须加盖所在学校教务部门公章；
4. 成绩排名证明(含专业成绩排名和综合成绩排名，由学校教务部门盖章或院系出具证明)；
5.英语六级水平证书或相关英语成绩证明（官方认证的纸质成绩单复印件）；
 6.其他有关能力的证明材料(如：发表论文、专利，各类获奖等)；
 7.声明（可在系统中下载模板）。</t>
  </si>
  <si>
    <t>肿瘤医院</t>
  </si>
  <si>
    <t>英语水平达到国家六级或相当水平</t>
  </si>
  <si>
    <t>6月13日至6月24日</t>
  </si>
  <si>
    <t>1. 夏令营申请表（申请表可于系统导出打印），填写后学校教务处或院系负责人签字盖章；
2. 个人简历及个人陈述（关于个人学术背景、曾经做过的研究工作以及未来学习和研究的计划、目标等）；
3. 本科或硕士成绩单1份，须加盖所在学校教务部门公章；
4. 英语六级水平证书或相关英语成绩证明；
5. 成绩排名证明（含专业成绩排名和综合成绩排名，由学校教务部门盖章或院系出具证明。硕士生可不出具）；
6. 其他有关能力的证明材料（如：发表论文、专利、各类获奖等）；
7. 两位副教授或以上职称专家的推荐信；
8. 声明。</t>
  </si>
  <si>
    <t>第六医院</t>
  </si>
  <si>
    <t>英语水平良好，具备利用英语进行科研、写作以及交流的能力;</t>
  </si>
  <si>
    <t>截止时间为6月28日23：59</t>
  </si>
  <si>
    <t>2022年7月8日-9日</t>
  </si>
  <si>
    <t>1.夏令营申请表(申请表可于系统导出打印)，填写后学校教务处或院系负责人签字盖章;
2.个人简历及个人陈述(关于个人学术背景、曾经做过的研究工作以及未来学习和研究的计划、目标等);
3.英语六级水平证书或相关英语成绩证明;
4.成绩单及成绩排名证明(含专业成绩排名和综合成绩排名)，由学校教务部门盖章或院系出具证明;
5.其他有关能力的证明材料(如：发表论文、专利，各类获奖等);
6.声明</t>
  </si>
  <si>
    <t>齐鲁医院</t>
  </si>
  <si>
    <t>截止时间为6月30日</t>
  </si>
  <si>
    <t xml:space="preserve">    a. 2022年山东大学齐鲁医院（第一临床学院）优秀大学生暑期夏令营报名信息表.xlsx （附件1）；
    b. 2022年山东大学齐鲁医院（第一临床学院）优秀大学生暑期夏令营申请表.doc （附件2）；
    c.截止报名时间前的本科阶段成绩单，需出具成绩单的教务部门盖章（如因疫情原因无法提供教务部门盖章，请申请人在成绩单空白处书写：“本人保证提供所有信息及材料真实、准确”，并签字（手签））；
    d.语言成绩证明，如大学生英语四、六级考试成绩，TOEFL成绩，IELTS成绩，GRE成绩等能体现外语水平的证明；
    e.科研成果、奖励等证明材料，申请人可提交体现自身学术水平的代表性学术论文、出版物或原创性工作成果及获奖证书。</t>
  </si>
  <si>
    <t>附属生殖医院</t>
  </si>
  <si>
    <t>院情报告、科研团队介绍、导师交流、线上参观等活动，同时安排拟推免我院研究生营员提前考察工作</t>
  </si>
  <si>
    <t xml:space="preserve">    1.材料清单
  a. 附件1：2022年山东大学附属生殖医院优秀大学生暑期夏令营报名信息表.xlsx；
     b. 附件2：2022年山东大学附属生殖医院优秀大学生暑期夏令营申请表.doc；
     c.截止报名时间前的本科阶段成绩单，需出具成绩单的教务部门盖章；
     d.语言成绩证明，如大学生英语四、六级考试成绩，TOEFL成绩，IELTS成绩，GRE成绩等能体现外语水平的证明；
     e.科研成果、奖励等证明材料，申请人可提交体现自身学术水平的代表性学术论文、出版物或原创性工作成果及获奖证书。</t>
  </si>
  <si>
    <t>英语水平良好，达到国家六级或相当水平（TOEFL、IELTS、GRE），具备利用英语进行科研、写作以及交流的能力</t>
  </si>
  <si>
    <t>学院总体概览、学科专业介绍、师生交流等</t>
  </si>
  <si>
    <t>截止时间为6月24日24：00</t>
  </si>
  <si>
    <t>1. “北京大学2022年全国优秀大学生夏令营申请表”1份（系统填写生成，本人亲笔签字），须学校教务处或院系负责人签字盖章； 2. 个人陈述1份(报名系统中下载，介绍关于个人学术背景、曾经做过的研究工作以及未来学习和研究的计划、目标等），须本人亲笔签名； 3. 本科历年成绩单原件1份，须加盖所在学校教务部门公章； 4. 英语六级水平证书或相关英语成绩证明； 5. 成绩排名证明(含专业成绩排名和综合成绩排名，由学校教务部门盖章或院系出具证明)； 6. 专家推荐信2封（副教授及以上职称相关专业专家分别推荐，模板可在夏令营申请系统中下载，须专家签字确认）； 7. 声明（从报名系统中下载模板）； 8. 其他有关能力的证明材料(如：发表论文、专利，各类获奖等)。 以上1-7为必须项，第8项由申请人根据自身实际情况提交。</t>
  </si>
  <si>
    <t>医学部/医学工程与转化医学</t>
  </si>
  <si>
    <t>学习成绩优秀，一流大学建设高校和研究生院高校学生学习成绩排名须在班级或专业前30％；一流学科建设高校或所在专业为国家重点学科院校的学生学习成绩排名在班级或专业前10％；或有突出成果、论文或特殊专业特长者；或在全国重大竞赛中获奖者；或具备推荐免试攻读研究生资格者优先。</t>
  </si>
  <si>
    <t>①政策宣讲、专家讲座；
②校园“云”游、“云”观师兄姐做实验；
③联谊座谈、营员汇报。
各研究院负责对营员进行适当形式的考核（依照我校接收推免基本工作流程），通过推免系统对合格营员颁发复试合格单。</t>
  </si>
  <si>
    <t>6月7日-6月23日</t>
  </si>
  <si>
    <t>6月29日-7月1日</t>
  </si>
  <si>
    <t xml:space="preserve"> 1.证明学习成绩及排名的成绩单或证明件；
 2.相关证明材料（英语四、六级成绩单；学生证；各类奖励材料）。</t>
  </si>
  <si>
    <t>天津大学2023级研究生招生夏令营的招生优惠政策分设A、B两档标准：
（1）A档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
A-档  合格营员如获得所在学校的研究生推荐免试资格，并选报天津大学，同等条件下优先录取。
如未获得所在学校的研究生推荐免试资格，但报考我校2023级硕士研究生的合格营员，可享受B档优惠政策。
（2）B档
合格营员报考我校2023级硕士学位研究生，考试成绩达到我校的相应学科门类复试基本分数线（即学校线，含总分、单科分数）后，可直接参加复试，不受学院分数线限制，表现优异者可优先拟录取。</t>
  </si>
  <si>
    <t>灾难医学院研究所</t>
  </si>
  <si>
    <t>①专家讲座、课题组介绍、参观实验室；
②与导师面对面交流；
③学长读研感悟分享、联谊座谈；
④营员个人风采展示及专业面试。</t>
  </si>
  <si>
    <t>申请时间6月15日-7月5日</t>
  </si>
  <si>
    <t>7月12日-7月13日</t>
  </si>
  <si>
    <t>1.证明学习成绩及排名的成绩单或证明件；
2.相关证明材料（英语四、六级成绩单；学生证；各类奖励材料）。</t>
  </si>
  <si>
    <t xml:space="preserve">   天津大学2022级研究生招生夏令营的招生优惠政策分设A、B两档标准：
    （1）A档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
A-档  合格营员如获得所在学校的研究生推荐免试资格，并选报天津大学，同等条件下优先录取。
如未获得所在学校的研究生推荐免试资格，但报考我校2022级硕士研究生的合格营员，可享受B档优惠政策。
   （2）B档
   合格营员报考我校2022级硕士学位研究生，考试成绩达到我校的相应学科门类复试基本分数线（即学校线，含总分、单科分数）后，可直接参加复试，不受学院分数线限制，表现优异者可优先拟录取。
此外， 我校录取的学术型推荐免试硕士研究生，在学期间表现优秀者，可申请硕博连读。</t>
  </si>
  <si>
    <t>附属第八医院</t>
  </si>
  <si>
    <t xml:space="preserve"> 本科学习成绩优秀</t>
  </si>
  <si>
    <t>具有良好听、说、读、写的英语应用能力，英语六级成绩达到426分及以上。</t>
  </si>
  <si>
    <t>20日上午：营员报到；20日下午：开营仪式，以及附属第八医院研究生教育情况介绍；
21日全天：学术讲座，上午、下午各2个专题；
22日上午：视频面试；22日下午：结营仪式；</t>
  </si>
  <si>
    <t>7月15日前</t>
  </si>
  <si>
    <t>2022年7月20日-22日</t>
  </si>
  <si>
    <t>1. 中山大学附属第八医院全国优秀大学生夏令营申请表1份原件（附件1），请帖好1寸证件照，无底色要求；
2.个人简历；
3.本科阶段成绩单原件或复印件（由学校教务部门或院系盖章）1份；
4.英语水平证明材料复印件（4/6级、托福、雅思、GRE等成绩）；
5.其他证明材料复印件（如代表性学术论文、其他原创性工作成果、获奖证书等）；
6.学生证第一页和第二页复印到一张A4纸的复印件；
7.二代居民身份证复印件1份（正反面复印在同一张A4纸内）。</t>
  </si>
  <si>
    <t>在招生环节，参加我院夏令营、考核成绩良好且取得所在学校推荐免试研究生资格的优秀生源可以直接录取，其他优秀生源优先考虑；在奖助金评定，推荐免试生奖助金等级优先，第一志愿报读附属第八医院生源优先排序。除给予学校规定的奖助金外，医院还给予研究生较高的生活补助，为优秀生源设置优秀学子奖学金，可以保障在学期间学习生活费用。</t>
  </si>
  <si>
    <t>皮肤病医院</t>
  </si>
  <si>
    <t>本科学习期间成绩优秀</t>
  </si>
  <si>
    <t>7月中上旬</t>
  </si>
  <si>
    <t>学习成绩优异，本科学习成绩在所在专业年级排名居前列</t>
  </si>
  <si>
    <t>1.举办学科介绍会、学术讲座；
2.开展优秀生源的选拔工作。</t>
  </si>
  <si>
    <t>7月5日（周二）</t>
  </si>
  <si>
    <t xml:space="preserve">120人以内 </t>
  </si>
  <si>
    <t>1.“武汉大学口腔医学院（学部）2022年优秀大学生线上夏令营申请表”（以下简称“申请表”，附件1）；
2.“武汉大学口腔医学院（学部）2022年优秀大学生线上夏令营个人陈述”（以下简称“个人陈述”，附件2）；
3.其它证明材料：
（1）本科阶段历年成绩单及有效专业成绩排名，须加盖教务处或院系公章，JPG、PDF或ZIP格式，文件大小不超过1M；； 
（2）外语水平证明：国家英语四、六级考试成绩或TOEFL/GRE/GMAT/IELTS成绩等体现自身外语水平的证明材料，JPG、PDF或ZIP格式，文件大小不超过1M；；
（3）获奖证书：获奖证书及社会活动证明等材料，JPG、PDF或ZIP格式，可选择相对重要证书，文件大小不超过1M；；
（4）学术科研成果：体现自身学术水平的代表性学术论文原文（英文论文需开具检索报告）、专利证书等，JPG、PDF或ZIP格式，可选择代表作，文件大小不超过2M；； 
（5）近期正面免冠彩色证件照片，背景为白色或浅色，JPG格式，150×200像素，大小100K以内；
（6）申请人通过系统可下载打印《武汉大学2022年优秀大学生线上夏令营申请表》，通过营员资格审核后，入营前提交《申请表》和相关其他纸质材料原件。</t>
  </si>
  <si>
    <t>取得所在学校“推免资格”的优秀营员，在规定时间内进入教育部推免系统报考我院推免生，报考专业及方向与暑期夏令营报考的专业及方向一致，且服从专业方向调剂，可优先接收为我院2023年推免生。</t>
  </si>
  <si>
    <t>基础学院</t>
  </si>
  <si>
    <t>2022年6月8日-6月20日</t>
  </si>
  <si>
    <t>280名</t>
  </si>
  <si>
    <t>在线填写报名表</t>
  </si>
  <si>
    <t>药用植物研究所</t>
  </si>
  <si>
    <t>本科期间学习成绩优异，在科研技能、创新创业、社会实践等方面有优异成果者，可放宽成绩要求（须提供成果证明或省级及以上获奖证书）。</t>
  </si>
  <si>
    <t>学科介绍、与导师及在校研究生交流等活动</t>
  </si>
  <si>
    <t>2022年6月9-23日</t>
  </si>
  <si>
    <t xml:space="preserve">        1. 填写《药用植物研究所2022年全国优秀大学生夏令营申请表》（见附件）；
        2. 学生证扫描件。成绩单1份，并加盖院系教务部门公章；
        3. 相关获奖证书和英语水平证书；
        4. 院系教务部门出具的成绩综合排名证明（提供本人排名/专业总人数）和绩点排名证明需签字加盖教务部门公章；
        5. 专家推荐信1-2封：推荐人需充分了解申请人的学术成就和工作业绩等情况，具有副教授及以上职称或相当职称。（自愿提供）
        6. 在学术期刊上发表的文章、出版物或其他学术作品也可作为申请材料提交。</t>
  </si>
  <si>
    <t>英语水平CET6≥440或TOEFL≥90或IELTS≥6.0</t>
  </si>
  <si>
    <t>开幕式（学院介绍、专题报告）、各系介绍、导师与营员互动等、各系线上笔试与面试考核</t>
  </si>
  <si>
    <t>1) 《上海交通大学医学院研究生招生夏令营申请表》（报名系统生成）
2) 身份证、学生证复印件各1份
3) 本科期间成绩单复印件1份
4) 其他证明材料复印件（如发表的学术论文、获奖或资格证书、国家英语四、六级等各类英语考试成绩单）各1份
5) 2位副高（含）以上职称的专家推荐信（参考附件1模板）</t>
  </si>
  <si>
    <t>基础医学院各系根据营员综合素质、科研能力和学术潜质等进行考核，考核评审结束后给予相应的考核等第成绩，具体如下：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</si>
  <si>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1.举办专业介绍、学术讲座、招生政策宣讲及与知名学者交流；
2.开展优秀生源的选拔工作。</t>
  </si>
  <si>
    <t>7月7-8日</t>
  </si>
  <si>
    <t>1.“武汉大学泰康医学院（基础医学院）2022年优秀大学生线上夏令营申请表”（以下简称“申请表”，附件1），申请表须有本人所在学校院系推荐意见和教务部门盖章；
2.“武汉大学泰康医学院（基础医学院）2022年优秀大学生线上夏令营个人陈述”（以下简称“个人陈述”，附件2）；
3.其它证明材料（如：本科阶段学习成绩单；获奖证书；国家英语四、六级考试成绩或TOEFL/GRE/GMAT/IELTS成绩等体现自身外语水平的证明；体现自身学术水平的代表性学术论文、专利、出版物或原创性成果等；其它各类证书等）
材料要求：
（1）本科阶段历年成绩单：须加盖教务处或院系公章，JPG、PDF或ZIP格式，文件大小不超过1M；
（2）外语水平证明：JPG、PDF或ZIP格式，文件大小不超过1M；
（3）获奖证书：JPG、PDF或ZIP格式，可选择相对重要证书，文件大小不超过1M；
（4）学术科研成果：JPG、PDF或ZIP格式，可选择代表作，文件大小不超过2M；
（5）近期正面免冠彩色证件照片，背景为白色或浅色，JPG格式，150×200像素，大小100K以内；</t>
  </si>
  <si>
    <t>根据选拔考核综合成绩排名情况，确定优秀营员名单，并在“夏令营报名系统”中记载、留存。“优秀营员”所占比例为前70%左右。获得优秀营员者，可自行在系统中下载、打印《武汉大学2022年优秀大学生夏令营优秀营员证书》。并可享受以下优惠政策：
1.取得所在学校“推免资格”的优秀营员，在规定时间内进入教育部推免系统报名我院的推免生，且服从专业调剂，可优先接收为我院2023年推免生（以学院推免工作细则为准）。
2.未取得所在学校“推免资格”的优秀营员，第一志愿报考武汉大学泰康医学院（基础医学院）相关专业，参加2023年硕士研究生招生考试，初试成绩达到相应专业复试分数线，其夏令营选拔考核综合成绩可作为复试综合成绩使用。</t>
  </si>
  <si>
    <t>附属肿瘤医学医院（北京世纪坛医院）</t>
  </si>
  <si>
    <t>本科总成绩年级排名前30%</t>
  </si>
  <si>
    <t>全国大学英语六级水平（成绩425分以上）</t>
  </si>
  <si>
    <t>本次活动采用线上线下融合（具体安排见官网通知）如确定为线下形式，我院为入选营员免费提供一日三餐，往返交通费用营员自理。</t>
  </si>
  <si>
    <t>专家讲座、导师答疑、学长学姐分享会、云游世纪坛、优秀导师团队培养介绍等精彩课程</t>
  </si>
  <si>
    <t>2022年6月30日中午17：00前</t>
  </si>
  <si>
    <t>材料1：名称：本科阶段成绩单，含综合成绩排名，要求：教务部门或档案管理部门盖章，提交格式：PDF，命名方式：“1.本科阶段成绩单”。
材料2：名称：证明材料，要求：将英语水平证书、获奖证书等所有证明材料，存为一个PDF文件，提交格式：PDF，命名方式：“2.证明材料”。
材料3：名称：个人简历，要求：A4纸一页，包含基本信息，联系方式，本科院校，专业，主要课程，成绩体现，英语成绩，个人特长等，提交格式：PDF，命名方式：“3.个人简历”。
材料4：发表的科研论文（若有），PDF格式，文件名：“4.1论文1，4.2论文2……”。</t>
  </si>
  <si>
    <t>根据夏令营期间表现颁发“优秀营员”证书，在考研同等条件下优先录取。</t>
  </si>
  <si>
    <t>中国疾病预防控制中心</t>
  </si>
  <si>
    <t>英语水平良好，原则上达到国家四级水平（425分以上）或六级水平（425分以上）</t>
  </si>
  <si>
    <t>活动以专家讲座及招生咨询为主</t>
  </si>
  <si>
    <t>2022年7月上、中旬</t>
  </si>
  <si>
    <t>填写问卷星</t>
  </si>
  <si>
    <t>同济医学院公共卫生学院</t>
  </si>
  <si>
    <t>学习成绩优秀，本科总成绩排名年级前20%</t>
  </si>
  <si>
    <t>公共卫生学院各专业研究方向情况介绍、前沿讲坛、学院导师与营员分组交流等。</t>
  </si>
  <si>
    <t>截止时间：2022年7月6日</t>
  </si>
  <si>
    <t>1、华中科技大学优秀大学生学术夏令营申请书（见附件）；
2、本科成绩单（由院系教务部门盖章），成绩排名证明；
3、获奖证书或参与科研项目证明复印件；
4、国家大学英语四级、六级成绩，或其他体现自身英语水平的成绩证明;
5、申请人还可提交体现自身学术水平的代表性学术论文、出版物或原创性工作成果。</t>
  </si>
  <si>
    <t>取得所在学校“推免资格”的优秀营员，可在接收为公共卫生学院2023年“硕士生”或“直博生”中优先选择导师。</t>
  </si>
  <si>
    <t>卫生健康管理政策学院</t>
  </si>
  <si>
    <t>学习成绩优秀，本科阶段总成绩排名在所读学校同年级本专业前20%之内</t>
  </si>
  <si>
    <t>具有良好听、说、读、写的英语应用能力，达到国家英语六级426分以上或相当水平</t>
  </si>
  <si>
    <t>开营仪式
专题学术讲座
学院师生交流
营员考核及闭营仪式</t>
  </si>
  <si>
    <t>2022年6月27日-7月3日</t>
  </si>
  <si>
    <t xml:space="preserve"> 1、点击链接填写问卷进行报名：
https://www.wjx.top/vm/QV9AleF.aspx(https://www.wjx.top/vm/QV9AleF.aspx)
  2、个人简历
  3、本科阶段成绩单、截至报名时间的加权成绩及排名（加盖教务部门公章）
  4、英语水平证明材料
  5、其他证明材料（如发表论文、专利，各类获奖证书等）
  6、身份证复印件
  7、学生证复印件</t>
  </si>
  <si>
    <t>清华大学深圳国际研究生院</t>
  </si>
  <si>
    <t>生物医药与健康工程研究院</t>
  </si>
  <si>
    <t>深圳先进技术研究院——脑认知与疾病研究所</t>
  </si>
  <si>
    <t>本科成绩优秀</t>
  </si>
  <si>
    <t>开营仪式、科技前沿讲座、专题报告、趣味科普、师生面对面、实验室面面观、学长学姐交流会、文献学习、园区参观交流、深圳文化行、优秀营员面试、结营活动等</t>
  </si>
  <si>
    <t>（1）中国科学院深圳先进院2022年夏令营申请表，需网上报名后下载；
（2）本科成绩单和专业排名证明，需加盖教务处公章（如因疫情原因暂时无法提供，可提供一份书面说明）；
（3）相关英文能力证明（包括大学英语四、六级；雅思；托福或GRE等）；
（4）学生证和身份证复印件；
（5）推免资格证明（如有请提供）；
（6）专家推荐信（如有请提供）；
（7）其他证明材料（如已发表论文的电子版摘要页、各类证书奖状电子版等）。</t>
  </si>
  <si>
    <t>夏令营期间不收取任何费用。主办方将提供活动期间营员的食宿、保险及文化衫等。并为异地学生提供一定额度的交通补助（需凭票报销，具体说明将后续通知）。</t>
  </si>
  <si>
    <t>夏令营期间将组织优秀营员面试，获得夏令营优秀营员资格的同学将优先接收为脑所2023级推免硕士研究生。</t>
  </si>
  <si>
    <t>同济医学院附属同济医院</t>
  </si>
  <si>
    <t>非“优质生源”高校学生，综合成绩排名前15%。“优质生源”高校学生，综合成绩排名前30%；</t>
  </si>
  <si>
    <t>英语达到国家四/六级水平（425分以上）或托福、雅思等成绩合格者</t>
  </si>
  <si>
    <t>8月10日—8月25日</t>
  </si>
  <si>
    <t>9月中旬</t>
  </si>
  <si>
    <t>200人</t>
  </si>
  <si>
    <t>1、同济医院2022年夏令营申请表（见附件）；
2、本科阶段成绩单及同年级总成绩排名1份（由教务部门或院系盖章）；
3、英语水平的证明（如国家英语四六级考试成绩、TOEFL成绩或GRE成绩等）；
4、以及其他证明材料（如体现自身学术水平的代表性学术论文或其他原创性工作成果复印件、获奖证书复印件等）；
5、个人陈述1份（格式不限），此材料请上传至系统中的“学术成果、申请表及推荐信”一栏。</t>
  </si>
  <si>
    <t>1、武汉市外高校的学员，夏令营期间的住宿费和伙食费由我院负责；
2、凡拟录取为我院推免生的交通费由我院负责（往返火车硬座、硬卧、动车二等座），上限400元，请妥善保管票据作为报销凭据。
3、飞机票不予报销。</t>
  </si>
  <si>
    <t>医学院（临床医学）</t>
  </si>
  <si>
    <t>学院介绍、临床医学院介绍、学科介绍、名师讲座、师生交流等。</t>
  </si>
  <si>
    <t>2022年7月18日-7月22日</t>
  </si>
  <si>
    <t xml:space="preserve">  1.请申请者登录浙江大学研究生院招生网2022年浙江大学夏令营网报入口进行网上报名，链接地址：http://grs.zju.edu.cn/ssszs/nocontrol/student_login/student_login.htm，填写信息（务必在备注栏填写报名单位，上述7家单位限选其一，如未填写报名单位或填报多家的，将服从学院统筹安排）和上传材料后，下载“申请表”；
进入上面网址后，下拉框中选择“夏令营申请系统”，弹出页面中选择登录（首次登录需先点击注册按钮，注册帐号），登录成功后填写相应信息提交即可。
        2.将申请表及所有证明材料原件按以下顺序扫描并整合成PDF文件，文件名为“报名单位-姓名-在读院校”；
（1）《浙江大学2022年夏令营申请表》（学生本人签字）；
（2）个人身份证（正反面）；
（3）本科成绩单（须加盖学校教务处或院系公章）;
（4）总评成绩排名证明（应包含所学专业同年级人数，须加盖学校教务处或院系公章）；
（5）外语水平证明材料：CET-6、雅思、托福、专业外语成绩等；
（6）其他材料：如已发表论文、各类获奖或资格证书等。</t>
  </si>
  <si>
    <t>上海大学</t>
  </si>
  <si>
    <t>药学、新药物与新材料</t>
  </si>
  <si>
    <t>学业成绩优秀，前三年成绩总体排名在本专业20%以内，或平均成绩在85分（含）以上；在科研创新方面有突出表现的学生优先；</t>
  </si>
  <si>
    <t>全国高校外语四六级考试水平成绩合格，TOEFL、GRE等成绩优秀者优先；</t>
  </si>
  <si>
    <t>大师讲坛、与导师代表面对面，云参观合作药企，导师学术风采展示，学生个人展示等环节</t>
  </si>
  <si>
    <t>截止时间为2022年6月26日</t>
  </si>
  <si>
    <t>2022年7月6-8日</t>
  </si>
  <si>
    <t>40人</t>
  </si>
  <si>
    <t>1、《夏令营报名表》（见附件），须本人签名，由所在专业一名教授/副教授签署推荐意见，所在学院（系）领导签字、盖章；
2、有效居民身份证扫描件；
3、学校主管部门开具、盖章的在读证明；
4、本科历年成绩单，须加盖申请人所在学校或学院教务部门公章；
5、外语水平成绩证明件：国家英语四、六级考试成绩，或TOEFL成绩、GRE/GMAT成绩等体现自身英语水平的证明；
6、代表性获奖证书；
7、代表性科技成果（论文/著作的封面、封底、目录、正文首尾页，知识产权请提供公告书）。</t>
  </si>
  <si>
    <t>在本次夏令营中表现优异的学生报考2023年上海大学医学院研究生时，成绩达到我校公布的复试分数线后，同等条件下可优先录取。</t>
  </si>
  <si>
    <t>第一临床医学院</t>
  </si>
  <si>
    <t>学习成绩优秀（本科期间综合成绩年级排名前40%） ;</t>
  </si>
  <si>
    <t>全国大学外语四级考试水平成绩合格，TOEFL、GRE等成绩优秀者优先</t>
  </si>
  <si>
    <t>本次活动采用线上+线下相结合的方式，</t>
  </si>
  <si>
    <t>初步计划参观兰大校园和兰州大学第一医院实验室、技能中心、内镜中心等，黄河风情线游览，优秀研究生指导教师科研交流,在校研究生学术沙龙，英语能力考核及专业素质面试等内容。</t>
  </si>
  <si>
    <t xml:space="preserve">①《兰州大学第一临床医学院2022年优秀大学生暑期夏令营申请表》（见附件） ﹔②本科成绩单与本专业排名证明扫描件（需加盖教务处或院系公章）﹔
③外语水平证明，全国大学英语四/六级成绩单或其他同类别英语考试成绩单扫描件;④其他证明材料，如已发表论文或专利扫描件、本科期间各类获奖证书扫描件等。
</t>
  </si>
  <si>
    <t>1.学院将为入选营员统一提供免费食宿。
2.外地学生请自行预定往返车票，我院将按普通硬座火车票价报销交通费，学生需保存并在返校后以快递形式提交相关票据。
3.学院为参营人员购买夏令营活动期间人身意外伤害保险，参与夏令营活动期间发生的医疗费用及因个人行为导致的意外事故，由学员本人或其派出单位承担。</t>
  </si>
  <si>
    <t>附属省立医院</t>
  </si>
  <si>
    <t xml:space="preserve">  1.材料清单
    a.2022年山东省立医院优秀大学生暑期夏令营报名信息表.xlsx（附件1）；
    b.2022年山东省立医院优秀大学生暑期夏令营申请表.doc（附件2)；
    c.截止报名时间前的本科阶段成绩单，需出具成绩单的教务部门盖章；
    d.语言成绩证明，如大学生英语四、六级考试成绩，TOEFL成绩，IELTS成绩，GRE成绩等能体现外语水平的证明；
    e.科研成果、奖励等证明材料，申请人可提交体现自身学术水平的代表性学术论文、出版物或原创性工作成果及获奖证书。</t>
  </si>
  <si>
    <t>电子科技大学</t>
  </si>
  <si>
    <t>1.7月4日：学院介绍、各专业介绍、“学霸说”；
2.7月5日：各科研团队介绍，学长交流会等。</t>
  </si>
  <si>
    <t>2022/06/27前</t>
  </si>
  <si>
    <t>2022年7月4日-5日</t>
  </si>
  <si>
    <t>1.2022年夏令营申请表（报名成功后系统自动生成，申请人本人签字后扫描）；
2. 四年制专业本科阶段前五个学期、五年制专业前七学期成绩单1份（须加盖院系或学校教务部门公章）；
3.个人简历1份；
4.考生结合自身情况选择提交：相关证明材料复印件1份（如国家英语四、六级证书等英语水平证明材料；已发表学术论文、出版物或原创性工作成果；各类获奖或资格证书等体现自身学习和工作能力的材料）</t>
  </si>
  <si>
    <t>且外语水平达到CET6≥440、或TOEFL≥90、或IELTS≥6.0。</t>
  </si>
  <si>
    <t>有意者可于登录网上报名系统（用IE浏览器https://gs.shsmu.edu.cn/Equivalent/EquivalentZheCe.aspx），注册后登录系统，选择“夏令营报名申请”。请每位同学根据附件中的“申请志愿代码”进行选择填报（选择申请志愿代码后，其余志愿信息会根据所选择的志愿代码而自动填充，如无法填充显示则请再确认下是否使用的是IE浏览器），医学院将以第一志愿作为优先志愿。</t>
  </si>
  <si>
    <t>天津医科大学</t>
  </si>
  <si>
    <t>学习成绩优秀，目前本科总评成绩排名须在班级或专业前 30%；</t>
  </si>
  <si>
    <t>英语水平良好，通过国家英语六级考试</t>
  </si>
  <si>
    <t>2022年6月22日-6月29日</t>
  </si>
  <si>
    <t>2022年7月13日-7月19日</t>
  </si>
  <si>
    <t>1.天津医科大学优秀大学生暑期夏令营活动申请表，填写打印后，学校/学院教务处或院系负责人签字盖章；
2.个人陈述（关于个人学术背景、曾经做过的研究工作以及未来学系和研究
的计划、目标等），无特殊格式要求；
3.成绩单 1 份(为大一、二、三年级阶段成绩，须加盖所在学校教务部门公章)；
4. 公开发表的论文、专利、获奖(资格)证书复印件(须加盖就读学院公章，没有可免交)；英语六级水平证书或相关成绩证明；
5. 两位副教授及以上专家的推荐信。
6. 个人信息汇总表。（本汇总表发送至邮箱 yaoxueyuan@tmu.edu.cn</t>
  </si>
  <si>
    <t>获得优秀营员者，如获得所在学校的研究生推荐免试资格，报考相同专业、学位类型可优先拟录取为我校推荐免试硕士研究生；如未获得所在学校的研究生推荐免试资格，但通过参加全国研究生硕士统考，报考相同专业、学位类型，考试成绩达到我校当年该专业复试基本分数线（含总分、单科分数）标准后，需参加复试资格审查、体检和心理测试，审查合格后将不再参加复试其他环节，优先拟录取。此外，我校录取的学术学位推荐免试硕士研究生，在学期间表现优秀者，可优先申请硕博连读、公派出国等项目。</t>
  </si>
  <si>
    <t>肿瘤医学院</t>
  </si>
  <si>
    <t>在学期间学习成绩优秀，在学期间平均成绩在 85 分以上，
无不及格科目。
选报基础专业的同学需为具有推荐免试研究生资格的全国
重点高校 2023 年应届本科毕业生，截止目前本科总评成绩排名
（班级或年级）前 30％。
选报临床专业的同学需满足以下三个条件之一：（1）一流
大学 2023 年应届生，截止目前本科总评成绩排名（班级或年级）
前 30%；（2）一流学科建设高校或省部共建高校 2023 年应届毕
业生，截止目前本科总评成绩排名（班级或年级）前 10%；（3）
本校 2023 年应届生，截止目前本科总评成绩排名（班级或年级）
前 30%</t>
  </si>
  <si>
    <t>通过国家英语六级考试，且成绩达到 500 分及以上</t>
  </si>
  <si>
    <t xml:space="preserve">7 月 13 日上午 开营仪式 
7 月 13 日-14 日（具体时间另行通知）
天津医科大学肿瘤医院开营仪式
7 月 14 日-18 日（具体时间另行通知）
面试考核 </t>
  </si>
  <si>
    <t>2022年6月17日-6月29日</t>
  </si>
  <si>
    <t>2022年7月13日-7月18日</t>
  </si>
  <si>
    <t>1. 本人签字、带照片、单位盖章的《天津医科大学优秀大学生暑期夏令营活动申请表》
2. 加盖教务部门公章的成绩单
3. 英语成绩单或证明（如四级证书、六级证书、托福、雅思、GRE 等证书）
4. 专家推荐信扫描件（需要 2 位相关或相近专业副教授（含）及以上职称的专家推荐，且加盖专家单位公章）
5. 荣誉与奖励证书（限 5 项）
6. 发表文章（文章首页，并标出作者）
7. 专利：专利申请书/授权书扫描件
8. 社会实践获奖证书</t>
  </si>
  <si>
    <t>1.获得优秀营员者，如获得所在学校的研究生推荐免试资
格，报考相同专业、学位类型可优先拟录取为我校推荐免试硕士
研究生；如未获得所在学校的研究生推荐免试资格，但通过参加
全国统考硕士研究生，报考相同专业、学位类型，考试成绩达到
我校当年该专业复试基本分数线（含总分、单科分数）标准后，
需参加复试资格审查、体检和心理测试，审查合格后将不再参加
复试其他环节，优先拟录取。
2.我校录取的学术学位推荐免试硕士研究生，在学期间表现
优秀者，可优先申请硕博连读、公派出国等项目。相关说明参见
天津医科大学研究生院的有关规定</t>
  </si>
  <si>
    <t>朱宪彝纪念医院</t>
  </si>
  <si>
    <t>在学期间学习成绩优秀，截止目前本科总评成绩排名（班级或年级）前 30％</t>
  </si>
  <si>
    <t>通过国家英语六级考试</t>
  </si>
  <si>
    <t>2022 年 7 月 13 日上午 学校组织开营仪式
2022 年 7 月 14-19 日 夏令营学员线上面试
具体时间及操作流程科教科单独通知学生</t>
  </si>
  <si>
    <t>2022年6月16日-6月30日</t>
  </si>
  <si>
    <t>1．申请人填写《天津医科大学优秀大学生暑期夏令营活动申请表》（见附件）；
2．个人简介（着重介绍个人学术背景、曾经做过的研究工作以及未来学习和研究的计划、目标等）；
3．本科阶段成绩单（截至目前），专业排名证明，需加盖教务或学生部门公章；
4．大学英语六级成绩单复印件；
5．其他证明材料（如体现自身学术水平的代表性学术论文或其他原创性工作成果复印件、获奖证书复印件等）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</si>
  <si>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体检和心理测试，学校各项审核均合格后将不再参加复试其他环节，优先拟录取。</t>
  </si>
  <si>
    <t>在学期间学习成绩优秀，截止目前本科总评成绩排名需在班级或
专业前 30％</t>
  </si>
  <si>
    <t>2022年6月17日-6月28日</t>
  </si>
  <si>
    <t>1、申请人网上下载并填写《天津医科大学优秀大学生暑期夏令营活动申请表.doc》
2、专家推荐信.doc 2 封，即需要 2 位相关或相近专业副教授（含）及以上职称的专家分别推荐；
3、本科阶段成绩单（截至目前），专业排名证明，需加盖教务部门公章；
4、大学英语六级成绩单复印件或其它英语水平证明 TOEFL/GRE 等；
5、其他证明材料（如体现自身学术水平的代表性学术论文或其他原创性工作成果复印件、专利、获奖证书复印件等），没有可以免交。
以上所需料按照 1 至 5 的顺序扫描后，形成一个 PDF 文件，并命名为“姓名+报考专业名称+2022 夏令营申报资格材料”；
6、网上下载并填写《个人信息汇总表.xls》，填写完成后将文件名称修改为“姓名+个人所在学校+个人信息汇总表”；
7、个人陈述 PPT（关于个人学术背景、曾经做过的研究工作以及未来学习和研究的计划、目标等）</t>
  </si>
  <si>
    <t>1、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体检和心理测试，审查合格后将不再参加复试其他环节，优先拟录取。
2、我校录取的学术学位推荐免试硕士研究生，在学期间表现优秀者，可优先申请硕博连读、公派出国等项目。相关说明参见天津医科大学研究生院的有关规定</t>
  </si>
  <si>
    <t>眼科医院</t>
  </si>
  <si>
    <t>7 月 13 日
上午天津医科大学 开营仪式
7 月 13 日下午7 月 14 日全天
天津医科大学眼科医院 开营仪式、医院简况宣讲、研究生工作介绍、面试（每位学生面试开始进行风采展示 3 分钟，包括自我介绍、科研经历以及未来学习和研究的计划、目标等）</t>
  </si>
  <si>
    <t>2022年6月17日-6月26日</t>
  </si>
  <si>
    <t>2022年7月13日-7月14日</t>
  </si>
  <si>
    <t>（1）天津医科大学优秀大学生夏令营活动申请表.doc；
（2）本科阶段成绩单（截至目前），专业排名证明，需加盖教务或学生部门公章，不能返校盖章者需提供教务系统查询截图；
（3）大学英语六级成绩单或其他英语水平证明扫描件（如近两年内 TOEFL 成绩或近三年内 GRE 成绩等）；
（4）其他证明材料扫描件（如体现自身学术水平的代表性学术论文或其他原创性工作成果、获奖证书等）；
（5）专家推荐信.doc 2 封，需要 2 位相关或相近专业副教授（含）及以上职称的专家分别推荐，专家亲笔签字的扫描件；</t>
  </si>
  <si>
    <t>1.获得优秀营员者，如获得所在学校的研究生推荐免试资格，报考相同专业、学位类型可优先拟录取为我校推荐免试硕士研究生。
2.获得优秀营员者，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3.我校录取的学术学位推荐免试硕士研究生，在学期间表现优秀者，可优先申请硕博连读、公派出国等项目。相关说明参见天津医科大学研究生院的有关规定</t>
  </si>
  <si>
    <t>生物医学工程与技术学院</t>
  </si>
  <si>
    <t>通过国家英语六级考试；</t>
  </si>
  <si>
    <t>2022 年 7 月 13 日上午 线上直播学校开营仪式
2022 年 7 月 13 日下午 学院组织视频面试
2022 年 7 月 14 日上午学院学术讲座（学院导师专题学术讲座、学术交
流）
2022 年 7 月 14 日下午 闭营</t>
  </si>
  <si>
    <t>2022年6月10日-6月30日</t>
  </si>
  <si>
    <t xml:space="preserve">2022年7月13日-7月14日 </t>
  </si>
  <si>
    <t>预计招收营员 10 人</t>
  </si>
  <si>
    <t>1．申请人填写《天津医科大学优秀大学生暑期夏令营活动申请表》；
2．个人简介（着重介绍个人学术背景、曾经做过的研究工作以及未来学习和研究的计划、目标等）；
3．本科阶段成绩单（截至目前），专业排名证明，需加盖教务或学生部门公章；
4．大学英语六级成绩单复印件；
5．其他证明材料（如体现自身学术水平的代表性学术论文或其他原创性工作成果复印件、获奖证书复印件等）；
6.个人汇总表。</t>
  </si>
  <si>
    <t>1.如获得所在学校的研究生推荐免试资格，报考相同专业、学位类型，可优先拟录取为我校推荐免试硕士研究生。
2.如未获得所在学校的研究生推荐免试资格，但通过参加全国统考硕士研究生，报考相同专业、学位类型，考试成绩达到我校当年该专业复试基本分数线（含总分、单科分数）标准后，复试资格审查、体检和心理测试合格后将不再参加复试其他环节，优先拟录取。
此外，我院录取的推荐免试硕士研究生，在学期间表现优秀者，可优先申请硕博连读、公派出国等项目。相关说明参见天津医科大学研究生院的有关规定</t>
  </si>
  <si>
    <t>7月13日 学校统一组织线上开营仪式。
7月14日-7月15日 各专业组织复试</t>
  </si>
  <si>
    <t>2022年6月17日-6月30日</t>
  </si>
  <si>
    <t>拟招收 30 人</t>
  </si>
  <si>
    <t>1．申请人填写 天津医科大学优秀大学生夏令营活动申请表（word 文档和签字版 PDF 文档）、个人信息汇总表（excel 文档）、专家推荐信(PDF 文档)；
2．个人陈述（关于个人学术背景、曾经做过的研究工作以及未来学习和研究的计划、目标等）（word 文档）；
3．本科阶段成绩单（截至目前），专业排名证明，需加盖教务或学生部门公章(PDF 文档)；
4．大学英语六级成绩单或其他英语水平证明（如近两年内TOEFL 成绩或近三年内 GRE 成绩等）复印件(PDF 文档)；
5．其他证明材料（如体现自身学术水平的代表性学术论文或其他原创性工作成果复印件、获奖证书复印件等）(PDF 文档)</t>
  </si>
  <si>
    <t>1. 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2. 我院录取的学术学位推荐免试硕士研究生，在学期间表现优秀者，可优先申请硕博连读、公派出国等项目。相关说明参见天津医科大学研究生院的有关规定</t>
  </si>
  <si>
    <t>在校期间学习成绩优秀，截至目前本科总评成绩排名（班级或年级）前 30%</t>
  </si>
  <si>
    <t>7 月 12 日上午 建群、测试（视频软件测试）
7 月 13 日上午 学校开营仪式
7 月 13 日下午 学院介绍 护理实验室教学中心介绍
7 月 14 日 师生交流会、营员面试
7 月 15 日 夏令营闭营</t>
  </si>
  <si>
    <t>2022年7月13日-7月15日</t>
  </si>
  <si>
    <t>1.申请人填写：天津医科大学优秀大学生夏令营活动申请表（word 文档和签字版 PDF 文档）、个人信息汇总表（excel 文档）、专家推荐信(PDF 文档，需要 2 位相关或相近专业具有高级职称的专家，签字需要手签或电子签)；
2.个人陈述（关于个人学术背景、曾经做过的研究工作以及未来学习和研究的计划、目标等）（word 文档）；
3.本科阶段成绩单（截至目前），专业排名证明，需加盖教务或学生部门公章；
4.大学英语六级成绩单复印件；
5.其他证明材料（如体现自身学术水平的代表性学术论文或其他原创性工作成果复印件、获奖证书复印件等）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</si>
  <si>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同年该专业复试基本分数线（含总分、单科分数）标准后，需参加复试资格审查、体检和心理测试，审查合格后将不再参加复试，优先拟录取。</t>
  </si>
  <si>
    <t>医学影像学院</t>
  </si>
  <si>
    <t>在学期间学习成绩优秀，截止目前本科总
评成绩排名（班级或年级）前 30％</t>
  </si>
  <si>
    <t>1.申请人填写天津医科大学优秀大学生暑期夏令营活动申请表.doc 及个人信息汇总表.xls；
2. 个人陈述（关于个人学术背景、曾经做过的研究工作以及未来学习和研究的计划、目标等）；
3. 专家推荐信.doc 2 封，即需要 2 位相关或相近专业副教授（含）及以上职称的专家分别推荐；
4. 本科阶段成绩单（截至目前），专业排名证明，需加盖教务部门公章；
5. 大学英语六级成绩单或其他英语水平证明（如近两年内TOEFL、雅思成绩等）复印件；
6. 其他证明材料（如体现自身学术水平的代表性学术论文或其他原创性工作成果复印件、获奖证书复印件等）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</si>
  <si>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全国硕士研究生统一考试，报考相同专业、学位类型，考试成绩达到我校当年该专业复试基本分数线（含总分、单科分数）标准后，需参加复试资格审查、体和心理测试，审查合格后将不再参加复试其他环节，优先拟录取</t>
  </si>
  <si>
    <t>南方医科大学</t>
  </si>
  <si>
    <t>在校期间总成绩年级排名年级前30%</t>
  </si>
  <si>
    <t>已通过CET6或雅思6.0以上或托福60分以上</t>
  </si>
  <si>
    <t>线上开营典礼、专家讲座、综合等活动。</t>
  </si>
  <si>
    <t>2022年6月13日-6月22日</t>
  </si>
  <si>
    <t>2022年6月28日-6月29日</t>
  </si>
  <si>
    <t>1．南方医科大学护理学院优秀大学生夏令营申请表（签名加盖公章）
2．本科阶段成绩单及本专业排名证明(学校教务部门或院系盖章)
3．英语水平证明：如四六级、雅思、托福、专业外语成绩等；
4．其他证明材料：包括各类获奖证书复印件；体现自身学术水平的代表性学术论文、出版物或原创性工作成果等)。
5．自荐信：格式不限，可包括简历、为何报考相关学院及专业、未来学习研究计划等。
6.身份证扫描件</t>
  </si>
  <si>
    <t>1.如取得所在学校推荐免试资格并报考南方医科大学护理学院，可视同面试合格直接拟录取。
2.部分未取得所在学校推免资格的营员，参加当年全国统考并第一志愿报考我校护理专业，初试成绩达到相应专业的复试分数线并进入复试者，可优先录取。</t>
  </si>
  <si>
    <t>申请者应具有诚信意识，如不能参营，或无意报考我校，请及时确认放弃，以便主办方及时补录其他优秀学员。</t>
  </si>
  <si>
    <t>东南大学</t>
  </si>
  <si>
    <t>当前本科总评成绩名列专业前茅，理论基础扎实，有较强的科研实践能力。</t>
  </si>
  <si>
    <t>英语水平良好。</t>
  </si>
  <si>
    <t>开营仪式、学科介绍、经验分享及面试等</t>
  </si>
  <si>
    <t>2022年6月20日-7月25日</t>
  </si>
  <si>
    <t>2022年8月3日-8月4日</t>
  </si>
  <si>
    <t>1.东南大学接收推荐免试研究生申请表  系统生成
2.居民身份证  正反面，有效期内
3.学生证或《教育部学籍在线验证报告》  学生证包含个人信息页和完整注册信息页；如学生证遗失，提交《教育部学籍信息在线验证报告》
4.现有本科阶段成绩单  学校教务部门或院系盖章
5.外语水平证明  CET-4、CET-6、TOEFL、IELTS等证书或成绩单
6.学术成果证明  论文、专利、学科竞赛 
7.奖励情况证明  校级以上荣誉奖励
8.实践经历证明  科研训练、实习实践、社会工作
9.专家推荐书  如申请本科直博，还须提交与申请学科相关的两位具有副教授及以上（或相当）职称的专家填写的专家推荐书，按系统生成的专家推荐书模板，两位专家各填一份</t>
  </si>
  <si>
    <t xml:space="preserve"> 8月下旬，学院将根据全国优秀大学生夏令营活动暨推免预选拔工作（第一批）开展情况，决定是否开展第二批。</t>
  </si>
  <si>
    <t>基础医学与临床药学院</t>
  </si>
  <si>
    <t>学院、专业介绍宣讲，与课题组导师交流等活动，并参加接收优秀营员选拨考核。考核形式为线上（钉钉软件）视频面试，营员需准备1分钟以内的自我介绍。</t>
  </si>
  <si>
    <t>2022年6月16日-6月22日</t>
  </si>
  <si>
    <t>2022年6月29日-6月30日</t>
  </si>
  <si>
    <t>被评定为“优秀营员”资格的学生若获得所在学校推荐免试研究生资格，征得拟报考导师同意后优先拟录取为我校2023年研究生，无需再参加我校推免生复试。
 “优秀营员”资格仅限在我院同一专业推免录取时有效。</t>
  </si>
  <si>
    <t>各专业（或方向）的优秀营员名额上限一般不超过上年录取人数的80%。入选营员须于6月26日中午12：00前在报名系统中回复确认是否参营，逾期未回复者视为自动放弃。</t>
  </si>
  <si>
    <t>武汉科技大学</t>
  </si>
  <si>
    <t>医学院（公共卫生学院）</t>
  </si>
  <si>
    <t>本科阶段学习成绩优良</t>
  </si>
  <si>
    <t>英语四级考试成绩不低于425分</t>
  </si>
  <si>
    <t>开营典礼，学校介绍、招生政策及就业等情况介绍，学院介绍、学科专业介绍，科研平台及实习实训基地介绍、学术讲座与交流，综合素质测试，闭营仪式等。具体活动内容另行通知</t>
  </si>
  <si>
    <t>2022年6月15日～6月30日</t>
  </si>
  <si>
    <t>2022年7月8日～7月12日</t>
  </si>
  <si>
    <t>1、大学本科前三年（临床医学、预防医学专业为前四年）所修课程成绩单；2、国家英语四、六级及其他英语等级考试证书复印件；3、大学期间的获奖证书复印件；4、学生证、身份证复印件；5、其他能体现申请者科技创新素质能力的材料，如参与创新创业项目经历、发表论文等。</t>
  </si>
  <si>
    <t>1、若获得所在院校推免资格，可拟录取为武汉科技大学2023年硕士研究生，或在按照博士报考要求提供相应支撑材料审核通过后，可拟录取为武汉科技大学2023年博士研究生（直博生）。2、若未获得所在院校推免资格，第一志愿报考武汉科技大学医学院、公共卫生学院相关学科专业2023年硕士研究生，在研究生初试分数达到我校公布的相应学科专业复试分数线（含总分、单科分数）要求，可不再参加复试，将夏令营综合素质测试成绩作为复试成绩，按照学院2023年硕士研究生复试工作实施细则成绩核算办法核算总成绩，根据总成绩择优录取为我校2023年硕士研究生。3、参加夏令营的营员参加2023年硕士研究生复试后的核算的总成绩，作为统考研究生参评第一学年学业奖学金依据</t>
  </si>
  <si>
    <t>生命科学与健康学院</t>
  </si>
  <si>
    <t>校和学院介绍、招生政策及就业情况介绍、学科专业介绍、评选考核。</t>
  </si>
  <si>
    <t>1.大学本科前三年所修课程成绩单；2.国家英语四、六级及其他英语等级考试证书；3.大学期间的获奖证书；4.学生证、身份证；5.学信网学籍在线验证报告；6.其他能体现申请者素质能力的材料。</t>
  </si>
  <si>
    <t>1、若获得所在院校推免资格，可拟录取为武汉科技大学2023年硕士研究生，或在按照博士报考要求提供相应支撑材料审核通过后，可拟录取为武汉科技大学2023年博士研究生（直博生）。2. 若未获得所在院校推免资格，第一志愿报考武汉科技大学生命科学与健康学院生物学、生物与医药专业2023年硕士研究生，在达到我校公布的学科门类复试基本分数线（含总分、单科分数）要求，可免复试拟录取为我院2023年硕士研究生。3. 优秀营员录取总成绩按照学院2023年硕士研究生复试工作实施细则成绩核算办法核算，纳入统考生中参评第一学年学业奖学金。</t>
  </si>
  <si>
    <t>学院及学科介绍、个人学术能力展示、与青年学者线上面对面交流探讨、云上校园行等。</t>
  </si>
  <si>
    <t>2022年6月8日-6月28日</t>
  </si>
  <si>
    <t>（1）《吉林大学基础医学院2022年全国优秀大学生夏令营报名表》（系统生成）；
（2）本科成绩单和成绩排名，需加盖教务部门公章；
（3）其他证明材料—外语水平证明（英语四、六级证书等）、获奖证明材料、发表论文材料。</t>
  </si>
  <si>
    <t>1、我院将根据学生提交的本次夏令营活动申请材料及在本次夏令营期间的综合表现等评选优秀营员。
2、对于符合我校接收推荐免试硕士研究生相关要求，通过2023年推免生考核录取到我院的优秀营员，将获得第一学年学业奖学金。
3、对于通过2023年全国统一考试录取到我院的优秀营员，同等条件下优先获得第一学年学业奖学金。</t>
  </si>
  <si>
    <t>本科期间学习成绩优异，来自于“双一流”建设高校的学生截至目前总评成绩在本专业排名前25%；普通类高校的学生截至目前总评成绩在本专业排名前5%；或预计可获得所在高校免试推荐资格的学生。其中申报直博生的营员，学习成绩优秀，原则上本科推荐环节总评成绩在本专业排名前5%（含5%）；各类国家级基地班的推免生本科推荐环节总评成绩在本专业排名前50%（含50%）；或入选“药学拔尖创新人才培养计划”的推免生。
满足下列条件之一的申报直博生的营员，其总评成绩排名可以适当放宽。
（1）以第一作者（排位第一）在《中国药科大学共识期刊目录》所列SCI期刊上发表过一篇专业学术论文。
（2）在由教育部/团中央组织的国家级科技类和创新创业类竞赛中，以第一完成人获得一等奖/金奖或二等奖/银奖，或以第一、第二完成人获得团体奖（具体奖项见学校招生官网）。</t>
  </si>
  <si>
    <t xml:space="preserve">具有良好的英语水平，CET-6成绩合格或达到六级相应水平，特别优秀的可以适当放宽。
其中申报直博生的营员，要求六级（CET-6）成绩≥450分；或托福（TOEFL）成绩≥90分；或雅思（IELTS）成绩≥7；或以第一作者（排位第一）在SCI期刊（不含扩展版）上发表过一篇专业学术研究论文（成绩有效期均在4年之内）。  </t>
  </si>
  <si>
    <t>6月29日
10:00-11:30开营仪式（钉钉）刘畅副院长进行学院介绍；各课题组代表进行宣传介绍。
预计13:00开始学科组面试（钉钉）提前准备2分钟内自我介绍
（1）口头表述
（2）中文
（3）包括但不限于个人姓名、学校，本科期间从事的与科研相关的社会实践、调研、课题或论文发表，获得荣誉奖项，英语水平等
6月30日
09：00-11：30自由交流 入选营员自由和开放实验室预约，线上参观实验室、聆听实验室介绍（开放实验室信息会提前在学院网站公告）
13:30-14：30结营仪式 优秀学长学姐交流</t>
  </si>
  <si>
    <t>2022年6月1日-6月22日</t>
  </si>
  <si>
    <t>（1）近期正面免冠彩色证件照片，电子版JPG格式，150×200像素，大小100K以内；
（2）个人简历，包括本人简介、专业背景、实习经历和/或研究经历、个人特长及报考理由等（请下载学校官网模板填写，https://yjszs.cpu.edu.cn/7d/25/c10839a163109/page.htm）。
（3）本科阶段历年成绩单（须加盖学校教务部门公章）。
（4）本科阶段综合成绩排名证明（含申请人所在专业同年级人数、本科三年的综合成绩总评名次、排名比例等内容，并加盖学校教务部门公章）。
（5）外语水平证明，如CET-6成绩、雅思、托福、专业英语等。
（6）有关获奖证书和学术科研成果，如发表论文、出版物或其他原创性工作。
（7）申请直博生的营员还应提供至少2份《专家推荐书》，由所报考学科专业领域内的正高级教授（或相当专业技术职称的专家）撰写的书面推荐意见（模板在系统中“推荐人信息维护”模块生成下载）。</t>
  </si>
  <si>
    <t>凡全程参加各学院暑期夏令营，且学科组考核被评为优秀营员的学生，若获得所在学校推荐免试研究生资格，同等条件下征得拟报考导师同意后优先拟录取为我校2023年硕士研究生，无需再参加我校推免生复试。“优秀营员” 资格仅限在其所参加考核的同一学院同一学科专业内录取时有效。</t>
  </si>
  <si>
    <t>附属第五医院</t>
  </si>
  <si>
    <t>具有良好的听说读写的英语应用能力</t>
  </si>
  <si>
    <t>夏令营的形式（线下或线上）将根据疫情发展情况确定，具体另行通知。</t>
  </si>
  <si>
    <t>开营仪式、招生政策及培养模式介绍、推免面试等</t>
  </si>
  <si>
    <t>2022年6月21日-7月4日</t>
  </si>
  <si>
    <t>2022年7月19日-7月21日</t>
  </si>
  <si>
    <t>a.个人简历
b.身份证、学生证
c.本科阶段成绩单，需出具成绩单的教务部门盖章；
d.英语四、六级证书或成绩单
e.其他：已发表论文（包括杂志封面、目录页及论文正文页）、各项获奖证书等</t>
  </si>
  <si>
    <t>免费食宿、营员路费补助</t>
  </si>
  <si>
    <t>未说明（医科为主，部分理工科）</t>
  </si>
  <si>
    <t>江南大学</t>
  </si>
  <si>
    <t>无锡医学院</t>
  </si>
  <si>
    <t>7月7日：公布线上活动平台，营员经身份确认后加入；
7月8日：8:30-16:00，开营仪式、专业介绍、专家讲座、导师面对面等；
7月9日：8:30-16:00，综合素质考核、闭营；
具体活动安排另行通知。</t>
  </si>
  <si>
    <t>2022年6月20日-6月27日</t>
  </si>
  <si>
    <t>优秀营员若获得所在院校推荐免试资格，可根据本人志愿，直接录取为我校2023级推荐免试硕士研究生。</t>
  </si>
  <si>
    <t>附属北京天坛医院</t>
  </si>
  <si>
    <t>在学期间学习成绩优秀，本科总成绩年级排名前30%</t>
  </si>
  <si>
    <t>全国大学英语六级水平（成绩425分以上）；</t>
  </si>
  <si>
    <t>暂定为学科报告会、与导师面对面、与在读研究生交流等。</t>
  </si>
  <si>
    <t>2022年6月20日-6月30日</t>
  </si>
  <si>
    <t>2022年7月中下旬，具体等通知</t>
  </si>
  <si>
    <t>原则上不多于100人</t>
  </si>
  <si>
    <t>（1）教育部学籍在线验证报告：登陆“学信网”在“在线认证”一栏申请办理一个教育部学籍在线验证报告（电子版），下载并打印；电子版：将生成的验证报告电子文件，pdf格式，命名为：“1. 学籍信息”；
（2）照片：本人近期一寸白底彩色身份证版式照片。电子版：照片请使用JPG格式电子文件，像素为390*260，大小在200k以内，命名为：“2.照片”；
（3）本科阶段成绩单及本专业排名证明(学校教务部门或院系盖章)。电子版：各生成PDF格式的电子文件，命名为：“3.1成绩单，3.2专业排名”；
（4）英语水平证明：生成PDF格式的电子文件，命名为：“4.英语水平”；
（5）其他证明材料：包括各类获奖证书复印件；体现自身学术水平的代表性学术论文、出版物或原创性工作成果等)。电子版：生成一个PDF格式的电子文件，命名为：“5.其他证明材料”。
（6）自荐信：格式不限，可包括简历、为何报考相关学院及专业、未来学习研究计划等。电子版：生成PDF的电子文件，命名为“6.自荐信”。
（7）个人信息采集表（请在学院提供的模板里填写个人信息，并上传），文件格式：Excel，命名为“7.个人信息采集表”。</t>
  </si>
  <si>
    <t>第一临床医学院（宣武医院）</t>
  </si>
  <si>
    <t>在校学习期间成绩优秀，本科总成绩专业排名前30％</t>
  </si>
  <si>
    <t>具有较强的英语听说读写能力，英语六级成绩不低于425分</t>
  </si>
  <si>
    <t>专家讲座、导师介绍、知名导师见面会、与在读研究生座谈等</t>
  </si>
  <si>
    <t>2022年6月21日-6月30日</t>
  </si>
  <si>
    <t>1、教育部学籍在线认证报告；2、照片；3、专家推荐书；4、本科阶段成绩单及本专业排名证明（学校教务部门或院系盖章）；5、英语水平证明；6、其他证明资料，包括各类获奖证书复印件，体现自身学术水平的代表性学术论文、出版物或原创性工作成果等；7、自荐信</t>
  </si>
  <si>
    <t>千佛山医院</t>
  </si>
  <si>
    <t>2022年6月20日-7月8日</t>
  </si>
  <si>
    <t>20-30名，最终人数将视报名情况适当调整，择优录取</t>
  </si>
  <si>
    <t>a.2022年山东省千佛山医院优秀大学生暑期夏令营报名信息表.xlsx（附件1）；
b.2022年山东省千佛山医院优秀大学生暑期夏令营申请表.doc（附件2）；
c.截止报名时间前的本科阶段成绩单，需出具成绩单的教务部门盖章；
d.语言成绩证明，如大学生英语四、六级考试成绩，TOEFL成绩，IELTS成绩，GRE成绩等能体现外语水平的证明；
e.科研成果、奖励等证明材料，申请人可提交体现自身学术水平的代表性学术论文、出版物或原创性工作成果及获奖证书。</t>
  </si>
  <si>
    <t>共设有五个模块。分别介绍清华医学、临床医学院的整体情况，临床医学专业学位硕士项目12个招生基地介绍、临床医学交叉人才培养项目依托精准医学研究院六大研究中心和合作院系医工交叉研究成果、专题学术报告或讲座、导师面对面交流与优秀营员评选，帮助广大学生深入了解清华大学临床医学院及开设的各类人才培养项目。</t>
  </si>
  <si>
    <t>2022年7月23-24日</t>
  </si>
  <si>
    <t>一百五十余名营员</t>
  </si>
  <si>
    <t>1. 申请表（在夏令营报名服务系统中填写并提交）；
2. 个人陈述（1000字左右，提交本人签字的扫描件）；
3. 身份证（需在有效期内，需把身份证正反面编辑在一页pdf文件中上传）；
4. 学生证（需把个人照片页、个人信息页、注册页扫描件编辑在一个pdf文档内上传）
5. 2位副教授（含）以上职称专家推荐信（申请学生使用系统发送通知给专家，由专家填写）；
6. 成绩单1份，并加盖院系教务部门公章（提交扫描件）；
7. 院系教务部门出具的成绩综合排名证明（需使用系统中模板，签字盖章后提交扫描件）；
8. 相关获奖证书和外语水平证书（提交扫描件）；
9. 在学术期刊上发表的文章、出版物或其他学术作品也可作为申请材料提交。</t>
  </si>
  <si>
    <t>28名优秀营员</t>
  </si>
  <si>
    <t>上海药物研究所</t>
  </si>
  <si>
    <t>本科期间总评成绩排名在本年级（专业）前 20%之内，双一流
重点高校学生学习成绩标准可再适当放宽</t>
  </si>
  <si>
    <t>2022年6月16日-8月15日</t>
  </si>
  <si>
    <t>一期2022年7月5-10日
二期2022年7月20-25日
三期2022年8月5-10日
四期2022年8月22-25 日（“药学专硕”专场夏令营）</t>
  </si>
  <si>
    <t>（1）身份证（含正反面）；
（2）英语等级证书；
（3）成绩单（需要盖公章）；
（4）辅导员推荐信（没有辅导员的学校，可由做学生工作的老师来写）；
（5）其它附件，包括“奖励证明”、“等级证书”、“已发表论文首页”等。</t>
  </si>
  <si>
    <t>预计直博64名，学硕100名，专硕80名。夏令营是招收直博生的唯一渠道，未获得直博生拟录资格的优秀营员，还可获得学硕或专硕的推免拟录资格，及部分联培高校的推免拟录资格。</t>
  </si>
  <si>
    <t>夏令营是招收直博生的唯一渠道。夏令营共分四期，前一期未入选营员的学生信息将自动进入下一期营员选拔。</t>
  </si>
  <si>
    <t>在学期间学习成绩优秀；</t>
  </si>
  <si>
    <t>英语水平良好，全国大学英语六级（成绩425分以上）或相当水平；</t>
  </si>
  <si>
    <t>安排基础医学院学科专业报告、学术报告等活动。</t>
  </si>
  <si>
    <t>2022年6月20日-7月6日</t>
  </si>
  <si>
    <t>2022年7月11-7月13日</t>
  </si>
  <si>
    <t>① 教育部学籍在线验证报告：登陆“学信网”在“在线认证”一栏申请办理教育部学籍在线验证报告（电子版），下载并打印；电子版：将生成的验证报告电子文件，命名为：“1. 学籍信息”；
② 照片：本人近期一寸白底彩色身份证版式照片。电子版：照片请使用JPG格式电子文件，像素为390*260，大小在200k以内，命名为：“2.照片”；
③ 专家推荐书：副教授及以上专家推荐书1份（附件1），电子版：生成PDF格式的电子文件，命名为“3.专家推荐书”；
④ 本科阶段成绩单及本专业排名证明(学校教务部门或院系盖章)。电子版：各生成PDF格式的电子文件，命名为：“4.1成绩单，4.2专业排名”；
⑤ 英语水平证明：生成PDF格式的电子文件，命名为：“5.英语水平”；
⑥ 其他证明材料：包括各类获奖证书复印件；体现自身学术水平的代表性学术论文、出版物或原创性工作成果等)。电子版：生成PDF格式的电子文件，如材料较多请建立文件夹，命名为：“6.其他证明材料”；
⑦ 自荐信：格式不限，可包括简历、为何报考相关学院及专业、未来学习研究计划等。电子版：生成PDF或Word格式的电子文件，命名为“7.自荐信”。</t>
  </si>
  <si>
    <t>获得夏令营优秀营员证书的同学，在当年获得所在学校推免生资格者，可在2022年9月（具体时间另行通知）进行我校硕士研究生预报名，并100%进入预选拔复试，复试成绩合格者即可按照我校接收推荐免试硕士研究生政策录取为2023年硕士研究生。</t>
  </si>
  <si>
    <t>实验动物研究所</t>
  </si>
  <si>
    <t>本科期间学习成绩优异
1）“双一流”高校学生截至目前总评成绩在本专业排名前50%；
2）“所在学科教育部第四轮学科评估B+及以上”高校学生截至目前总评成绩在本专业排名前20%；
3）普通类高校学生截至目前总评成绩在本专业排名前5%；
4）在科研技能、创新创业、社会实践等方面有优异成果者，可放宽成绩要求（须提供成果证明或省级及以上获奖证书）。</t>
  </si>
  <si>
    <t>英语达到国家四/六级以及相当水平，CET-4成绩≥500分,CET-6成绩≥430分</t>
  </si>
  <si>
    <t>招生宣传；动研所学习生活掠影；课题组研究方向介绍；专家系列讲座等。</t>
  </si>
  <si>
    <t>2022年6月20日-7月4 日</t>
  </si>
  <si>
    <t>2022年7月11日-7月15 日</t>
  </si>
  <si>
    <t>1、《动研所2022年大学生夏令营报名表》（附件1）；
2、截止目前本科、硕士在读期间成绩单（需要学校教务部门签字盖章）；
3、英语四/六级成绩单复印件1份；
4、获奖证书，发表的学术论文，在科研技能、创新创业、社会实践及组织才能等方面取得的优异成果相关证明材料复印件1份；
5、身份证正反面复印件、学生证复印件各1份（含学校名称、个人信息）；
6、推荐信（可由辅导员/班主任、导师提供）</t>
  </si>
  <si>
    <t>精神卫生中心</t>
  </si>
  <si>
    <t>本科阶段学习成绩优秀，本科（前三年）总评成绩专业排名前30%（C9高校可放宽至前50%），或在其他方面有突出表现；</t>
  </si>
  <si>
    <t>英语符合下述条件之一：（1）全国大学英语六级成绩≥425分；（2）新TOEFL ≥ 90分；（3）IELTS ≥ 6.0分。</t>
  </si>
  <si>
    <t>学科介绍、学术团队宣讲、面试等活动</t>
  </si>
  <si>
    <t>2022年6月14日-6月30日</t>
  </si>
  <si>
    <t>“优秀营员”若获得本科所在学校的推荐免试研究生资格且申请报考本学科，本学科将根据接收规模从高分到低分依次录取，额满为止。</t>
  </si>
  <si>
    <t>英语水平良好，达到全国大学英语六级（425分以上）或相当水平；</t>
  </si>
  <si>
    <t>线上开幕式、学院介绍、大咖说、创新路、云互动、云参观、云体验等活动。</t>
  </si>
  <si>
    <t>2022年7月7日（具体安排另行通知）</t>
  </si>
  <si>
    <t>1．教育部学籍在线验证报告：登陆“学信网”在“在线认证”一栏申请办理一个教育部学籍在线验证报（电子版），下载并打印；电子版：将生成的验证报告电子文件，命名为：“1. 学籍信息”；
2．照片：本人近期一寸白底彩色身份证版式照片。电子版：照片请使用JPG格式电子文件，像素为390*260，大小在200k以内，命名为：“2.照片”；
3．专家推荐书：副教授及以上专家推荐书1份（附件1）。电子版生成一份PDF格式的电子文件，命名为：“3.推荐书” ；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t>
  </si>
  <si>
    <t>1.全程认真完成夏令营并获得优秀营员证的同学，在当年获得所在学校推免生资格者，可在2022年9月（具体时间另行通知）进行我校硕士研究生预报名，并参加预选拔复试。在招生名额范围内，同等条件下，复试成绩合格者即可按照我校接收推荐免试硕士研究生政策优先录取为2023年硕士研究生。
2.未获得所在学校推免生资格者，参加当年全国统考并第一志愿报考我院的硕士研究生：初试成绩达到相应专业的复试分数线并进入复试者，可优先录取。</t>
  </si>
  <si>
    <t>北京理工大学</t>
  </si>
  <si>
    <t>生命学院</t>
  </si>
  <si>
    <t>专业成绩或综合成绩名列前茅</t>
  </si>
  <si>
    <t>国家大学英语考试成绩四级480分或六级450分及以上</t>
  </si>
  <si>
    <t>学术讲座、实验室云参观以及师生在线交流等</t>
  </si>
  <si>
    <t>2022年6月23日-7月10日</t>
  </si>
  <si>
    <t>1、《北京理工大学生命学院2022年暑期夏令营活动申请表》（见附件，请勿更改原表格式），加盖所在院系或教务处公章，本人确认签字；
2、前五个学期的本科成绩单原件（加盖教务处公章）；
3、本人有效期内学生证、身份证正反面复印件各一份；
4、四、六级英语考试成绩单或其他英语水平证明材料；
5、相关证明材料（如已发表论文、所获奖励证书复印件等）</t>
  </si>
  <si>
    <t>对于获得所在学校推免生资格的“优秀营员”，若满足我校2023年全国硕士研究生招生考试要求，则同等条件下优先录取（具体以北京理工大学2023年接收推荐免试硕士学位研究生文件为准）。</t>
  </si>
  <si>
    <t>西北工业大学</t>
  </si>
  <si>
    <t>医学研究院</t>
  </si>
  <si>
    <t>2022年6月25日-7月5日</t>
  </si>
  <si>
    <t>（1）《西北工业大学2022年全国优秀大学生暑期夏令营申请表》（附件1）；
（2）本科前三年成绩单、综合测评成绩单（加盖学校或院系教务部门公章）；
（3）其他证明材料（已发表论文、获奖证书或其它考试证书的复印件）；
（4）申请人将以上材料扫描（或拍照）后整合为一个PDF 文件，上传至报名系统，文件命名为“报名编号-考生姓名-报考专业”。</t>
  </si>
  <si>
    <t>活动期间各学院将对学员进行综合考核，考核通过学员享受下列政策：
1.获得所在院校2023年推免生资格的学员，报考我校可被我校直接录取为推荐免试研究生。
2.未获得所在院校2023年推免生资格的学员，如报考我校2023年硕士研究生且初试成绩达到报考学院报考专业的复试分数线，同等条件下优先录取。</t>
  </si>
  <si>
    <t>医学院荣誉致远计划</t>
  </si>
  <si>
    <t>1.符合上海交通大学本科直接攻读博士学位的基本条件。
2.国内高校本科毕业生需符合以下要求之一：
（1）我校致远荣誉计划本科生；
（2）教育部基础学科拔尖学生培养计划成绩排名前 50%的学生；
（3）C9 高校学科排名 B+以上且成绩排名前 20%的学生；
（4）全国 A 类学科普通班成绩排名前 15%的学生。
本科阶段有科研经历并在SCI上发表学术论文者或大学生创新竞赛获奖者优先考虑。
3.海外高校本科毕业生需同时符合以下要求：
（1）本科阶段就读高校原则上同时进入最新四大国际大学排行的前 100 位。
（2）国际排名前 50 的学科，本科阶段总绩点不低于 3.5；国际排名前 50-100 的学科，本科阶段总绩点不低于 3.7（按满分为 4 分核算）。对学术研究工作有浓厚兴趣，具有创新精神、科研潜质和社会责任感；须有相关科研经历。最迟于本校报到前获得教育部留学服务中心出具的《国（境）外学历学位认证书》</t>
  </si>
  <si>
    <t>2022年6月27日-7月10日</t>
  </si>
  <si>
    <t>2022年8月上旬</t>
  </si>
  <si>
    <t>培养单位及导师面试。通过面试者，填写并提交《上海交通大学荣誉计划申请表》（附件 2），同时提交材料包括：①个人陈述；②本科成绩单；③成绩排名证明；④发表论文；⑤博士研究计划；⑥两封专家
推荐信；⑦校外联合培养导师的支撑材料</t>
  </si>
  <si>
    <t>深圳大学</t>
  </si>
  <si>
    <t>医学部临床免疫学</t>
  </si>
  <si>
    <t>云宣讲+云参观+云导师互动交流+云在校研究生互动交流</t>
  </si>
  <si>
    <t>2022年6月27日-7月31日</t>
  </si>
  <si>
    <t>2022年8月5日-8月7日</t>
  </si>
  <si>
    <t>（1）个人简介；
（2）有效期内的身份证和学生证（每学期加盖有注册章）；
（3）前两年半成绩单（有学校教务部门或所在院系公章，如有不实，取消资格）与总评成绩排名证明（有学校教务部门或所在院系公章）；
（4）获奖证书；
（5）大学英语四、六级考试成绩、或TOEFL成绩、或GRE/GMAT成绩等体现自身英语水平的证明；
（6）申请人还可提交体现自身学术水平的代表性学术论文、出版物或原创性工作成果。</t>
  </si>
  <si>
    <t>医学部影像医学</t>
  </si>
  <si>
    <t>在学期间学习成绩优秀，本科总成绩年级排名前20％</t>
  </si>
  <si>
    <t>线上开学典礼，学院介绍、研究生教学及培养制度、导师线上交流答疑等</t>
  </si>
  <si>
    <t>2022年6月24日-7月13日</t>
  </si>
  <si>
    <t>2022年7月15日-7月17日</t>
  </si>
  <si>
    <t>①身份证材料
②学生证照片页及注册页
③本科阶段成绩单及本专业排名证明(学校教务部门或院系盖章
④英语水平
⑤获奖证书材料
⑥自荐信及其他成果材料</t>
  </si>
  <si>
    <t>1、获得所在学校推免生资格者，可在2022年9月参加我校硕士研究生推免复试，成绩合格者即可按照我校接收推免面试硕士研究生政策录取为2023年硕士研究生。
2、未获得所在学校推免生资格者，参加2022年12月全国统考并第一志愿报考我院的硕士研究生：报考我院各专业，初试成绩达到相应专业的复试分数线并进入复试者，可优先录取。</t>
  </si>
  <si>
    <t>线上开营典礼、学科介绍、导师与学生交流、综合面试等。</t>
  </si>
  <si>
    <t>2022年6月20日-7月5日</t>
  </si>
  <si>
    <t>2022年7月中旬（具体时间以入营通知为准）</t>
  </si>
  <si>
    <t>60人</t>
  </si>
  <si>
    <t>（一）南方医科大学药学院优秀大学生夏令营申请表（签名加盖公章）
（二）个人简历：格式不限，可包括为何报考相关学院及专业、未来学习研究计划等。
（三）身份证扫描件及加盖有效注册印章的在校学生证原件；
（四）本科阶段成绩单及本专业排名证明（学校教务部门或院系盖章）
（五）英语水平证明：如四六级、雅思、托福、专业外语成绩等；
（六）其他证明材料：体现自身学术水平的代表性学术成果复印件、获奖证书复印件等；</t>
  </si>
  <si>
    <t>1、如取得所在学校推荐免试资格并报考南方医科大学药学专业，可视同面试合格直接拟录取。
2、部分未取得所在学校推免资格的营员，参加当年全国统考并第一志愿报考我校药学专业，初试成绩达到相应专业的复试分数线并进入复试者，可优先录取。</t>
  </si>
  <si>
    <t>阜外医院</t>
  </si>
  <si>
    <t>具备良好外语水平</t>
  </si>
  <si>
    <t>拟采取网络直播互动和分专业线上见面会的形式</t>
  </si>
  <si>
    <t>2022年7月3日-7月16日</t>
  </si>
  <si>
    <t>2022年7月23－24日</t>
  </si>
  <si>
    <t>拟招收营员150－180名（视各专业具体报名情况动态调整）</t>
  </si>
  <si>
    <t>注册登录后在线填写申请表；
报名信息真实承诺书（模板附后）；
个人陈述（自我评价、选择阜外的理由、学业规划等，不限字数）；
证件照1张；
在学证明1份（须加盖院系或学校教务部门公章）；
截止报名前的成绩单1份（须加盖院系或学校教务部门公章）；
总评成绩排名证明1份（须加盖院系或学校教务部门公章）；
获奖证书复印件各1份；
国家英语四、六级考试、托福、雅思等体现自身外语水平的成绩证明1份；
申请人还可提交体现自身学术水平的代表性学术论文、出版物或原创性工作成果1份；
申请人还可提交专家推荐信1-2封，需副教授（含）以上职称的分别推荐，且密封并在封口骑缝处签字。</t>
  </si>
  <si>
    <t>北京市疾病预防控制中心</t>
  </si>
  <si>
    <t>英语水平良好，全国大学英语六级水平（成绩 425 分以上）</t>
  </si>
  <si>
    <t>学院介绍、学科专业及导师介绍、师生交流等活动</t>
  </si>
  <si>
    <t>2022年6月28日-7月5日</t>
  </si>
  <si>
    <t>2022年7月20日左右</t>
  </si>
  <si>
    <t xml:space="preserve">20人 </t>
  </si>
  <si>
    <t>①教育部学籍在线验证报告：登陆“学信网”在“在线认证”一栏申请办理教育部学籍在线验证报告（电子版），命名为：“1.本人姓名+学籍信息”；
②照片：本人近期一寸照片， JPG 格式电子文件，像素为390*260，大小在 200k 以内，命名为：“2.本人姓名+照片”；
③英语水平证明：生成 PDF 格式的电子文件，命名为：“3. 本人姓名+英语水平”；
④本科阶段成绩单及本专业排名证明(学校教务部门或院系盖章，如无法盖章请写一份承诺书，并签名) 电子版，命名为：“4.本人姓名+成绩单/专业排名”；
⑤其他证明材料：包括各类获奖证书、体现自身学术水平的代表性学术论文、出版物或原创性工作成果等)电子版，如材料较多可建立文件夹，命名为：“5.本人姓名+其他证明材料”；
⑥自荐信：格式不限，可包括简历、为何报考相关学院及专业、未来学习研究计划等，命名为“6.本人姓名+自荐信”</t>
  </si>
  <si>
    <t>三博脑科医院</t>
  </si>
  <si>
    <t>本科总成绩年级排名前30%，并有望获得所在学校推免生资格;</t>
  </si>
  <si>
    <t>英语熟练掌握听、说、读、写，全国大学英语六级水平(成绩425分以上);</t>
  </si>
  <si>
    <t>名师讲座、导师云见面会、英语沙龙、优秀研究生学习心得分享会等丰富的活动</t>
  </si>
  <si>
    <t>2022年7月28日-7月29日</t>
  </si>
  <si>
    <t>原则上不超过100人</t>
  </si>
  <si>
    <t>1.教育部学籍在线验证报告：登陆“学信网”在“在线认证”一栏申请办理教育部学籍在线验证报告(电子版)，下载并打印。电子版：将生成的验证报告电子文件，命名为：“1.学籍信息”。
2.照片：本人近期一寸白底彩色身份证版式照片。电子版：照片请使用JPG格式电子文件，像素为413*295，大小在200k以内，命名为：“2.照片”。
3.专家推荐书：副教授及以上专家推荐书1份。电子版生成一份PDF格式的电子文件，命名为：“3.推荐书”。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6.其他证明材料：包括各类获奖证书复印件;体现自身学术水平的代表性学术论文、出版物或原创性工作成果等)。电子版：生成PDF格式的电子文件，如材料较多请自建文件夹，命名为：“6.其他证明材料”。
7.自荐信：格式不限，可包括简历、为何报考相关学院及专业、未来学习研究计划等。电子版：生成PDF格式的电子文件，命名为“7.自荐信”。
8.视频短片：请自行录制1分钟视频短片，要求内容积极向上、画面清晰，可以是大学日常学习实录、业余生活、兴趣爱好，充分展现自我。命名为“8.视频短片”。</t>
  </si>
  <si>
    <t>获得夏令营优秀营员证书的同学，在当年获得所在学校推免生资格者，可在2022年9月(具体时间另行通知)报名进入我校推免生预选拔复试，复试成绩合格者即可按照我校接收推荐免试硕士研究生政策录取为2023年硕士研究生。</t>
  </si>
  <si>
    <t>重庆医科大学</t>
  </si>
  <si>
    <t xml:space="preserve">2022年6月30日-7月20日 </t>
  </si>
  <si>
    <t>01  夏令营报名申请表（见学院通知）
02  身份证（双面）
03  学生证（有个人信息的所有页面）
04  《教育部学籍在线验证报告》
05  本科各阶段成绩单盖章原件及同年级总成绩排名表（均须盖所在学校教务处公章）
06  外语水平证明：全国大学英语六级考试（CET-6）成绩≥425分，或与之相当的英语水平
07  个人获奖证书、代表作品等证明材料
08  《考生诚信考核承诺书》（见学院通知）
09  学院要求上传的其他材料</t>
  </si>
  <si>
    <t>参营营员如通过入营期间的复试综合考核且获得所在学校推免生资格，符合我校推免生招生章程所规定的条件，可直接拟录取为我校相关专业的直博生或硕士研究生，优先选择导师。</t>
  </si>
  <si>
    <t>通过我校夏令营考核的优秀营员如未获得所在学校的推免生资格，如果选择以公开招考方式第一志愿报考我校夏令营专业2023年度硕士研究生，考试成绩达到我校该专业复试基本分数线的，在同等条件下将给予优先录取。</t>
  </si>
  <si>
    <t>天津医科大学总医院</t>
  </si>
  <si>
    <t>英语水平良好，通过国家英语六级考试,且成绩达到 500
分及以上。</t>
  </si>
  <si>
    <t>开营仪式，导师见面会</t>
  </si>
  <si>
    <t>2022年6月20日-6月26日</t>
  </si>
  <si>
    <t>1.申请人下载并填写天津医科大学优秀大学生暑期夏令营活动申请表.doc 及 2022 年度暑期夏令营个人信息汇总表.xls；
2.个人陈述（关于个人学术背景、曾经做过的研究工作以及未来学习和研究的计划、目标等）；
3.专家推荐信.doc2 封，即需要 2 位相关或相近专业副教授含及以上职称的专家分别推荐；
4.本科阶段成绩单（截至目前），专业排名证明，需加盖教务或学生部门公章；
5.大学英语六级成绩单、其他英语水平证明（如近两年内TOEFL 成绩或近三年内 GRE 成绩等）复印件；
6.其他证明材料（如体现自身学术水平的代表性学术论文或其他原创性工作成果复印件、获奖证书复印件等）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</si>
  <si>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体检和心理测试，审查合格后将不再参加复试其他环节，优先拟录取。</t>
  </si>
  <si>
    <t>开营仪式、线上面试</t>
  </si>
  <si>
    <t>2022年6月16日-6月26日</t>
  </si>
  <si>
    <t>1．申请人填写天津医科大学优秀大学生夏令营活动申请表.doc、个人信息汇总表.xls；
2．个人陈述（关于个人学术背景、曾经做过的研究工作以及未来学习和研究的计划、目标等）；
3．专家推荐信.doc2 封，即需要 2 位相关或相近专业副教授（含）及以上职称的专家分别推荐，且密封并在封口骑缝处签字；
4．本科阶段成绩单（截至目前），专业排名证明，需加盖教务或学生部门公章；
5．大学英语六级成绩单或其他英语水平证明（如近两年内 TOEFL 成绩或近三年内 GRE 成绩等）复印件；
6．其他证明材料（如体现自身学术水平的代表性学术论文或其他原创性工作成果复印件、获奖证书复印件等）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</si>
  <si>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t>
  </si>
  <si>
    <t>南开临床学院</t>
  </si>
  <si>
    <t>在学期间学习成绩优秀，截至目前本科总评成绩排名（班级或年级）前30％</t>
  </si>
  <si>
    <t>通过国家英语六级考试，且成绩达到500分及以
上；</t>
  </si>
  <si>
    <t>7月13日上午：学校组织开营仪式
7月14日：医院总体介绍，导师见面会，夏令营学生风采展示（以PPT形式，每人5分钟），面试
7月15日上午：夏令营闭营</t>
  </si>
  <si>
    <t>2022年7月13-7月15日</t>
  </si>
  <si>
    <t>1.申请人填写天津医科大学优秀大学生暑期夏令营活动申请表.doc及个人信息汇总表.xls，并将电子版发
送至邮箱：cuiwei913@126.com；
2.个人陈述（关于个人学术背景、曾经做过的研究工作以及未来学习和研究的计划、目标等）；
3.专家推荐信.doc2封，即需要2位相关或相近专业副教授（含）及以上职称的专家分别推荐，且密封并在
封口骑缝处签字；
4.本科阶段成绩单（截至目前），专业排名证明，需加盖务或学生部门公章；
5.大学英语六级成绩单或其他英语水平证明（如近两年内TOEFL成绩或近三年内GRE成绩等）复印件；
6.其他证明材料（如体现自身学术水平的代表性学术论文或其他原创性工作成果复印件、获奖证书复印件
等）</t>
  </si>
  <si>
    <t>获得优秀营员者，如获得所在学校的研究生推荐免试资格， 报考相同专业、学位类型可优先拟录取为我院推荐免试硕士研究生；如未获得所在学校的研究生推荐免试资格，但通过参加全国统考硕士研究生，报考相同专业、学位类型，考试成绩达到我校同年该专业复试基本分数线（含总分、单科分数）标准后，需参加复试资格审查、体检和心理测试，审查合格后将不再参加复试其他环节，优先拟录取</t>
  </si>
  <si>
    <t>7 月 13 日（周三）上午 学校统一开营仪式
7 月 13日（周三）下午 学院介绍、专家讲座、师生交流
7 月 14日（周四）上午 夏令营学生风采展示（PPT 形式，3 分钟）面试</t>
  </si>
  <si>
    <t>2022年6月17日-6月27日</t>
  </si>
  <si>
    <t>1.申请人填写天津医科大学优秀大学生暑期夏令营活动申请表.doc及
个人信息汇总表.xls（ 个人信息汇总表发邮箱kqoff@tmu.edu.cn）；
2.个人陈述（关于个人学术背景、曾经做过的研究工作以及未来学习
和研究的计划、目标等）；
3.专家推荐信2封，即需要2位相关或相近专业具有高级职称的专家分
别推荐，且密封并在封口骑缝处签字；
4.本科阶段成绩单（截至目前），专业排名证明，需加盖教务或学生
部门公章；
5.大学英语六级成绩单或其他英语水平证明（如近两年内TOEFL成绩
或近三年内GRE成绩等）复印件；
6. 其他证明材料（如体现自身学术水平的代表性学术论文或其他原
创性工作成果复印件、获奖证书复印件等）</t>
  </si>
  <si>
    <t>品学兼优，成绩良好且无不及格科目</t>
  </si>
  <si>
    <t>2022年7月下旬</t>
  </si>
  <si>
    <t>拟招收300名</t>
  </si>
  <si>
    <t>1.个人证件照片
2.成绩单，须加盖院系或学校教务部门公章
3.专家推荐信.doc2 封，即需要 2 位相关或相近专业副教授含及以上职称的专家分别推荐；
4.英语四六级考试、托福、雅思、GRE等英语水平的成绩证明
5.荣誉与奖励证书复印件
6.发表文章，原创性工作成果 7.专家推荐信1-2封，需副教授以上职称专家亲笔签名</t>
  </si>
  <si>
    <t>医学生物学研究所</t>
  </si>
  <si>
    <t>学习成绩优异，在校期间无重修或补考科目</t>
  </si>
  <si>
    <t>全国大学英语六级考试（CET-6）430分及以上，全国大学英语四级考试（CET-4）450分及以上的学生优先接收</t>
  </si>
  <si>
    <t>开营仪式、参观研究所或观看视频、研究生招生与培养介绍、招生学科、导师团队介绍、与在校生交流等</t>
  </si>
  <si>
    <t>2022年6月29日-7月10日</t>
  </si>
  <si>
    <t>2022年7月25日-7月29日</t>
  </si>
  <si>
    <t>1、身份证明材料：学生证；
2、成绩证明材料：本科成绩单、专业排名证明（由教务处盖章）、英语水平证明（四六级证书）各1份；</t>
  </si>
  <si>
    <t xml:space="preserve">1、通过我校模拟复试者，可以填报北京协和医学院推免生预报名系统。
2、通过推免录取的硕士生，入学当年可获得北京协和医学院新生奖学金8000元；通过推免录取的直博生，入学当年可获得北京协和医学院新生奖学金10000元。第二年成绩优良的，可获得医学生物学研究所奖学金8000元；
3、第一志愿报考并录取的学生，入学当年可获得北京协和医学院新生奖学金及医学生物学研究所奖学金共4000元。
 </t>
  </si>
  <si>
    <t>南京中医药大学</t>
  </si>
  <si>
    <t>第二临床医学院/第二附属医院</t>
  </si>
  <si>
    <t>本科期间学习成绩优秀，为双一流高校学生；或普通高校学生前五学期总成绩排名在本校同年级本专业前30%或预计能够获得所在学校推荐免试攻读硕士研究生资格的学生；</t>
  </si>
  <si>
    <t>英文水平良好，达到全国大学生英语六级水平</t>
  </si>
  <si>
    <t>视疫情防控要求决定是否举办线下活动</t>
  </si>
  <si>
    <t>院长有约、导师沙龙、学术交流、实地参访、实践活动等。</t>
  </si>
  <si>
    <t>2022年6月29日-7月12日</t>
  </si>
  <si>
    <t>7月中下旬，为期一天，具体安排将提前一周另行通知</t>
  </si>
  <si>
    <t>计划招生人数为15人</t>
  </si>
  <si>
    <t>1）个人简历
2）本科成绩单
3）学生证（正面，照片页和注册页）、身份证正反面
4）其他证明材料（如已发表论文、英文考试证书、获奖证书等复印件等）</t>
  </si>
  <si>
    <t>优秀营员将在2023年硕士研究生招生录取时可享受以下优惠政策：若获得所在学校推荐免试研究生外推资格，符合我校推免生招生要求，并第一志愿报考我院硕士研究生，根据本人志愿，可以优先预录取。</t>
  </si>
  <si>
    <t>第三临床医学院</t>
  </si>
  <si>
    <t>成绩优异</t>
  </si>
  <si>
    <t>开营宣讲：单位基本情况介绍、各研究室及重点专科介绍
学术论坛：研究生科研能力培训讲座、青年学术沙龙</t>
  </si>
  <si>
    <t>2022年7月1日-7月15日</t>
  </si>
  <si>
    <t>2022年度7月-8月</t>
  </si>
  <si>
    <t>个人简历</t>
  </si>
  <si>
    <t>国家卫生健康委科研所</t>
  </si>
  <si>
    <t>本科学习期间成绩优秀，在校期间无重修或补考科目</t>
  </si>
  <si>
    <t>开营仪式、走近协和和科研所（视频短片）、研究生培养介绍、各学科专业导师、与在校生线上交流等。</t>
  </si>
  <si>
    <t>2022年6月23日-7月9日</t>
  </si>
  <si>
    <t>（1）个人简历及个人陈述：包括个人基本情况、教育经历、本科期间参与的科研工作、未来学习研究计划、参与过的社团活动、兴趣爱好、联系方式等。
（2）身份证明材料：身份证正反面和学生证扫描件。
（3）成绩证明材料：本科成绩单、专业排名证明（教务处盖章）、英语水平证明（四、六级成绩或证书）的扫描件各1份。
（4）其他参考材料：获奖证书、发表文章、科研成果等的扫描件。</t>
  </si>
  <si>
    <t>针灸推拿学院•养生康复学院</t>
  </si>
  <si>
    <t>本科期间成绩优异</t>
  </si>
  <si>
    <t>良好的英语水平</t>
  </si>
  <si>
    <t>学院介绍与各学位点介绍宣讲，学科组面试</t>
  </si>
  <si>
    <t>2022年7月5日-7月15日</t>
  </si>
  <si>
    <t>2022年七月中下旬</t>
  </si>
  <si>
    <t>不超过30人</t>
  </si>
  <si>
    <t>1、个人简历；2、本科阶段成绩单，加盖院系公章；3、前7学期总评成绩排名证明一份（由所在学院/系出具证明）；4、外语水平证明；5、学生证、身份证；6、其他材料证明（包括各类获奖证书、参加社会实践活动的证明等）</t>
  </si>
  <si>
    <t>优秀营员获得所在学校研究生推荐免试资格，并符合我校2023年接收推荐免试硕士研究生拟录取条件的，在依照我校接收推荐免试硕士研究生工作方案完成我校推免报名后，同等条件下可优先拟录取为我院2023年学术型硕士研究生，无需再参加我校推免生复试</t>
  </si>
  <si>
    <t>重庆大学</t>
  </si>
  <si>
    <t>本科阶段学习成绩，特别是专业成绩突出，专业排名名列前茅</t>
  </si>
  <si>
    <t>专家报告、互动交流、课题组展示和科研介绍、综合素质考核等内容。综合素质考核以面试形式进行，面试内容包括外语口语和专业综合知识。具体活动细节另行通知。</t>
  </si>
  <si>
    <t>2022年7月7日-7月8日</t>
  </si>
  <si>
    <t>（1）本科成绩单（包括专业人数和本人在全专业学生中的总成绩排名；须加盖学校教务处或学院公章）；
（2）申请表中所涉及的论文代表作、相关证书、证明材料（有条件的可提供院系或导师推荐意见）；
（3）国家英语四、六级考试成绩，或TOEFL成绩、GRE/GMAT成绩等体现自身英语水平的证明；
（4）身份证、学生证扫描件;
（5）重庆大学生命科学学院2022年夏令营报名申请表（见附件）。</t>
  </si>
  <si>
    <t>1.获得母校推免资格的我院2022年夏令营“优秀营员”，在“全国推荐免试服务系统”中报考重庆大学生命科学学院，学院将根据推免生接收规模优先发放录取资格，满额为止。并在录取后优先选择导师。
2.被录取为我院的所有推免硕士研究生原则上入学第一年可优先获得学校A等学业奖学金。
3.被录取为我院直博生或优秀推免硕士研究生，可按照《重庆大学推免研究生奖学金实施办法（暂行）》获得相关奖学金。</t>
  </si>
  <si>
    <t>南华大学</t>
  </si>
  <si>
    <t>公共卫生管理学院</t>
  </si>
  <si>
    <t>本科期间总评成绩排名在该校同年级本专业前列（在其他方面有突出表现的学生除外）</t>
  </si>
  <si>
    <t>夏令营采取线上与线下相结合的形式进行。湖南省内大学生线下参加，外省大学生线上参加（腾讯会议）。</t>
  </si>
  <si>
    <t>学科介绍、学员与导师交流、参观实验室等活动</t>
  </si>
  <si>
    <t>2022年6月29日-7月6日</t>
  </si>
  <si>
    <t>2022年7月12日-14日</t>
  </si>
  <si>
    <t>线下30人，线上人数不限。</t>
  </si>
  <si>
    <t>1. 完成附件1填写。
2. 学生证、本科成绩单和专业排名证明（各1份，需加盖所在学院教务公章）。
3. 大学英语四/六级成绩单、TOEFL、GRE成绩单等英语成绩证明材料。
4. 相关获奖证书复印件、其他有关能力证明的材料复印件。
5. 省内线下参与大学生提供48小时内核酸证明、健康码、行程码（来衡前24小时内提供）。</t>
  </si>
  <si>
    <t>1. 夏令营成员必须严格执行疫情防控工作常态化要求。
2. 夏令营期间，非衡阳本地学员的住宿由学院统一安排，不收取费用。
3. 夏令营期间，所有学员凭餐券在学校食堂免费就餐。</t>
  </si>
  <si>
    <t>对有意报考我院的学生，夏令营过程中获得优秀学员资格者，只要统考初试成绩达到国家分数线或获得硕士研究生推免资格，同等条件下优先录取。</t>
  </si>
  <si>
    <t>北京医院</t>
  </si>
  <si>
    <t>学习成绩优秀，能够获得推免资格</t>
  </si>
  <si>
    <t>英语四六级成绩优秀</t>
  </si>
  <si>
    <t>2022年7月1日-7月7日</t>
  </si>
  <si>
    <t>2022年7月中下旬，营期2天，具体活动时间另行通知</t>
  </si>
  <si>
    <t>拟招收100-150名</t>
  </si>
  <si>
    <t>1、推免资格证明（须由所在学校教务部门盖章）；
2、大学期间成绩单和专业排名（须由所在学校教务部门盖章）；
3、英语四六级成绩证明；
4、两位副教授（或相当职称）或以上专家的专家推荐信；
5、其他材料（如：发表论文、专利、获奖证书复印件等）。</t>
  </si>
  <si>
    <t>瑞金医院“致远荣誉计划”</t>
  </si>
  <si>
    <t>1.  符合上海交通大学本科直接攻读博士学位的基本条件。
2.  国内高校本科毕业生需符合以下要求之一：
我校致远荣誉计划本科生；
教育部基础学科拔尖学生培养计划成绩排名前50%的学生；
C9高校学科排名B+以上且成绩排名前20%的学生；
全国A类学科普通班成绩排名前15%的学生。
本科阶段有科研经历并在SCI上发表学术论文者或大学生创新竞赛获奖者优先考虑。
3.  海外高校本科毕业生需同时符合以下要求：
本科阶段就读高校原则上同时进入最新四大国际大学排行的前100位；
国际排名前50的学科，本科阶段总绩点不低于3.5；国际排名前50-100的学科，本科阶段总绩点不低于3.7（按满分为4分核算）；
对学术研究工作有浓厚兴趣，具有创新精神、科研潜质和社会责任感；须有相关科研经历。最迟于本校报到前获得教育部留学服务中心出具的《国（境）外学历学位认证书》。</t>
  </si>
  <si>
    <t>8月上旬</t>
  </si>
  <si>
    <t>培养单位及导师面试。通过面试者，填写并提交《上海交通大学荣誉计划申请表》（附件2），同时提交材料包括：①个人陈述；②本科成绩单；③成绩排名证明；④发表论文；⑤博士研究计划；⑥两封专家推荐信；⑦校外联合培养导师的支撑材料。</t>
  </si>
  <si>
    <t>英语水平良好并符合以下任一项：通过全国大学英语六级考试，成绩425分或更高；TOEFL成绩90分及以上；IELTS（A类/学术类）成绩6分及以上；GRE成绩在310以上，GMAT成绩在640以上；英语专业四级（及以上）考试合格；</t>
  </si>
  <si>
    <t>活动内容包括开营仪式、学院和学科介绍、师生交流、个人风采展示等环节，具体活动安排与时间另行通知</t>
  </si>
  <si>
    <t>2022年6月17日-7月20日</t>
  </si>
  <si>
    <t>①《南开大学2023年推荐免试研究生报名信息表》（进行网上报名并确认后生成此表，按照系统提示打印此表，本人签字）；
② 加盖教务处公章的本科学习成绩单和专业排名证明；
③《南开大学医学院2022年夏令营申请表》（附件下载）；
④副教授及以上级别的专家推荐信2封（附件下载，需专家亲笔签字或电子签名）；
⑤其他证明材料，包括：国家英语四、六级考试成绩或其他英语水平的证明复印件；获奖证书或科研成果证明复印件；本人代表性学术论文、出版物或原创性成果等。</t>
  </si>
  <si>
    <t>入选营员自行准备PPT（申请学术学位各专业，PPT时间5分钟；申请临床医学硕士专业学位各专业，PPT时间3分钟），内容包括本人自我介绍、教育背景、参加科研工作和研究成果情况、对本人申请学科的认识及感兴趣的科研领域、攻读研究生阶段的学习和研究计划等。</t>
  </si>
  <si>
    <t>2022年7月23－7月24日</t>
  </si>
  <si>
    <t>附属第二医院</t>
  </si>
  <si>
    <t>总成绩排名前列</t>
  </si>
  <si>
    <t>本次夏令营活动初定以线下形式组织，如果受疫情影响将改为线上形式组织和安排</t>
  </si>
  <si>
    <t>活动时间为4天,内容包括入营主题讲座、相关教研室师生专题交流等</t>
  </si>
  <si>
    <t>2022年7月3日-7月8日</t>
  </si>
  <si>
    <t>2022年7月25日-7月28日</t>
  </si>
  <si>
    <t>a.身份证扫描件（正反面复印到一页纸上扫描）
b.本科阶段成绩单、成绩总评排名的证明材料扫描件（加盖教务部门公章）
c.英语四、六级证书扫描件（如同时有四六级，上传六级证书扫描件即可）
d.负责或参与科研项目扫描件（非必须项，最多上传2项， 扫描项目名称和负责人排名页即可）
e.发表文章扫描件（非必需项，最多上传2项，扫描题目和作者署名页即可）
f.其它获奖证书扫描件（非必需项，最多上传三张）</t>
  </si>
  <si>
    <t>1、所有入选人员按要求参加完活动后将获得神秘礼物一份。
2、如果以线下形式进行，活动夏令营活动期间，将为学生提供在广州的食宿（广州本地学校学生不提供食宿）及异地学校学生往返硬座火车票费用(选择其他交通工具的按照硬座火车票标准报销)。</t>
  </si>
  <si>
    <t>寄送纸质版材料</t>
  </si>
  <si>
    <t>苏州系统医学研究所</t>
  </si>
  <si>
    <t>所学专业为生物学、医学、药学、生物信息学、计算机等相关专业，成绩优异、在校期间无重修或补考科目</t>
  </si>
  <si>
    <t>英语能力良好，CET6≥430分或相当水平。</t>
  </si>
  <si>
    <t>2022年7月4日-7月22日</t>
  </si>
  <si>
    <t>视报名情况而定。</t>
  </si>
  <si>
    <t>（1）《2022年全国优秀大学生夏令营申请表》1份（附件1）。
（2）本科在读期间成绩单（截至目前）1份、专业排名1份，均须由教务部门盖章。
（3）英语六级成绩单或其他英语考试的成绩证明1份。
（4）专家推荐信2封（需副教授及以上职称专家分别推荐）。
（5）其他证明材料（如体现自身学术水平的代表性学术论文或其他原创性工作成果复印件、获奖证书复印件等）。
（6）身份证正反面复印件、学生证复印件各1份。（可打水印）
以上申请材料（2-6项）请通过扫描等方式形成一个PDF文件，与《申请表》共同发送至ismzhaosheng@126.com，邮件主题为“张XX申请参加2022年系统所夏令营”，文件均命名为“学校名称-专业-姓名”，如“中南大学-基础医学-张XX”。
（7）请扫描二维码填报在线表格《2022年苏州系统医学研究所夏令营营员收集表》。</t>
  </si>
  <si>
    <t>选拔出优秀营员，颁发优秀营员证书，如在所读大学取得推免资格，且在2023年全国推荐优秀应届本科毕业生免试攻读研究生报名阶段第一志愿填报我所，则可优先拟录取。</t>
  </si>
  <si>
    <t>情报学、医学信息学专业</t>
  </si>
  <si>
    <t>学习成绩优秀。本科总评成绩排名年级前30%。</t>
  </si>
  <si>
    <t xml:space="preserve"> 英语水平良好，通过国家四级或六级考试，雅思、TOEFL成绩、GRE/GMAT成绩等外语考试成绩均可。</t>
  </si>
  <si>
    <t>2022年6月21日-7月11日</t>
  </si>
  <si>
    <t>2022年7月14-15日</t>
  </si>
  <si>
    <t>招收营员70人，其中医学信息学20人，情报学20人，社会医学与卫生事业管理、公共卫生专业和流行病与卫生统计30人。</t>
  </si>
  <si>
    <t>1. 北京协和医学院医学信息研究所2022年优秀大学生学术夏令营申请表1份（见附件）；
2. 个人简历1份；
3. 本科阶段成绩单（由院系教务部门盖章，并注明专业人数及成绩排名）1份；
4. 获奖证书或参与科研项目证明扫描件各1份；
5. 英语水平证明材料，大学英语四、六级成绩，TOEFL成绩单或GRE/GMAT等成绩证书的扫描件；
6. 申请人还可提交体现自身学术水平的代表性学术论文、出版物或原创性工作成果的扫描件。</t>
  </si>
  <si>
    <t>夏令营活动结束后，优秀营员将获得 “北京协和医学院医学信息研究所优秀大学生暑期学术夏令营优秀营员”证书，并享有优先推荐免试研究生资格。</t>
  </si>
  <si>
    <t>附属北京潞河医院</t>
  </si>
  <si>
    <t>活动简介：暂定为学科报告会、与导师面对面、与在读研究生交流等。全程认真完成夏令营的同学，发优秀营员证书。</t>
  </si>
  <si>
    <t>2022年6月30日-7月7日</t>
  </si>
  <si>
    <t>原则上不多于30人</t>
  </si>
  <si>
    <t>（1）教育部学籍在线验证报告：登陆“学信网”在“在线认证”一栏申请办理教育部学籍在线验证报告（电子版），PDF格式电子文件，命名“1.学籍信息”；
（2）照片：本人近期一寸白底免冠证件照，照片请使用JPG格式电子文件，像素为390*260，大小在200k以内，命名“2.照片”；
（3）本科阶段成绩单及本专业排名证明(学校教务部门或院系盖章)，生成一个PDF格式文件，命名“3.成绩单及排名”；
（4）英语水平证明：PDF格式电子文件，命名“4.英语水平”；
（5）其他证明材料：包括各类获奖证书复印件；体现自身学术水平的代表性学术论文、出版物或原创性工作成果等)，生成一个PDF格式电子文件，命名“5.其他证明材料”。
（6）自荐信：格式不限，可包括简历、为何报考相关学院及专业、未来学习研究计划等，PDF格式电子文件，命名“6.自荐信”。</t>
  </si>
  <si>
    <t>获得夏令营优秀营员证书的同学，在当年获得所在学校推免生资格者，可在2022年9-10月（具体时间另行通知）进行我校硕士研究生预报名，并100%进入预选拔复试，复试成绩合格者即可按照首都医科大学接收推荐免试硕士研究生政策录取为2023年硕士研究生。</t>
  </si>
  <si>
    <t>附属北京口腔医院</t>
  </si>
  <si>
    <t>在学期间学习成绩优秀，本科总成绩年级排名前30%。</t>
  </si>
  <si>
    <t>申请者英语水平应达到以下条件之一：
①TOEFL≥90分（IBT）；
②新GRE≥305分；
③WSK（PETS5）考试合格；
④大学英语六级CET6≥425分；
⑤IELTS≥6.0。</t>
  </si>
  <si>
    <t>2022年7月4日-7月12日</t>
  </si>
  <si>
    <t>（1）教育部学籍在线验证报告：登陆“学信网”在“在线认证”一栏申请办
理“教育部学籍在线验证报告”（电子版）；将生成的验证报告电子版文件，命
名为：“1.学籍信息”。
（2）照片：本人近期彩色生活照片1-2张。电子版：照片请使用JPG格式，请
勿过度美颜，命名为：“2.照片”。
（3）本科阶段成绩单及本专业排名证明(学校教务部门或院系盖章)。电子版：
各生成PDF格式的电子文件，命名为：“3.1成绩单、3.2专业排名”。
（4）英语水平证明：生成PDF格式的电子文件，命名为：“4.英语水平”。
（5）其他证明材料：包括各类获奖证书复印件；体现自身学术水平的代表性
学术论文、出版物或原创性工作成果等。电子版：生成一个PDF格式的电子文件，
命名为：“5.其他证明材料”。
（6）自荐信：格式不限，可包括简历、为何报考相关学院及专业、未来学习
研究计划等。电子版：生成PDF格式的电子文件，命名为“6.自荐信”</t>
  </si>
  <si>
    <t>北京协和医院</t>
  </si>
  <si>
    <t>CET6≥500或托福≥90或雅思≥6.5</t>
  </si>
  <si>
    <t>2022年7月6日-7月17日</t>
  </si>
  <si>
    <t>200-300名</t>
  </si>
  <si>
    <t>1、个人简历
2、推免资格证明，排名证明
3、英语成绩证明
4、其他材料（学术论文、获奖证书等）</t>
  </si>
  <si>
    <t>优秀营员优先录取</t>
  </si>
  <si>
    <t>附属第七医院</t>
  </si>
  <si>
    <t>本科学习成绩优秀，获得或者可能获得推免资格</t>
  </si>
  <si>
    <t>具有良好听、说、读、写的英语应用能力，英语六级成绩达到425分及以上</t>
  </si>
  <si>
    <t>2022年7月6日-7月21日</t>
  </si>
  <si>
    <t>2022年7月27日-7月29日</t>
  </si>
  <si>
    <t>1.个人简历（1个页面）
2.身份证复印件（正反面复印在同一张A4纸内）；
3.学生证（第一页和第二页复印到一张A4纸的复印件）；
3.本科阶段成绩单原件或复印件（由学校教务部门或院系盖章）；
4.英语水平的证明材料复印件；
5.其他证明材料，如代表性学术论文（首页即可-即题目、摘要、作者所在页）、其他原创性工作成果、获奖证书等，学术论文以正式见刊为准。</t>
  </si>
  <si>
    <t>儿科学院</t>
  </si>
  <si>
    <t>学习成绩优秀，大学期间必修课无不及格记录，缓考课程必须有成绩，必修课平均学分绩点排名在本专业前25%。</t>
  </si>
  <si>
    <t>全国大学英语六级考试（CET-6）成绩≥425分，或与之相当的水平。</t>
  </si>
  <si>
    <t>开营仪式、宣讲、名师讲坛、风采展示、闭营及面试考核等</t>
  </si>
  <si>
    <t>2022年7月6日-7月12日</t>
  </si>
  <si>
    <t>拟招收50名营员</t>
  </si>
  <si>
    <t>参营营员如通过入营期间的综合考核且获得所在学校推免生资格，符合我校推免生招生章程所规定的条件，可直接拟录取为我校相关专业的直博生或硕士研究生，优先选择导师。</t>
  </si>
  <si>
    <t>通过我院夏令营考核的优秀营员如未获得所在学校的推免生资格，如果选择以公开招考方式第一志愿报考我院夏令营专业2023年度硕士研究生，考试成绩达到该专业复试基本分数线的，在同等条件下将给予优先录取。</t>
  </si>
  <si>
    <t>心理学院</t>
  </si>
  <si>
    <t>第一天
9:00-12:00 学院介绍 应用心理学系及研究团队介绍和座谈
14:30-17:30 应用心理学系及研究团队介绍和座谈
第二天
9:00-12:00 基础心理学系及研究团队介绍和座谈
14:30-17:30 脑疾病与认知科学研究中心及研究团队介绍和座谈
第三天
9:00-12:00 暑期夏令营营员面试及结营仪式</t>
  </si>
  <si>
    <t>2022年7月6日-7月9日</t>
  </si>
  <si>
    <t>预计招收50人。</t>
  </si>
  <si>
    <t>①第二代身份证
②注册至本学期的学生证
③成绩单
④外语水平证明材料
⑤能证明申请人资质的其它材料</t>
  </si>
  <si>
    <t>苏州大学</t>
  </si>
  <si>
    <t>学习成绩优秀（已获得或将获得推荐免试研究生资格者优先考虑）。</t>
  </si>
  <si>
    <t>英语达到国家四/六级水平（四级450分以上，或六级425分以上），TOFEL或GRE成绩优秀者亦可。</t>
  </si>
  <si>
    <t>2022年7月8日-7月15日</t>
  </si>
  <si>
    <t>2022年8月6日-8月7日</t>
  </si>
  <si>
    <t>1、苏州大学医学部公共卫生学院的全国优秀大学生夏令营申请表1份(附件：苏州大学苏州医学院公共卫生学院2022年夏令营申请表.docx）；
2、本科成绩单与专业（班级）排名（注明班级和专业人数）证明（各一份，需加盖教务处公章或院部公章）；
3、英语等级证书；
4、获奖证书扫描件、学术科研成果或其他可证明自身优秀材料。</t>
  </si>
  <si>
    <t>北京中医药大学</t>
  </si>
  <si>
    <t>总成绩排名原则上在所读学校同年级本专业前 25％及以内。在学期间无重修科目及补考记录，</t>
  </si>
  <si>
    <t>英语达到大学英语四级水平（425 分）</t>
  </si>
  <si>
    <t>7 月 20 日
9：00—9：10 开营仪式
9：10—9：30 学院及研究生培养情况介绍
9：30—11：00 名师讲座
14：30—16：00 名师讲座
7 月 21 日
9：00—11：00 学生交流活动
14：00—16：00 线上面试
16：00—16：30 结营仪式</t>
  </si>
  <si>
    <t>2022年6月28日-7月15日</t>
  </si>
  <si>
    <t>2022年7月20日-7月21日</t>
  </si>
  <si>
    <t>入营名额：不超过 52 人，优秀营员：不超过 26 人</t>
  </si>
  <si>
    <t>1、《北京中医药大学 2022 年全国优秀大学生夏令营申请表》（研究生院官网下
载）；
2、本科学习成绩单，要求加盖所在学校教务处公章（红章原件）；
3、大学英语四级或六级考试成绩单；
4、获奖证书；（包括本科期间能突出自己特长、社会贡献、综合素质能力等各类
证书）；
5、已发表的论文及专利，或其它原创性成果、其他有参考价值的科研实验工作证
明材料。
6、个人简历（含本人联系方式、微信号等）</t>
  </si>
  <si>
    <t>表现优秀的营员（优秀营员），待获得所在学校当年度推免资格后，将优先推免录取为北京中医药大学研究生</t>
  </si>
  <si>
    <t>中药学院</t>
  </si>
  <si>
    <t>学习成绩优秀，专业成绩和综合成绩均名列本专业前茅；</t>
  </si>
  <si>
    <t>英语达到大学英语四级水平（≥425 分）</t>
  </si>
  <si>
    <t>7 月 22 日
9：00—9：15 开营仪式 学院领导
9：15—9：30 学院及研究生培养情况介绍 魏胜利副院长
9：30—10：10 名师讲座 刘春生 教授
10：10—11：30 学科及导师介绍 各学科带头人
13：30—16：30 线上面试 面试专家
16：30—17：00 结营仪式 学院领导</t>
  </si>
  <si>
    <t>2022年6月27日-7月15日</t>
  </si>
  <si>
    <t>2022 年 7 月 22
日</t>
  </si>
  <si>
    <t>不超过 80 人，优秀营员：不超过 40 人</t>
  </si>
  <si>
    <t>1. 《北京中医药大学 2022 年全国优秀大学生夏令营申请表》（研究
生院官网下载）；
2. 本科阶段截止到目前的学习成绩单 1 份，要求加盖所在学校教务
处公章（红章原件）；
3. 体现自身英语水平的证明扫描件 1 份（如国家英语四六级考试、
TOEFL、 IELTS、 GRE 成绩等）；
4. 获奖证书（包括本科期间能突出自己特长、社会贡献、综合素质
能力等各类证书）；
5. 可以体现自身学术水平和研究潜力的学术科研成果等材料（如发
表论文、专利等）；
6. 个人简历（含本人联系方式、微信号等）；
7. 个人自我介绍 PPT（每人不超过 3分钟）</t>
  </si>
  <si>
    <t>在夏令营中表现优秀（优秀营员）且符合我校推免要求的学员，待获得所在学校当年度推免资格后，将优先录取为北京中医药大学中药学院研究生。</t>
  </si>
  <si>
    <t>总成绩排名原则上在所读学
校同年级本专业前 25％及以内</t>
  </si>
  <si>
    <t>英语水平良好，达到国家英语六级或相当水平。</t>
  </si>
  <si>
    <t>7 月 21 日
上午
1.开营仪式
2.学院和研究生培养情况介绍
3.名师讲座
下午
1.专业笔试
2.导师线上见面会
7 月 22 日
上午 1.综合面试
下午
1.综合面试
2.结营仪式</t>
  </si>
  <si>
    <t>2022年6月20日-7月15日</t>
  </si>
  <si>
    <t>2022 年 7 月 21-22 日</t>
  </si>
  <si>
    <t>入营名额原则上不超过 16 人，录取优秀营员不超过 8 人。</t>
  </si>
  <si>
    <t>1.《北京中医药大学 2022 年全国优秀大学生夏令营申请表》（见大学招生
简章附件）。
2.本科阶段截止到目前的学习成绩单 1 份，要求加盖所在学校教务处公章
（红章原件）。
3. 大学英语六级考试成绩单或体现自身英语水平的证明扫描件 1 份（如
TOEFL、IELTS、GRE 成绩单等）。
4.获奖证书（包括本科期间能突出自己特长、社会贡献、综合素质能力等各
类证书）；
5. 已发表的论文及专利，或其它原创性成果、其它有参考价值的科研工作
证明材料。</t>
  </si>
  <si>
    <t>取得所在学校“推免资格”的优秀营员，将优先录取为我院 2023 级
硕士研究生推免生。获得优秀营员称号并推免至我校攻读硕士研究生的同学，第一学年奖学金按有关规定原则上可给予二等及以上学业奖学金认定。</t>
  </si>
  <si>
    <t>白求恩第一临床医学院</t>
  </si>
  <si>
    <t>主要活动包括学院及学科介绍、与各科专家线上面对面交流等</t>
  </si>
  <si>
    <t>2022年7月8日-7月18日</t>
  </si>
  <si>
    <t>1)学生证（姓名、照片和专业页面）；
2)成绩单。</t>
  </si>
  <si>
    <t xml:space="preserve"> 本次夏令营不进行优秀营员评比，暂无优惠政策。</t>
  </si>
  <si>
    <t>空军军医大学</t>
  </si>
  <si>
    <t>2022年7月9日-7月20日</t>
  </si>
  <si>
    <t>南京医科大学</t>
  </si>
  <si>
    <t>第四临床医学院</t>
  </si>
  <si>
    <t>学习成绩优秀，本科总成绩专业排名前25%</t>
  </si>
  <si>
    <t>英语水平良好，通过英语六级成绩≥450分；</t>
  </si>
  <si>
    <t>1）学院概况介绍：介绍学校以及第四临床医学院的发展历程和现状，以及在人才培养、教育教学和科学研究等方面取得的成绩；
2）专家学术讲座：邀请学科带头人做专题讲座和学术报告，了解相关学科的科学前沿，激发科研兴趣；
3）科研团队宣讲会：邀请学系负责人向学生介绍导师团队、研究方向、科研平台和研究生就业等内容，促进师生交流，对学科的研究方向有所了解；
4）面试选拔：组织相关面试，选拔优秀学员。</t>
  </si>
  <si>
    <t>2022年7月30日至7月31日</t>
  </si>
  <si>
    <t>合格营员可在 2023 年硕士研究生招生录取时享受以下优惠政策：若获得所在学校推免生资格，登录“教育部推免系统”填报与夏令营面试专业相同的志愿（学院、专业、三级学科、学位类型、学习方式等一致），可直接被我校拟录取。</t>
  </si>
  <si>
    <t>第一临床学院</t>
  </si>
  <si>
    <t>全国大学英语六级考试（CET-6）成绩≥425分，或与之相当的英语水平。</t>
  </si>
  <si>
    <t>8月2日上午：云开营仪式、云参观医院
8月2日下午：云讲座、云交流
8月3日-4日：演练测试、云考核</t>
  </si>
  <si>
    <t>2022年7月11日-7月19日。</t>
  </si>
  <si>
    <t>2022年8月2日-8月4日</t>
  </si>
  <si>
    <t xml:space="preserve"> 80名。</t>
  </si>
  <si>
    <t>（1）《重庆医科大学第一临床学院2022年全国优秀大学生暑期夏令营活动申请表》（附件2）；
（2）身份证（双面）；
（3）学生证（有个人信息的所有页面）；
（4）《重庆医科大学报考攻读博士/硕士学位研究生思想政治素质和品德考查表》（附件3）；
（5）《教育部学籍在线验证报告》；
（6）本科各阶段成绩单盖章原件及同年级总成绩排名表（均须盖所在学校教务处公章）；
（7）英语六级证书或与之相当的英语水平证明材料扫描件；
（8）考生诚信考核承诺书（附件4）；
（9）其他学术成果、获奖证书等证明材料（若有，请附上）。</t>
  </si>
  <si>
    <t>优秀营员的数量为实际参加总营员人数的30%，根据考核专家组评分结果，由高到低确定。</t>
  </si>
  <si>
    <t>（一）如通过我院夏令营考核且获得所在学校推免生资格，且符合重庆医科大学推荐免试研究生或直博生招生章程所规定的条件，可直接录取为我院相关专业的推免硕士研究生或直博生，可优先选择导师。
（二）如未获得所在学校的推免生资格但为我院夏令营考核的优秀营员，若选择以公开招考的方式报考我院2023年硕士研究生，且考试成绩达到我院该专业复试基本分数线，在同等条件下将给予优先录取。
（三）如获我院夏令营考核的优秀营员，并拟取为我院的推免硕士研究生或直博生，在入学后可获得1万元的科研启动经费。</t>
  </si>
  <si>
    <t>若必修课平均学分绩点排名未达到本专业前25%，且在本科阶段课程无补考重修，但是符合以下条件之一者，可直接入营：
1.本科期间作为排名第一的作者在SCI期刊上有论文发表。 2.获得与本专业相关的省部级以上（含省部级）的科技竞赛一、二等奖（或等同于一、二等奖）排名前六位。
3.在学生“创优争先”活动中获得省部级以上（含省部级）先进个人称号；
4.获得排名第一（若指导老师排名第一，其排名第二亦可）的发明专利授权等。</t>
  </si>
  <si>
    <t>肿瘤防治中心</t>
  </si>
  <si>
    <t>学习成绩优秀，具有较强动手能力和科研潜质，本科总成绩排名前列，已经获得或即将获得所在高校推荐免试生资格者优先；</t>
  </si>
  <si>
    <t>2022年7月11日-7月17日</t>
  </si>
  <si>
    <t>2022年8月9日-10日</t>
  </si>
  <si>
    <t>100名优秀应届本科生营员（中山大学校内学生不占名额）</t>
  </si>
  <si>
    <t>1. 个人简历（篇幅限A4单面，编排形式不限），内容应包括但不限于以下：本科成绩排名、英语水平、科研成果、竞赛获奖、社会服务等情况介绍；
2.佐证材料的目录清单
3. 相关佐证材料
（1）《教育部学籍在线验证报告》，办理方式详见中国高等教育学生信息网http://www.chsi.com.cn/xlcx/bgys.jsp；
（2）在读证明或学生证复印件；
（3）本科阶段的成绩证明（包括：盖有教务部门公章的成绩单1份和成绩总评排名的证明材料1份）；
（4）英语水平相关证书或成绩单复印件各1份（英语四、六级成绩单、TOEFL成绩等）；
（5）其它材料（如有可提供）：包括各项获奖证书；参加学生科研活动的证明；发表或参与发表的论文正文首页等。</t>
  </si>
  <si>
    <t>精准医学研究院</t>
  </si>
  <si>
    <t>英语水平CET 6≥425或新TOEFL≥90或IELTS≥6.0</t>
  </si>
  <si>
    <t>2022年6月21日-7月13日</t>
  </si>
  <si>
    <t>2022年7月15-16日</t>
  </si>
  <si>
    <t>（1）《上海交通大学医学院研究生招生夏令营申请表》《上海精准医学研究院暑期研究生招生申请表》各一份；
（2）身份证、学生证复印件各1份，核验原件；
（3）本科成绩单1份（需加盖教务处公章）；
（4）其他证明材料复印件（如发表的学术论文、获奖或资格证书、国家英语六级成绩单等）各1份；
（5）2位所在学院副教授（含）以上职称的专家推荐信，原件。</t>
  </si>
  <si>
    <t>未获得推免资格的学生，若参加2022年全国研究生统一入学考试，初试成绩达到医学院复试分数线，同等条件下可获得优先录取资格。</t>
  </si>
  <si>
    <t>A等，直博生。申请者获得所在学校推荐免试直升研究生资格，且符合医学院接收优秀本科毕业生推荐免试攻读博士学位研究生招生要求，并在教育部“全国推荐优秀应届本科毕业生免试攻读研究生信息公开暨管理服务系统”（以下简称“推免服务系统”）中填报SHIPM（具体时间另行通知），可直接录取为当年度博士研究生；
B等，硕士生。申请者获得所在学校推荐免试直升研究生资格，且符合医学院接收优秀本科毕业生推荐免试攻读硕士学位研究生招生要求，并在教育部推免服务系统中填报SHIPM（具体时间另行通知），可直接录取为当年度硕士研究生。
C等，申请者须符合医学院接收优秀本科毕业生推荐免试攻读硕士学位研究生招生要求，且与夏令营参加的培养单位及专业一致，可直接获得推荐免试硕士研究生的复试资格，通过复试后优先录取；</t>
  </si>
  <si>
    <t>上海交通大学在2022年继续面向直博生实施博士生“致远荣誉计划”，旨在培养一批具有宽阔视野、科学精神、创新能力与社会责任感的未来科学和工程技术领军人才，推动博士生创新培养体系建设。学院将推荐优秀学生申报“致远荣誉计划”，后续资料提交时间及提交方式将另行通知，可参考上海交通大学研究生院关于博士生“致远荣誉计划”的通知https://yzb.sjtu.edu.cn/info/1004/2894.htm。</t>
  </si>
  <si>
    <t>整形外科医院</t>
  </si>
  <si>
    <t>学习成绩优秀，能够获得所在学校推免资格；</t>
  </si>
  <si>
    <t>英语水平优良。</t>
  </si>
  <si>
    <t>2022年7月11日-7月22日</t>
  </si>
  <si>
    <t>拟招收营员100-200名</t>
  </si>
  <si>
    <t>（1）《个人简历》；
（2）《对报考学科的认识及未来职业规划》；
（3）推免资格证明（如有，非必须）；
（4）大学期间成绩单和专业排名，须由教务部门盖章；
（5）英语水平相关证明（英语四、六级考试、托福、雅思、GRE等英语水平证书）；
（6）其他证明材料（如获奖证书、发表文章、其他原创性学术成果等）。</t>
  </si>
  <si>
    <t>遴选优秀夏令营营员，如符合北京协和医学院推荐免试研究生条件，可优先推荐</t>
  </si>
  <si>
    <t>附属南京中医院</t>
  </si>
  <si>
    <t>英文水平良好，达到全国大学生英语六级水平。</t>
  </si>
  <si>
    <t>视疫情防控要求决定是否举办线下活动。</t>
  </si>
  <si>
    <t>1.观看医院宣传片，了解医院概况；
2.实地走访（或视频转播）南部新城医疗中心：
3.金陵医派的历史沿革；
4.重点学科（专科）科室介绍；
5.导师面对面</t>
  </si>
  <si>
    <t>2022年7月12日-7月31日</t>
  </si>
  <si>
    <t>计划招生人数为20人。</t>
  </si>
  <si>
    <t>1）申请表（附件1）
2）本科成绩单（截至2022年6月）和专业排名，须由教务部门盖章；
3）其他证明材料（如已发表论文、英文考试证书、获奖证书等复印件等）</t>
  </si>
  <si>
    <t>附属第六医院</t>
  </si>
  <si>
    <t>学习成绩优秀，具有较强动手能力和较好科研潜质，总成绩排名原则上在所读学校同年级本专业前30％之内者（在其它方面有突出表现的学生除外），已经获得或即将获得所在高校推荐免试生资格者优先。</t>
  </si>
  <si>
    <t>具有良好听、说、读、写的英语应用能力。</t>
  </si>
  <si>
    <t>第一天
上午：开营典礼、学校及医院视频介绍、招生政策介绍等
下午：名师讲座、相关教研室师生专题交流
第二天
全天：各专业组织推免生面试
第三天
上午：各专业组织推免生面试
下午：夏令营闭营式</t>
  </si>
  <si>
    <t>2022年7月13日-7月25日</t>
  </si>
  <si>
    <t>拟招收70名医学相关专业（医学、生物学、药学）大学应届毕业生。审核通过者为正式营员（拟招收广东省外50人、广东省内20人）</t>
  </si>
  <si>
    <t>1、《中山大学附属第六医院2022年全国优秀大学生夏令营申请表》；
2、本科阶段成绩单及同年级总成绩排名（由教务部门或院系盖章）扫描件；
3、英语四六级证书扫描件。
4、个人简历
5、体现自身英语水平的证明以及其他证明材料（如体现自身学术水平的代表性学术论文（包括包括相关杂志封面、目录页及文章正文页）或其他原创性工作成果复印件、获奖证书复印件等）。</t>
  </si>
  <si>
    <t>附属第一医院（江苏省中医院）</t>
  </si>
  <si>
    <t>全国高校2023届本科毕业生，“双一流”建设高校本科生截至目前总成绩排名在本专业前30％、普通高校本科生截至目前总成绩排名在本专业前15%或预计可获得所在高校免试推荐资格的学生。</t>
  </si>
  <si>
    <t>具有良好的英语水平，优先考虑CET-6≥425分或雅思、托福考试成绩优良，或在相应的英语国家（地区）获得过学位或有连续6个月以上的学习经历的学生。</t>
  </si>
  <si>
    <t>1、参加南京中医药大学2023年研究生招生线上宣讲会。
2、在线直播活动（省中名医心得传授、优秀师兄师姐经验分享，科研及校园生活展示等）。
3、优秀营员自我展示（专业相关论文、科研成果、课题设计展示及分享，形式不限）。</t>
  </si>
  <si>
    <t>2022年8月中上旬</t>
  </si>
  <si>
    <t>总营员不超过100人</t>
  </si>
  <si>
    <t>1、个人简历
2、大学期间成绩单和专业排名
3、英语四、六级英语成绩证明或其他英语水平证明复印件
4、其他材料（如：发表论文、专利、获奖证书复印件等）</t>
  </si>
  <si>
    <t>1、表现优异的营员如获得所在学校研究生推荐免试资格，并报名参加我院2023年推荐免试综合考核被“预录取”后，可优先推荐导师。
2、为更好地支持研究生进行科学研究，我校将为推免录取的研究生提供7000元~10000元的科研启动金。具体说明以我校2023年接收推荐免试硕士研究生招生简章为准。
3.我校所有推免录取及各专业排名前10%（含）的研究生第一学年将获得一等学业奖学金。</t>
  </si>
  <si>
    <t>第二临床学院</t>
  </si>
  <si>
    <t>（一）综合考核内容
1. 专业素质测试：满分30分，采用远程网络测试。主要考察考生大学阶段学习情况及成绩，掌握本学科专业理论知识程度，对本学科发展动态的了解程度及在本专业领域发展的潜力等。
2. 外国语及综合素质测试：满分40分（其中外国语20分，综合素质20分），采用远程网络测试。主要考察考生思想政治素质和道德品质，心理健康情况，外语听说能力，本学科以外的学习、科研、社会实践或实际工作表现，诚信记录，事业心、责任感、纪律性、协作性，人文素养，医德医风，举止、表达和礼仪等方面的情况。
3. 科研素质/临床技能测试：满分为30分,采用远程网络测试。临床医学、口腔医学、护理、中医专业学位考生测试临床技能,主要考察考生临床操作能力等；其余考生测试科研素质,主要考察考生利用所学理论发现、分析和解决问题的能力，创新精神和创新能力等。
（二）综合考核方式
学院将组建考核专家小组负责对参营营员进行综合考核，并根据营员申请材料、面试综合考核情况，选拔出优秀营员，颁发优秀营员证书。</t>
  </si>
  <si>
    <t>2022年7月11日下午17:00至7月17日下午17:00</t>
  </si>
  <si>
    <t>拟招收50名营员，视报名情况和工作安排分批次开营。</t>
  </si>
  <si>
    <t>1. 《重庆医科大学第二临床学院2022年优秀大学生暑期夏令营申请表》（见附件1）；
2.身份证（双面）；
3.学生证（有个人信息的所有页面）；
4.《教育部学籍在线验证报告》（有效期限内）；
5.本科各阶段成绩单盖章原件及同年级总成绩排名表（均须盖所在学校教务处公章）；
6.外语水平证明材料扫描件：全国大学英语六级考试（CET-6）成绩≥425分，或与之相当的英语水平；
7.《重庆医科大学2022年夏令营考生诚信承诺书》（见附件2）；
8.其他相关证明材料（若有，请附上。如发表论文、公开/授权专利、各类获奖材料等）。</t>
  </si>
  <si>
    <t>1、参营营员如通过入营期间的复试综合考核且获得所在学校推免生资格，符合我校推免生招生章程所规定的条件，可拟录取为我校相关专业的硕士研究生或直博生（直博资格另行考核），优先选择导师；
2、通过我校夏令营考核的优秀营员如未获得所在学校的推免生资格，如果选择以公开招考方式第一志愿报考我校夏令营专业2023年度硕士研究生，考试成绩达到我校该专业复试基本分数线的，在同等条件下将给予优先录取。</t>
  </si>
  <si>
    <t>鼓励科研型人才即科研水平出色的申请者报名，如本科期间作为排名第一的作者在正式收录学术期刊上有论文发表、获得与本专业相关的省部级以上（含省部级）的科技竞赛一、二等奖（或等同于一、二等奖）、在学生“创先争优”活动中获得省部级以上（含省部级）先进个人称号、获得排名第一（若指导老师排名第一，其排名第二亦可）的发明专利授权等，其申请条件可依据所在学校推免生条件适当放宽，获得所在学校推免资格者可优先考虑。</t>
  </si>
  <si>
    <t>1、7月21日上午：院系招生直播宣讲（实验室、学院、师资介绍）
2、7月21日下午：名师讲坛
3、7月22日上午：考核面试</t>
  </si>
  <si>
    <t>2022年7月14日-至7月19日</t>
  </si>
  <si>
    <t>2022年7月21日-7月22日</t>
  </si>
  <si>
    <t>拟招收30名营员。</t>
  </si>
  <si>
    <t>1.《超声医学工程国家重点实验室、重庆医科大学生物医学工程学院
2022年优秀本科生夏令营申请表》（附件1）；
2. 身份证（双面）；
3. 学生证（有个人信息的所有页面）；
4. 《教育部学籍在线验证报告》； 
5. 本科各阶段成绩单盖章原件及同年级总成绩排名表（均须盖所在学校教务处公章）；
6. 外语水平证明：全国大学英语六级考试（CET-6）成绩≥425分，或与之相当的英语水平；
7. 个人获奖证书、代表作品等证明材料；
8. 《考生诚信考核承诺书》（附件2）；
9. 其他证明材料，包括：（1）已发表论文（如有）复印件；（2）相关资质材料（如本科期间发表科技论文、参加课外科技创新活动证明、发明或实用新型专利证书等）。</t>
  </si>
  <si>
    <t>1.参照学校标准执行：获得优秀营员者，如获得所在学校的研究生推荐免试资格，报考与夏令营相同的专业可不再参加复试，优先拟录取为我校推荐免试硕士研究生，优先选择硕士生导师。
2.通过我院夏令营考核的优秀营员如未获得所在学校的研究生推荐免试资格，但第一志愿报考与夏令营的相同专业，考试成绩达到我校该专业复试基本分数线的，在同等条件下将给予优先录取。如有其他特殊政策，按照国家和学校相关政策规定执行。</t>
  </si>
  <si>
    <t>儿童医院</t>
  </si>
  <si>
    <t>外语水平须达到 CET6≥440 或 TOEFL≥90 或 IELTS≥6.0</t>
  </si>
  <si>
    <t>2022年7月11日-7月20日</t>
  </si>
  <si>
    <t>2022年7月底</t>
  </si>
  <si>
    <t>1）《上海交通大学医学院研究生招生夏令营申请表》（报名系统生成），完成所在学校教务部门或院系签名和盖章、申请人签名后扫描发送；
2）身份证（正反面）、学生证复印件各1份；
3）《教育部学籍在线认证报告》1份，可登陆中国高等教育学生信息www.chsi.com.cn履行学籍验证程序；
4）本科期间成绩单1份；
5）其他证明材料复印件（如发表的学术论文、获奖或资格证书，国家英语四、六级等各类英语考试成绩单，所提交证明材料需与申请表中填写的内容保持同步，即避免出现“申请表中未填写的内容但提交了材料”或“申请表中填写的内容未提交材料”）；</t>
  </si>
  <si>
    <t>1、A等，申请者须符合医学院接收优秀本科毕业生推荐免试攻读博士学位研究生招生要求，且与夏令营参加的培养单位及专业一致，则可直接录取为当年度博士研究生；
2、B等，申请者须符合医学院接收优秀本科毕业生推荐免试攻读硕士学位研究生招生要求，且与夏令营参加的培养单位及专业一致，则可直接录取为硕士研究生；
3、C等，申请者须符合医学院接收优秀本科毕业生推荐免试攻读硕士学位研究生招生要求，且与夏令营参加的培养单位及专业一致，可直接获得推荐免试硕士研究生的复试资格，通过复试后优先录取；
4、D等，申请者以全国统考方式报考医学院硕士研究生，达到我院报考学科专业门类基本复试分数线后，可优先参加复试；
5、E等，不适合申请学科的研究工作，建议申请其他学科；</t>
  </si>
  <si>
    <t>大学本科成绩优秀</t>
  </si>
  <si>
    <t>CET-6≥425分。</t>
  </si>
  <si>
    <t>一、面试主要对学员专业水平、科研能力、英语水平、个人素质等进行综合考评。
二、面试分个人陈述和专家提问两部分。个人陈述要求中文幻灯、英文汇报，主要内容为个人基本情况、参与科研和社会实践活动情况等，一般不超过5分钟；专家提问一般不超过3分钟。
三、专家对所有参加面试的学员按百分制打分（根据学员综合情况进行总评分）。</t>
  </si>
  <si>
    <t>2022年7月19日-7月31日</t>
  </si>
  <si>
    <t xml:space="preserve"> 一、《2022年空军军医大学第一附属医院暑期夏令营活动申请表》（Word版）、《2022年暑期夏令营活动个人情况一览表》（Excel版）。
 二、学校教务处或就读学院（系）加盖公章的本科阶段成绩单、专业排名证明（PDF版）。
 三、外语水平证明，如国家英语六级考试成绩单、TOEFL成绩、GRE成绩等（PDF版）。
 四、学术科研成果（发表的论文、科研课题、专利等）（PDF版）。
 五、文体特长等级证书或各类获奖证书等证明材料（PDF版）。</t>
  </si>
  <si>
    <t>根据指标分配情况，通过医院预选拔,经研究生院审核并获得推免资格的优秀本科毕业生可直接确定为拟录取对象。根据《空军军医大学研究生奖助学金管理办法》，作为地方推荐免试对象被录取可免除学费；按照学位类型不同，入学后可享受入学奖励、助研津贴、助学金、临床实践补助等。（具体执行以入学后空军军医大学、西京医院最新政策为准）</t>
  </si>
  <si>
    <t>口腔医院</t>
  </si>
  <si>
    <t>大学本科成绩优秀，课程考试成绩合格或以上，总成绩达到该院校推免要求；</t>
  </si>
  <si>
    <t>CET-4≥425分；</t>
  </si>
  <si>
    <t>线上方式。</t>
  </si>
  <si>
    <t>具体安排另行通知</t>
  </si>
  <si>
    <t>2022年7月20日-8月5日</t>
  </si>
  <si>
    <t>2022年8月中下旬</t>
  </si>
  <si>
    <t>（1）《2022年暑期夏令营活动申请表》（纸质版签字并扫描）；
（2）个人简历1份；
（3）本科成绩单(截至目前)，全专业成绩排名证明（加盖学校或院系教务部门公章）；
（4）英语等级考试成绩单（大学英语四/六级考试成绩、TOEFL成绩等）；
（5）身份证（正反）、学生证扫描件；
（6）学术科研成果（论文、专利等）和竞赛获奖证书；
（7）文体特长等级证书或获奖证书等证明材料。</t>
  </si>
  <si>
    <t>山东第一医科大学</t>
  </si>
  <si>
    <t>附属肿瘤医院</t>
  </si>
  <si>
    <t>学习成绩排名前列，能够获得所在学校推荐免试资格；或有志参加我院研究生招生考试的学生。</t>
  </si>
  <si>
    <t>英语水平优秀。满足以下之一：CET6≥425分或CET4≥500分；或托福85分及以上；或雅思6.0以上。</t>
  </si>
  <si>
    <t>本年度夏令营活动，初步定为线下方式。根据疫情形势，调整活动方式，比如线上线下相结合、或者线上模式。</t>
  </si>
  <si>
    <t>2022年7月15日—7月27日</t>
  </si>
  <si>
    <t>夏令营活动招生规模为30-50人，最终人数将视报名情况适当调整，择优录取。</t>
  </si>
  <si>
    <t>（1）学生证、身份证扫描件；
（2）个人电子照片：近期拍摄、150*200像素、大小100K以内，正面免冠彩色照片；
（3）夏令营申请表（需签字盖章，上传扫描件）；
（4）本科成绩单（需加盖教务处公章）；
（5）英语成绩证明：英语六级成绩单、TOEFL成绩、GRE成绩等证明材料扫描件；
（6）科研成果相关证明材料：申请人可提交体现自身学术水平的代表性学术论文、出版物或原创性工作成果及获奖证书。无科研成果者可不提交本项材料。</t>
  </si>
  <si>
    <t>1.获得推荐免试资格的营员，在我院开展推免研究生招生时可优先考虑；
2.统考报考的营员，在硕士研究生招生考试中报考我院的考生，同等条件下优先录取。
3.录取后，上学期间享受科研津贴、奖助学金、研究生生活补助等待遇。</t>
  </si>
  <si>
    <t>儿科医学院</t>
  </si>
  <si>
    <t>申请者英语水平应达到以下条件之一：
①TOEFL≥90分(IBT);
②新GRE≥305分;
③WSK(PETS 5)考试合格;
④大学英语六级CET6 ≥425分;
⑤IELTS≥6.0。</t>
  </si>
  <si>
    <t>具体活动另行通知</t>
  </si>
  <si>
    <t>2022年7月20日-7月22日</t>
  </si>
  <si>
    <t>① 教育部学籍在线验证报告：登陆“学信网”在“在线认证”一栏申请办理教育部学籍在线验证报告(电子版)，下载并打印;电子版：将生成的验证报告电子文件，命名为：“1. 学籍信息”;
② 照片：本人近期一寸白底彩色身份证版式照片。电子版：照片请使用JPG格式电子文件，像素为390*260，大小在200k以内，命名为：“2.照片”;
③本科阶段成绩单及本专业排名证明(学校教务部门或院系盖章)。电子版：各生成PDF格式的电子文件，命名为：“3.1成绩单，3.2专业排名”;
④英语水平证明：生成PDF格式的电子文件，命名为：“4.英语水平”;
⑤其他证明材料：包括各类获奖证书复印件;体现自身学术水平的代表性学术论文、出版物或原创性工作成果等)。电子版：生成一个PDF格式的电子文件，命名为：“5.其他证明材料”。
⑥自荐信：格式不限，可包括简历、为何报考相关学院及专业、未来学习研究计划等。电子版：生成PDF的电子文件，命名为“6.自荐信”。</t>
  </si>
  <si>
    <t>医学部（临床肿瘤）</t>
  </si>
  <si>
    <t>2023届优秀本科毕业生</t>
  </si>
  <si>
    <t>云宣讲+云参观+云导师互动交流+云在校研究生互动交流（腾讯会议）</t>
  </si>
  <si>
    <t>（1）学科点介绍：学科点概况，专业介绍，招生政策，导师介绍，课程介绍等。
（2）学术讲座：检验医学中心罗迪贤主任专题学术讲座。
（3）研究生生活体验：检验医学中心科研博士和专业硕士分享研究生的生活。
（4）导师面对面：学员自愿选择导师进行交流。</t>
  </si>
  <si>
    <t>2022年7月21日-8月10日</t>
  </si>
  <si>
    <t>2022年8月15-8月17日</t>
  </si>
  <si>
    <t>空军特色医学中心</t>
  </si>
  <si>
    <t>CET4≥425分或CET6≥425分</t>
  </si>
  <si>
    <t>线上（腾讯会议）</t>
  </si>
  <si>
    <t>1. 中心概况介绍：介绍中心发展历史、学科特色以及在人才培养、教学和科研等方面取得的成绩；
2. 特色学科宣讲会：由各学科带头人向学生介绍系所导师团队、研究方向、科研基础设施和研究生就业方向等，使学生对各学科及研究方向有更加深入地了解；
3. 组织考核：由学科团队对营员进行面试考核。</t>
  </si>
  <si>
    <t>2022年7月19日-8月10日</t>
  </si>
  <si>
    <t xml:space="preserve">1. 申请人下载并填写《空军特色医学中心优秀大学生暑期夏令营活动申请表.doc》
2. 本科阶段成绩单（截至目前），专业排名证明，需加盖教务部门公章；
3. 大学英语四、六级成绩单复印件或其它英语水平证明TOEFL/GRE 等；
4. 其他证明材料（如体现自身学术水平的代表性学术论文或其他原创性工作成果复印件、专利、获奖证书复印件等），没有可以免交；
5. 下载并填写《个人信息汇总表.xls》，填写完成后将文件名称修改为“姓名+个人所在学校+个人信息汇总表”；
6. 个人陈述PPT（关于个人学术背景、曾经做过的研究工作以及未来学习和研究的计划、目标等）。
</t>
  </si>
  <si>
    <t xml:space="preserve">凡在考核中表现优秀，且获得所在高校推免资格的同学，正式招收推免生期间，第一志愿申报我中心，同等条件下可优先录取。
</t>
  </si>
  <si>
    <t>解放军医学院</t>
  </si>
  <si>
    <t>预计可获得推荐免试资格，所在高校为军队院校，或双一流建设高校和一流学科建设高校，或省部委共建医科大学，或本科所就读专业在教育部最新一轮学科评估中结果为B类及以上的优先入营</t>
  </si>
  <si>
    <t>英语水平良好，CET-6≥425或IELTS≥6或TOEFL≥80或GRE≥305（传统GRE≥1200）或WSK（PETS 5）考试合格。</t>
  </si>
  <si>
    <t>1.举办夏令营开营典礼，介绍医学院概况和政策宣讲；
2.参加学术讲座，与知名专家、优秀研究生导师座谈交流；
3.参观院史馆、国家重点学科、国家重点实验室等；
4.在校研究生学术沙龙，邀请优秀硕士、博士分享工作学习经验；
5.推免生面试考核，选拔2023年无军籍推免生。</t>
  </si>
  <si>
    <t>2022年7月25日-8月3日</t>
  </si>
  <si>
    <t>2022年8月9日-8月11日</t>
  </si>
  <si>
    <t>营员50名</t>
  </si>
  <si>
    <t>1.《解放军医学院2022年优秀大学生夏令营申请表》；
2.本科学习成绩单（加盖学校教务部门公章）；
3.全国大学英语等级考试六级成绩单或通过相应的英语水平能力考试证明（如：IELTS、TOEFL等）；
4.各类获奖证书和公开发表的学术论文复印件；
5.个人陈述（PPT），主要内容包括政治表现、外语水平、专业和科研能力、研究计划和预期成果等，按照5分钟时长准备。</t>
  </si>
  <si>
    <t>我院将为入选营员统一提供免费食宿，按照不超过高铁二等座标准提供往返交通补助，营员需保存并在返校后将相关票据以邮政特快专递（EMS）形式邮寄至解放军总医院研究生院招生培养处。</t>
  </si>
  <si>
    <t xml:space="preserve">1.取得所在学校推免资格的营员，将优先录取为我院2023级硕士研究生。表现特别优秀的学术学位推免生可确定为直接攻博对象，直接攻博人数不超过年度博士研究生招生计划的10%。
2.推免至我院攻读硕士研究生的营员，享受5000元的新生奖学金。
</t>
  </si>
  <si>
    <t>白求恩第三临床医学院</t>
  </si>
  <si>
    <t>学习成绩优秀，专业成绩和综合成绩均名列本专业前茅</t>
  </si>
  <si>
    <t>具有良好听、说、读、写的英语应用能力，四级考试成绩在425分以上，通过六级者优先</t>
  </si>
  <si>
    <t>主要活动包括学院及学科介绍、手术直播、专家讲坛、面对面交流探讨和优秀营员考核等</t>
  </si>
  <si>
    <t>2022年7月25日-8月1日</t>
  </si>
  <si>
    <t>（1）《吉林大学2022年夏令营报名表》，由报名系统中填报生成；
（2）由教务处或所在院系开具的成绩单与总评成绩排名证明；
（3）个人简历一份，无特殊格式要求；
（4）外语水平证明（英语四、六级证书等）及其它获奖证明材料。</t>
  </si>
  <si>
    <t>具备所在本科院校2023年“推荐免试资格”的优秀营员，第一志愿报考吉林大学白求恩第三临床医学院相应专业（须与夏令营申报专业一致）在符合我校接收推荐免试硕士研究生相关要求和学院相关政策的基础上可直接接收为吉林大学第三临床医学院“推免生”</t>
  </si>
  <si>
    <t>第一临床医学院(南方医院)</t>
  </si>
  <si>
    <t>成绩优秀；本科阶段总成绩排名在该校同年级本专业前20％之内；报名学生能获得所在院校推免资格者优先</t>
  </si>
  <si>
    <t>1.六级≧425分；2.雅思≧6.0分；3.托福≧90分。有全国英语比赛奖项者优先。</t>
  </si>
  <si>
    <t>公示营员：8月3日，届时在群内通知
开营活动：8月4-5日，开营仪式、学科云参观及面试、优秀营员选拔（预录取）；
证书及南医专属纪念品发放：8月6日后邮寄。</t>
  </si>
  <si>
    <t>2022年7月23日-7月28日</t>
  </si>
  <si>
    <t>2022年8月4日－8月5日</t>
  </si>
  <si>
    <t>线上130人</t>
  </si>
  <si>
    <t>1.南方医科大学第一临床医学院临床医学、口腔医学2022年全国优秀大学生暑期夏令营申请表电子版
2.个人简历电子版PDF
3.本科阶段成绩单及同年级总成绩排名表扫描版（由教务部门或院系盖章）
4.英语水平证明扫描版（四六级或雅思托福证书等）
5.2000字个人陈述（含个人学习、实习经历、科研和读研规划及选择南方医科大学的理由）
6.本学院专任教师（有副高及以上职称）推荐信</t>
  </si>
  <si>
    <t>为营员提供夏令营参营用品（入营纪念品、夏令营预录取证书等）</t>
  </si>
  <si>
    <t>获得夏令营预录取通知书并之后取得所在学校“推免”资格的优秀营员，可直接接收为我校2022年临床医学“推免生”</t>
  </si>
  <si>
    <t>第二人民医院运动医学科</t>
  </si>
  <si>
    <t>（1）学科点介绍：学科点概况，专业介绍，招生政策，导师介绍，课程介绍等；
（2）运动医学大咖讲堂：运动损伤诊治和康复专家讲座
（3）临床与专业技能操作学习：运动损伤诊治技能模拟，运动康复研习体验，体验“体医融合”
（4）选拔优秀学员优先获得2023年推免入学硕士生资格</t>
  </si>
  <si>
    <t>2022年7月22日-7月31日</t>
  </si>
  <si>
    <t>2022年8月1日-8月14日</t>
  </si>
  <si>
    <t>（1）个人简介；
（2）有效期内的身份证和学生证（每学期加盖有注册章）；
（3）前两年半成绩单（有学校教务部门或所在院系公章，如有不实，取消资格）与总评成绩排名证明（有学校教务部门或所在院系公章）；
（4）获奖证书；
（5）大学英语四、六级考试成绩、或TOEFL成绩、或GRE/GMAT成绩等体现自身英语水平的证明；
（6）申请人还可提交体现自身学术水平的代表性学术论文、出版物或原创性工作成果。</t>
  </si>
  <si>
    <t>选拔优秀学员优先获得2023年推免入学硕士生资格</t>
  </si>
  <si>
    <t>医学部（推免导师团招生）</t>
  </si>
  <si>
    <t>本科毕业学校（不含天津大学）应为一流大学建设高校或所学专业所属的学科在最新一轮全国高校学科评估列参评高校数前15%（含）以内的其他重点高校。</t>
  </si>
  <si>
    <t>2022年7月19日-8月20日</t>
  </si>
  <si>
    <t>1. 身份证正反面扫描件；
2. 证明学习成绩及排名的成绩单或证明件；
3. 英语四、六级成绩单；学生证；简历；各类奖励材料等。</t>
  </si>
  <si>
    <t>1.医学部重症医学工程团队；2.纳米医学与光学成像
团队；3.认知与计算神经科学团队；4.医学部智能材料与生物制造团队；5.医学部脑类器官智能复合体团队</t>
  </si>
  <si>
    <t>中国医科大学</t>
  </si>
  <si>
    <t>附属第四医院</t>
  </si>
  <si>
    <t>学习成绩优秀，本科阶段总成绩排名在同年级本专业前50％之内，在校期间必修课程无不及格及重修</t>
  </si>
  <si>
    <t>通过国家大学英语六级考试（425分及以上）或雅思英语成绩总分达到6.0或托福成绩≥90分</t>
  </si>
  <si>
    <t>腾讯会议（主机位）+钉钉（双机位）</t>
  </si>
  <si>
    <t>夏令营期间将安排营员聆听线上学科介绍、线上与导师交流等主题活动，同时安排营员的考核选拔工作。</t>
  </si>
  <si>
    <t>2022年7月26日-8月1日</t>
  </si>
  <si>
    <t>2022年8月1日-8月10日</t>
  </si>
  <si>
    <t>4人入营；其中，2人获优营</t>
  </si>
  <si>
    <t>（一）中国医科大学2022年优秀大学生暑期夏令营申请表1份；(扫描件)
（二）个人陈述1份；（扫描件）
（三）本科阶段成绩单（由教务部门或院系盖章）1 份；（扫描件）（扫描件）
（四）成绩排名或综合测评排名证明材料（由教务部门或学生管理部门盖章）1份；（扫描件）
（五）英语六级成绩单及其他英语水平证明材料（复印件扫描件）；
（六）各项获奖证书复印件或其他获奖材料（如体现自身学术水平的代表性学术论文或其他原创性工作成果复印件、获奖证书复印件等）（扫描件）</t>
  </si>
  <si>
    <t>1.获得所在学校推荐免试研究生（以下简称推免生）资格并报考我校的优秀营员(报考志愿与夏令营志愿一致),免复试直接拟录取（接收专业目录参考附件3，最终录取将以中国医科大学公布的2023年研究生招生专业目录及计划为准）；
2.第一志愿报考我校硕士研究生的优秀营员（报考志愿与夏令营志愿一致），考试成绩达到复试基本分数线（含总分、单科分数）标准，同等条件下优先进复试；通过复试后，在同等条件下优先录取。（注：同等条件下是指总分及单科分数均相同）
3.入学后享受的相关奖助政策
在学期间可参评学业奖学金、日本第一三共奖学金、国家奖助学金等。</t>
  </si>
  <si>
    <t>第二临床医学院(珠江医院)</t>
  </si>
  <si>
    <t>本科阶段总成绩排名在该校同年级本专业前30％之内（特别优秀者可酌情放宽），或平均成绩80分以上（GPA3.0以上）</t>
  </si>
  <si>
    <t>具有良好的外语水平。满足下列条件之一者可优先：1.英语四级≥480分；2.六级≥425分；3.雅思≥6.0分；4.托福≥90分；5.全国性英语比赛三等奖以上获得者。</t>
  </si>
  <si>
    <t>线上＋线下</t>
  </si>
  <si>
    <t>（一）7月25日-7月30日：提交报名申请及材料。
（二）7月31日-8月1日：遴选并公示营员，营员限300人。
（三）8月3日：下午报到（线下+线上）并进行分组，晚上小组活动。
（四）8月4日：上午开营仪式、珠江讲坛；下午组织学科面试。
（五）8月4-5日：优秀营员面试与选拔。
（六）8月5日：闭营、优秀营员证书发放等。</t>
  </si>
  <si>
    <t>2022年7月27日-30日</t>
  </si>
  <si>
    <t>2022年8月4日-5日</t>
  </si>
  <si>
    <t>（1）南方医科大学第二临床医学院2022年全国优秀大学生暑期夏令营申请表（必需项）；
（2）学生证（必需项）；
（3）个人简历（必需项）；
（4）本科阶段成绩单及同年级总成绩排名表（由教务部门或院系盖章，必需项）；
（5）英语水平证明（四六级或雅思托福证书等，必需项）；
（6）本科阶段重要获奖证明（有则提供，非必需项）；
（7）论文发表、科研成果、学术产出等证明（有则提供，非必需项）；
（8）其他个人业绩材料补充。</t>
  </si>
  <si>
    <t>（一）为营员提供夏令营参营用品（营员证、精美纪念品、夏令营证书等）。
（二）通过夏令营并最终推免录取我院，符合条件的学生将享受相应新生优助待遇。
（三）本校在市内学习学生参加线下活动，我院提供饮食保障。</t>
  </si>
  <si>
    <t>获得夏令营相关类别（直博、学术型硕士、专业型硕士）的预录取通知书，且之后取得所在学校“推免”资格的优秀营员，直接接收为我校2022年临床医学“推免生（含直博生）”</t>
  </si>
  <si>
    <t>全国各高校临床医学、儿科学、医学影像学(五年)、麻醉学(五年)专业2023届本科毕业生</t>
  </si>
  <si>
    <t>唐都医院</t>
  </si>
  <si>
    <t>大学本科成绩优秀；普通高校2023年全日制应届本科毕业生（所在高校应具有推免资格）</t>
  </si>
  <si>
    <t>CET-6≥425分</t>
  </si>
  <si>
    <t>1.学科宣讲会：由各学科负责人向学生介绍导师团队、研究方向、科研基础设施和研究生毕业去向等，使学生对各科室及研究方向有更进一步的了解；
2.组织相关面试，选拔优秀营员。考核内容：通过材料审核及综合面试方式开展考核工作，其中综合面试考核主要包括综合素质考核、专业能力考核、英语能力考核三部分。个人陈述要求英文汇报，主要内容为个人基本情况、参与科研和社会实践活动情况等，一般不超过5分钟；专家提问一般不超过3分钟。</t>
  </si>
  <si>
    <t>2022年7月26-8月14日</t>
  </si>
  <si>
    <t>40个优秀营员</t>
  </si>
  <si>
    <t>①《空军军医大学第二附属医院推荐免试硕士研究生申请表》（Word版）
②《地方推免生预选拔个人情况汇总表》（Excel版）
③所在高校2名研究生导师的推荐信（PDF版）
④本科成绩单（加盖学校教务部门公章）（PDF版）
⑤本科院校推免证明
⑥全国大学英语等级考试成绩单
⑦学术科研成果（发表的论文、出版的专著等）和获奖证书（PDF版）
⑧文体特长等级证书或获奖证书等证明材料（PDF版）</t>
  </si>
  <si>
    <t>通过审核并获得推免资格的优秀地方本科生可直接确定为拟录取对象；优秀考生可以申请推荐为直博生；所有推免生均享受免除学费待遇，入学奖励金每人最高4.4万元，并优先推荐参评奖学金；根据所录取学位类型每月享受助学金、导师助研津贴，专业学位研究生还可享临床实践补助等奖励政策；凡录取为医院推免生，毕业后可优先留院聘用</t>
  </si>
  <si>
    <t>1、介绍中国医科大学口腔医学院简况
2、由各教研室介绍本教研室概况
3、由各教研室组织面试
4、确定优秀营员名单</t>
  </si>
  <si>
    <t>2022年7月25日-8月5日</t>
  </si>
  <si>
    <t>2022年8月8日-8月15日</t>
  </si>
  <si>
    <t>考核小组根据营员表现集体决策，确定优秀营员人选。优秀营员比例不予限定，但优秀营员数额需小于该科室该专业2022年录取招生人数的50%。考核结束即确定优秀营员名单。</t>
  </si>
  <si>
    <t>1.中国医科大学2022年优秀大学生暑期夏令营申请表1份；
2.个人陈述1份；
3.本科阶段成绩单（由教务部门或院系盖章）1 份；
4.成绩排名或综合测评排名证明材料（由教务部门或学生管理部门盖章）1份；
5.英语六级成绩单及其他英语水平证明材料（复印件）；
6.各项获奖证书复印件或其他获奖材料（如体现自身学术水平的代表性学术论文或其他原创性工作成果复印件、获奖证书复印件等）。</t>
  </si>
  <si>
    <t>1.获得所在学校推荐免试研究生（以下简称推免生）资格并报考我校的优秀营员(报考志愿与夏令营志愿一致),免复试直接拟录取（接收专业目录参考中国医科大学公布的2022年研究生招生专业目录，最终录取将以中国医科大学公布的2023年研究生招生专业目录及计划为准）；
2.第一志愿报考我校硕士研究生的优秀营员（报考志愿与夏令营志愿一致），考试成绩达到复试基本分数线（含总分、单科分数）标准，同等条件下优先进复试；通过复试后，在同等条件下优先录取。（注：同等条件下是指总分及单科分数均相同）
3.入学后享受的相关奖助政策
推免生和第一志愿报考我校并第一志愿录取的夏令营优秀营员可获得新生奖学金。口腔医学院按照10,000元/人标准，提供奖学金（北京大学、四川大学、上海交通大学、空军军医大学、武汉大学等五所院校无名额限制；其它本省口腔医学专业排名第一的院校各择优1-2名，总人数不超过10人），在入学报到后发放，因个人原因放弃学业者收回相应奖学金。
在学期间可参评学业奖学金、日本第一三共奖学金、国家奖助学金等。</t>
  </si>
  <si>
    <t>瑞金医院</t>
  </si>
  <si>
    <t>拟获得推荐免试资格</t>
  </si>
  <si>
    <t>CET6≥440或 TOEFL≥90或 IELTS≥6.0。</t>
  </si>
  <si>
    <t>7月25日-7月31日</t>
  </si>
  <si>
    <t>同济医学院口腔医学</t>
  </si>
  <si>
    <t>本科成绩优异</t>
  </si>
  <si>
    <t>线上与线下相结合方式进行，外校生参加线上活动，本校生参加线下活动。</t>
  </si>
  <si>
    <t>招生政策解读、学科交流、学术能力考核等内容</t>
  </si>
  <si>
    <t>2022年8月1-20日</t>
  </si>
  <si>
    <t>2022年9月14-15日</t>
  </si>
  <si>
    <t>1.《华中科技大学同济医学院口腔医学院2022年学术夏令营申请表》。
2.成绩单（由院系教务部门盖章），成绩排名证明。
3.全国大学英语四、六级成绩单，或其他体现英语水平的证明。
4.获奖证书及参与科研项目证明复印件等。
5.体现自身学术水平的学术论文、出版物或原创性成果，请注明本人排名。</t>
  </si>
  <si>
    <t>拟录取</t>
  </si>
  <si>
    <t>同济医学院附属协和医院</t>
  </si>
  <si>
    <t>获得推免资格并有意报考我校的学生</t>
  </si>
  <si>
    <t>校内申请考生采取集中线下复试方式。校外考生采用网络远程复试方式</t>
  </si>
  <si>
    <t>1. 复试项目
（1）研究生通过 PPT 展示自己攻读学位研修计划，复试专家从创新性和可
行性等方面进行考核评价。
（2）外语听说能力测试采用面试方式，包括以下几个环节：个人自述，包
括学业背景、自我评价、爱好等；考官与学生对话，关于学生的个人自述以及报
考的专业等。
（3）综合素质测试在面试中进行，包括以下几个环节：个人陈述，介绍学
业背景、基础知识等；考官就学生陈述情况、理论知识考核等方面进行综合提问。
2. 复试成绩计算
复试成绩满分为 100 分，其中攻读学位研修计划满分为 40 分，英语听说能
力测试满分为 20 分，综合素质能力测试满分为 40 分</t>
  </si>
  <si>
    <t>2022年9月16日-9月23日</t>
  </si>
  <si>
    <t>2022 年 9 月 26 日-9月27日</t>
  </si>
  <si>
    <t>硕士生146 人左右，招收直博生不超过博士计划的
20%</t>
  </si>
  <si>
    <t>1．个人有效身份证件照片、学生证照片。
  2．个人简历或自述材料，详见附件1（可下载）参考模板 推免生申请个人自述模板.doc;
  3．本科阶段截至上一学期的原始成绩单（须加盖学校或学院教务部门公章）。
  4．推免综合成绩排名情况证明或院系公示材料。
  5．其他英语水平、学术能力、所获奖励等证明材料。
  6．接收推免生招生思想政治品德表现考核表，详见附件2（可下载华中科技大学推免生招生思想政治品德表现考核表.doc）。非本校考生请在报名时按我校模板提供思政考核意见。本校推免生可上传校内推荐时的审核表格；
  7．如申请直博生，还须在复试前提交《攻读博士学位研究计划》、与申请学科相关的两位副教授及以上（或相当职称）专家推荐信（须专家签名），详见附件3（可下载 华中科技大学研究生攻读博士学位期间拟开展的研究计划.doc）。
  8．正式报名阶段还需提供二级甲等以上医院或各高校校医院的体检证明，体检项目包括内科、外科、胸透、五官科、肝功能两项（ATL谷丙转氨酶、AST谷草转氨酶）。</t>
  </si>
  <si>
    <t>各院系在夏令营环节已进行过考核并取得成绩的考生，须通过预报名系统报名，并参加院系的材料审核。如有必要，可进行再次复试</t>
  </si>
  <si>
    <t>新华医院</t>
  </si>
  <si>
    <t>外语水平达到CET6≥440或 TOEFL≥90或 IELTS≥6.0。</t>
  </si>
  <si>
    <t>2022年8月18日-8月22日</t>
  </si>
  <si>
    <t>2022年8月29日-8月31日</t>
  </si>
  <si>
    <t>1、《上海交通大学医学院研究生招生夏令营申请表》；2、本人第二代身份证；3、本科所在学校学生证；4、教育部学籍在线认证报告；5、本科成绩总表；6、外语成绩或水平证明；7、本科阶段各类获奖证书；8、本科阶段发表论文；9、个人陈述；10、拟攻读博士学位的科学研究计划书；11、2封专家推荐信</t>
  </si>
  <si>
    <t>解放军总医院</t>
  </si>
  <si>
    <t>优秀</t>
  </si>
  <si>
    <t>2022年8月22日前</t>
  </si>
  <si>
    <t>报名线下夏令营未入营的同学</t>
  </si>
  <si>
    <t>《解放军医学院2023年推免生报考意向表》</t>
  </si>
  <si>
    <t>通过面试且取得所在学校推免资格的，将优先录取为我院2023级硕士研究生</t>
  </si>
  <si>
    <t>2022年无</t>
  </si>
  <si>
    <t>云南大学</t>
  </si>
  <si>
    <t>生命科学中心</t>
  </si>
  <si>
    <t>山东中医药大学</t>
  </si>
  <si>
    <t>中医文献与文化研究院</t>
  </si>
  <si>
    <t>深圳先进技术研究院——生物医学与健康工程研究所</t>
  </si>
  <si>
    <t>同济医学院基础医学院</t>
  </si>
  <si>
    <t>医学院（临床医学类）</t>
  </si>
  <si>
    <t>宁波大学</t>
  </si>
  <si>
    <t>药物研究所</t>
  </si>
  <si>
    <t>卫健委移植工程与移植免疫重点实验室/ 教育部疾病分子网络前沿科学中心</t>
  </si>
  <si>
    <t>深圳国际研究生院医院管理研究院</t>
  </si>
  <si>
    <t>附属第三医院</t>
  </si>
  <si>
    <t>附属中心医院</t>
  </si>
  <si>
    <t>健康学院</t>
  </si>
  <si>
    <t>深圳国际研究生院Open FIESTA中心</t>
  </si>
  <si>
    <t>南昌大学</t>
  </si>
  <si>
    <t>护理与康复学院</t>
  </si>
  <si>
    <t>系统生物医学研究院</t>
  </si>
  <si>
    <t>中医药学院</t>
  </si>
  <si>
    <t>沈阳药科大学</t>
  </si>
  <si>
    <t>北京安定医院（精神病与精神卫生学专业）</t>
  </si>
  <si>
    <t>北京安定医院（应用心理学专业）</t>
  </si>
  <si>
    <t>附属北京友谊医院</t>
  </si>
  <si>
    <t>附属北京胸科医院</t>
  </si>
  <si>
    <t>生物医学工程院</t>
  </si>
  <si>
    <t>华南理工大学</t>
  </si>
  <si>
    <t>生物医学科学与工程学院</t>
  </si>
  <si>
    <t>广州中医药大学</t>
  </si>
  <si>
    <t>郑州大学</t>
  </si>
  <si>
    <t>护理与健康学院</t>
  </si>
  <si>
    <t>医药生物技术研究所</t>
  </si>
  <si>
    <t>附属同仁医院</t>
  </si>
  <si>
    <t>检验与生物技术学院</t>
  </si>
  <si>
    <t>药理所和安评中心</t>
  </si>
  <si>
    <t>针灸推拿学院</t>
  </si>
  <si>
    <t>中医学院</t>
  </si>
  <si>
    <t>附属上海儿童医学中心</t>
  </si>
  <si>
    <t>CET6≥440或TOFEL≥90或IELTS≥6.0</t>
  </si>
  <si>
    <t>上海地区线下；其他地区线上</t>
  </si>
  <si>
    <t>2022年8月18-21日前</t>
  </si>
  <si>
    <t>2022年8月25-29日</t>
  </si>
  <si>
    <t>1.上交医学院研究生招生夏令营申请表；2.身份证扫描件；3.学生证扫描件；4.教育部学籍在线认证报告；5.本科成绩单；6.外语成绩或水平证明；7.本科各类获奖证书；8.本科阶段发表论文</t>
  </si>
  <si>
    <t>上海地区的学员采取线下形式，提供午餐</t>
  </si>
  <si>
    <t>A等，申请者须符合上海交通大学医学院接收优秀本科毕业生推荐免试攻读博士学位研究生招生要求，且与夏令营参加的培养单位及专业一致，则可直接录取为当年度博士研究生；
B等，申请者须符合上海交通大学医学院接收优秀本科毕业生推荐免试攻读硕士学位研究生招生要求，且与夏令营参加的培养单位及专业一致，则可直接录取为硕士研究生；
C等，申请者须符合上海交通大学医学院接收优秀本科毕业生推荐免试攻读硕士学位研究生招生要求，且与夏令营参加的培养单位及专业一致，可直接获得推荐免试硕士研究生的复试资格，通过复试后优先录取；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</si>
  <si>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未来技术学院</t>
  </si>
  <si>
    <t>生命科学院</t>
  </si>
  <si>
    <t>“优才计划”直博项目</t>
  </si>
  <si>
    <t>微生物研究所</t>
  </si>
  <si>
    <t>哈尔滨工业大学</t>
  </si>
  <si>
    <t>医学与健康学院</t>
  </si>
  <si>
    <t>青岛大学</t>
  </si>
  <si>
    <t>临床医学院</t>
  </si>
  <si>
    <t>齐鲁医学院</t>
  </si>
  <si>
    <t>附属协和医院</t>
  </si>
  <si>
    <t>温州医科大学</t>
  </si>
  <si>
    <t>白求恩口腔医学院</t>
  </si>
  <si>
    <t>面试采取个人陈述、专家提问、集中评议、评委投票的方式进行。每名考生复试时间不超过8分钟，其中个人陈述不超过5分钟（英文），专家提问3分钟。个人陈述内容包括个人基本情况、学术或专业兴趣及背景、业务和科研能力、研究计划。复试主要考察考生的外语水平、专业能力（专业知识、科研创新能力及学术成果）、综合素质（思想政治素质和道德品质、礼仪和举止、人文素养、沟通能力、培养潜质）三个方面（cyx）。</t>
    <phoneticPr fontId="5" type="noConversion"/>
  </si>
  <si>
    <t>前沿交叉学科研究院</t>
  </si>
  <si>
    <t>2018年</t>
  </si>
  <si>
    <t>夏令营主要活动包括参观访问、专题报告、学术交流及与研究院所属各中心师生联谊活动等</t>
  </si>
  <si>
    <t>网上注册报名从2018年4月23日起开始，网上申报截止时间为6月6日00：00，邮寄材料开始接收日期为5月2日，截止时间为6月8日下午5点前（以申请材料到达日期准）</t>
  </si>
  <si>
    <t>7月11日-13日在北京大学举行，报到时间为7月10日下午：13:30-16:30</t>
  </si>
  <si>
    <t>1、北京大学前沿交叉学科研究院2018年夏令营申请表1份（见附件一）；2、个人陈述（关于个人学术背景、曾经做过的研究工作以及未来学习和研究的计划、目标等）1份（见附件二）；3、专家推荐信3封，即需要3位副教授（含）以上职称的专家分别推荐，且密封并在封口骑缝处签字（见附件三）；4、应届本科生需提供本科阶段成绩单（由教务部门盖章）1份，前两年半总评成绩排名证明（见附件四，由教务部门盖章）1份；5、往届本科生，应届/往届硕士生需提供历年在校学习成绩单（本科和硕士阶段，由教务部门盖章）1份；6、体现自身英语水平的证明（如国家英语四、六级考试成绩、或TOEFL成绩、雅思成绩与GRE成绩等复印件）；7、学位，学历证书的复印件（往届生提交），境外获得的学位证书须提供教育部留学服务中心的认证书；8、其他证明材料（如体现自身学术水平的代表性学术论文或其他原创性工作成果复印件、获奖证书复印件等）
注：请申请人保留申请材料原件或副本，申请材料提交后一律不予返还。备注：申请表中的“申请专业”请查看夏令营报名系统中发布的通知公告。</t>
  </si>
  <si>
    <t>对于全程参加本次夏令营活动的学生，各研究中心将提供夏令营期间在京的食宿（北京本地学校学生不提供住宿），并按普通硬座火车票价格补贴往返旅费。</t>
  </si>
  <si>
    <t>2019年</t>
  </si>
  <si>
    <t>5月9日起开始，网络报名截止时间：6月12日17：00；纸质材料接收的截止时间为6月14日下午5点前（以申请材料到达日期为准）</t>
  </si>
  <si>
    <t>7月4日-6日</t>
  </si>
  <si>
    <t>1.北京大学前沿交叉学科研究院 2019 年夏令营申请表 1 份（北大模板中填写）；2.个人陈述（关于个人学术背景、曾经做过的研究工作以及未来学习和研究的计 划、目标等）1 份（北大模板中填写）；3.专家推荐信 3 封，需要 3 位副教授（含）以上职称的专家分别推荐，且密封并在封口骑缝处签字（北大模板中填写）；4.应届本科生需提供本科阶段成绩单（由教务部门盖章）1 份，前两年半总评成 绩排名证明（由教务部门盖章）1 份（北大模板中填写）；5.往届本科生，应届/往届硕士生需提供历年在校学习成绩单（本科和硕士阶段， 由教务部门盖章）1 份；6.体现自身英语水平的证明，如国家英语四、六级考试、或 TOEFL、雅思与 GRE 考试等成绩的复印件（注：对于区域与国别研究院的申请者，除提供英语水平相 关证明外，如有中东、中亚和俄罗斯等国外语相关水平证明复印件者可一并提供）；7.学位，学历证书的复印件（往届生提交），境外获得的学位证书须提供教育部 留学服务中心的认证书；8.其他证明材料（如体现自身学术水平的代表性学术论文或其他原创性工作成果 复印件、获奖证书复印件等）。</t>
  </si>
  <si>
    <t>2020年</t>
  </si>
  <si>
    <t>4月22日开始，网上申报截止时间为6月15日00：00，电子材料上传的截止时间为6月15日00：00，推荐专家在6月15日00：00前将推荐信以推荐老师本人的邮箱发送到各中心的指定接收邮箱</t>
  </si>
  <si>
    <t>1、北京大学前沿交叉学科研究院2020年夏令营申请表1份（北大模板中填写，见附件一）
2、个人陈述（关于个人学术背景、曾经做过的研究工作以及未来学习和研究的计划、目标等）1份（北大模板中填写，见附件二）
3、专家推荐信不少于2封，需要副教授（含）以上职称的专家分别推荐（北大模板中填写，见附件三）
4、应届本科生需提供本科阶段成绩单（由教务部门盖章）1份，前两年半总评成绩排名证明（由教务部门盖章）1份（北大模板中填写，见附件四）
5、往届本科生，应届/往届硕士生需提供历年在校学习成绩单（本科和硕士阶段，由教务部门盖章）1份
6、体现自身英语水平的证明，如国家英语四、六级考试、或TOEFL、雅思与GRE考试等成绩的复印件。
7、学位，学历证书的复印件（往届生提交），境外获得的学位证书须提供教育部留学服务中心的认证书。
8、其他证明材料（如体现自身学术水平的代表性学术论文或其他原创性工作成果的首页复印件、获奖证书复印件等）
9、材料真实性声明（模板中填写签字，见附件五）
备注：申请表中的“申请专业”请查看夏令营报名系统中发布的通知公告。</t>
  </si>
  <si>
    <t>2021年</t>
  </si>
  <si>
    <t>网上申报截止时间为6月11日17：00  纸质材料接收的截止时间为6月13日下午5点前(以申请材料到达日期为准)</t>
  </si>
  <si>
    <t>2021年7月5日-7日</t>
  </si>
  <si>
    <t>1、北京大学前沿交叉学科研究院2021年夏令营申请表1份。
2、个人陈述(关于个人学术背景、曾经做过的研究工作以及未来学习和研究的计划、目标等)1份。
3、专家推荐信3封，需要3位副教授(含)以上职称的专家分别推荐，且密封并在封口骑缝处签字。
4、应届本科生需提供本科阶段成绩单(由教务部门盖章)1份，前两年半总评成绩排名证明(由教务部门盖章)1份。
5、往届本科生，应届/往届硕士生需提供历年在校学习成绩单(本科和硕士阶段，由教务部门盖章)1份。
6、体现自身英语水平的证明，如国家英语四、六级考试、或TOEFL、雅思与GRE考试等成绩的复印件。
7、学位，学历证书的复印件(往届生提交)，境外获得的学位证书须提供教育部留学服务中心出具的《国(境)外学历学位认证书》。
8、其他证明材料(如体现自身学术水平的代表性学术论文或其他原创性工作成果的首页复印件、获奖证书复印件等)。
请申请人保留申请材料原件或副本，申请材料提交后一律不予返还。</t>
  </si>
  <si>
    <t>1、前沿探索：邀请著名科学家、知名教授和优秀新引进青年人才开设学科前沿讲座。
2. 人生启迪：邀请成功人士分享个人成长、成才的心路历程。
3. 科研能力训练及评奖：围绕设定课题展开研究，并需答辩汇报，最终会评选出一、二、三等奖。
4. 参观学习：参观公共技术平台， PI实验室，人体博物馆和院史馆等</t>
  </si>
  <si>
    <t>4月19日---5月30日</t>
  </si>
  <si>
    <t>7月14日-7月20日</t>
  </si>
  <si>
    <t>登陆浙江大学基础医学院暑期学校(夏令菅)报名系统报名(具体材料需进入报名系统：http://bms.zju.edu.cn/redir.php?catalog_id=89665&amp;cmd=xx_list）</t>
  </si>
  <si>
    <t>基础医学院承担学员参加暑期学校的所有费用</t>
  </si>
  <si>
    <t>满足“免试推荐”研究生标准，或有志参加全国研究生招生考试报考我院的学生均可报名</t>
  </si>
  <si>
    <t>5月1日-6月15日24:00</t>
  </si>
  <si>
    <t>6月29日至7月1日</t>
  </si>
  <si>
    <t xml:space="preserve">电子材料：
①夏令营申请表(附件下载) 1份（WORD文件，教务部门部分和学校院系部分不需填写和签字盖章）；
②个人陈述(附件下载)1份（WORD文件）；
③教务部门盖章的本科阶段成绩单扫描件1份（PDF文件）；
④教务部门盖章的总评成绩排名证明（附件下载）扫描件1份（PDF文件）；
⑤个人申请信息汇总表(附件下载)1份（EXCEL文件）。
纸质版材料：
①夏令营申请表1份（教务部门部分和学校院系部分需填写和签字盖章）；
②个人陈述1份；
③教务部门盖章的本科阶段成绩单1份；
④教务部门盖章的总评成绩排名证明1份；
⑤体现自身英语水平的证明的复印件1份（包括但不限于国家英语四六级成绩、TOEFL成绩、雅思成绩）；
⑥申请人还可提交体现自身学术水平的代表性学术论文、出版物或原创性工作成果复印件1份；
⑦各类获奖证书复印件1份；
⑧专家推荐信（附件下载）2封，即需要2位副教授以上职称专家分别推荐，且密封并在封口骑缝处签字。
</t>
  </si>
  <si>
    <t>获得学生优先录取资格</t>
  </si>
  <si>
    <t>钉钉群线上</t>
  </si>
  <si>
    <t>包括专家学术报告、实验技能培训及操作、文献阅读报告、实验室参观、与专家交流互动、围绕具体科学问题进行实验和结题汇报（具体安排见官网）</t>
  </si>
  <si>
    <t>4月13日- 5月31日</t>
  </si>
  <si>
    <t>7月11日-7月12日</t>
  </si>
  <si>
    <t>a. 参加网络招生宣讲：4月；
b. 登陆浙江大学基础医学院暑期学校(夏令菅)报名系统报名(具体材料需进入报名系统：http://bms.zju.edu.cn/redir.php?catalog_id=89665&amp;cmd=xx_list）</t>
  </si>
  <si>
    <t>线下+线上</t>
  </si>
  <si>
    <t>帮助学生了解当前学科前沿热点和发展动态感受浙江大学医学研究领域的优势和特色，选拔优秀本科生来我院攻读博士学位</t>
  </si>
  <si>
    <t>4月8日-6月1日</t>
  </si>
  <si>
    <t>7月15日-7月17日</t>
  </si>
  <si>
    <t>报销单程旅费及食宿费用</t>
  </si>
  <si>
    <t>我所部分导师同时兼任生命科学联合中心（CLS）的导师，申请者可同时报名CLS夏令营（报名通知网址：http://www.aais.pku.edu.cn/tongzhi/shownews.php?lang=cn&amp;id=595）。</t>
  </si>
  <si>
    <t>分子医学研究所</t>
  </si>
  <si>
    <t>4月1日—5月30日24:00</t>
  </si>
  <si>
    <t>6月28日至6月30日</t>
  </si>
  <si>
    <t>60--80人</t>
  </si>
  <si>
    <t>电子材料：
①夏令营申请表(报名系统导出)1份（WORD或PDF文件，教务部门部分和学校院系部分不需填写和签字盖章）；
②个人陈述(报名系统导出)1份（WORD或PDF文件）；
③教务部门盖章的本科阶段成绩单扫描件1份（PDF文件）；
④教务部门盖章的总评成绩排名证明（附件下载）扫描件1份（PDF文件）
纸质版材料：
①夏令营申请表1份（教务部门部分和学校院系部分需填写和签字盖章）；
②个人陈述1份；
③教务部门盖章的本科阶段成绩单1份；
④教务部门盖章的总评成绩排名证明1份；
⑤体现自身英语水平的证明的复印件1份（包括但不限于国家英语四六级成绩、TOEFL成绩、雅思成绩）；
⑥申请人还可提交体现自身学术水平的代表性学术论文、出版物或原创性工作成果复印件1份；
⑦各类获奖证书复印件1份；
⑧专家推荐信（附件下载）2封，即需要2位副教授以上职称专家分别推荐，且密封并在封口骑缝处签字。</t>
  </si>
  <si>
    <t>提供营员夏令营期间在京的食宿。报销本科学校往返北京的火车硬座或高铁二等座的车票</t>
  </si>
  <si>
    <t>注1：申请者可通过电子邮件联系导师提前进入导师研究室参加实习。
注2：我所部分导师同时兼任生命科学联合中心（CLS）的导师，申请者可同时报名CLS夏令营（报名通知网址http://www.aais.pku.edu.cn/。）</t>
  </si>
  <si>
    <t>英语水平优秀须满足如下条件之一：
a. 国家英语六级考试成绩425分及以上(2016年9月1日后参加考试)。
b. 国家英语四级考试成绩500分及以上(2016年9月1日后参加考试)。
c. TOEFL（IBT）成绩90分及以上(2019年9月1日后参加考试)。
d. WSK(PETS 5)考试合格及以上(2016年9月1日后参加考试) 。
e. 雅思（A类）成绩6.0及以上 (2019年9月1日后参加考试) 。
f. GRE 成绩310分及以上(2016年9月1日后参加考试)。</t>
  </si>
  <si>
    <t>4月24日-6月15日24:00前</t>
  </si>
  <si>
    <t>电子版材料：
a. 夏令营申请表(报名系统导出)1份（WORD或PDF文件，教务部门部分和学校院系部分不需填写和签字盖章）；
b. 个人陈述(报名系统导出)1份（WORD或PDF文件）；
c. 教务部门盖章的本科阶段成绩单扫描件1份（PDF文件）；
d. 教务部门盖章的总评成绩排名证明（附件下载）扫描件1份（PDF文件）；
e. 符合要求的英语水平证书扫描件1份（PDF文件）。
纸质版材料：
a. 夏令营申请表1份（教务部门部分和学校院系部分需填写和签字盖章）；
b. 个人陈述1份；
c. 教务部门盖章的本科阶段成绩单1份；
d. 教务部门盖章的总评成绩排名证明1份；
e. 符合要求的英语水平证书的复印件1份；
f. 申请人还可提交体现自身学术水平的代表性学术论文、出版物或原创性工作成果复印件1份；
g. 各类获奖证书复印件1份；
h. 专家推荐信2封，即需要2位副教授以上职称专家分别推荐，且密封并在封口骑缝处签字。</t>
  </si>
  <si>
    <t>我所部分导师同时兼任生命科学联合中心（CLS）的导师，申请者可同时报名CLS夏令营（报名通知网址http://www.aais.pku.edu.cn/。）</t>
  </si>
  <si>
    <t xml:space="preserve"> 2021年</t>
  </si>
  <si>
    <t>2021年5月24日8:00至2021年6月18日24:00</t>
  </si>
  <si>
    <t>2021年6月29日-30日</t>
  </si>
  <si>
    <t>申请者需将以下纸版材料扫描成电子文件（推荐信除外）合并为一个PDF文件：                                                                    ①夏令营申请表(报名系统导出)1份（教务部门部分和学校院系部分需填写和签字盖章）；
②个人陈述(报名系统导出) 1份；
③教务部门盖章的成绩单扫描电子件1份；
④应届本科毕业生盖章的总评成绩排名证明（附件下载）1份；
⑤符合要求并有效的英语水平证书复印件1份；
⑥应届本科毕业生提交所在学校在学证明。
⑦专家推荐信（附件下载）2封，即需要2位副教授以上职称专家分别推荐，且密封并在封口骑缝处签字。                                              提交纸版报名材料（具体提交安排另行通知）</t>
  </si>
  <si>
    <t>生命科学联合中心CLS（清华大学方面的招生将与清华大学2020年生命科学与基础医学夏令营一同进行，不必重复报考。网上报名和材料寄送请参考：
http://www.cls.edu.cn/Academicactivities/notices/index4922.shtml
北京大学方面的夏令营将与北京大学2020年前沿交叉学科研究院夏令营一起举行，不必重复报名。网上报名和材料寄送请参考：
http://www.aais.pku.edu.cn/tongzhi/shownews.php?lang=cn&amp;id=976）</t>
  </si>
  <si>
    <t>2018年（清华大学）</t>
  </si>
  <si>
    <t>1.     985所属重点高校生命科学及其相关专业三年级学生(2019年毕业生), 学习成绩优秀，本科期间总评成绩排名在年级前20%，能取得推荐免试资格。
2.     211所属重点高校生命科学及其相关专业三年级学生(2019年毕业生),学习成绩优秀，本科期间总评成绩排名在年级前5%，能取得推荐免试资格。
3.     生物学及生物学相关专业，学术研究兴趣浓厚，有较强的创新意识、创新能力的具有学士或硕士学位的往届生，以及硕士应届生（2019年夏季毕业生），年龄一般不超过45岁。</t>
  </si>
  <si>
    <t>安排参观访问、专题报告、学术交流与面试等活动</t>
  </si>
  <si>
    <t>6月8日-6月20日00：01</t>
  </si>
  <si>
    <t>7月9日-7月13日</t>
  </si>
  <si>
    <t>1) 2018年报名登记表（考生网上信息采集系统生成并打印）。
2) 个人陈述（中英文均可）。
3) 历年在校学习成绩单，并加盖学校教务处或院系公章，密封后在该信封的封口处加盖公章（本科和硕士阶段）。成绩单从档案部门复印加盖档案部门红章视同原件。
4) 在校本科生需提供官方出具的前三年成绩排名（加盖学校教务处或院系公章）。
5) 英语4级和/或6级通过证书或成绩单复印件。
6) 如果有在核心刊物或会议上发表的学术论文、出版物或取得具有学术水平的工作成果，请提交复印件或证明信。
7) 如果在学期间从事课外科技活动中有获奖或突出表现，请提交由学校教务部门出具并加盖公章的证明材料。
8) 学位、学历证书的复印件（往届生提交）。
9) 提供两封（北京大学方面要求三封专家推荐信）由申请攻读学位学科有关的副教授（或相当职称）以上专家的“专家推荐信”，推荐信不限格式但须由推荐专家密封并在封口处签字。
生命中心（北大方面）的相关申请材料模板请自行至北京大学前沿交叉学科研究院主页进行下载，网址为：http://www.aais.pku.edu.cn/tongzhi/shownews.php?lang=cn&amp;id=595
生命中心（清华方面）请于在线申请网站中下载“清华大学2018年生命科学与基础医学夏令营”专家推荐信（下载空表请专家填写并签字）。
10）其它申请人认为需要提交的材料。</t>
  </si>
  <si>
    <t>夏令营主办方将为营员提供夏令营期间食宿（北京高校学生不提供住宿），以及异地学校学生单程硬座火车票费用(需有车票)</t>
  </si>
  <si>
    <t>a. 申请人报名时需要填报志愿选择单位：清华、北大选择其一。申请人的报名单位即为录取后的拟定导单位。
b. 材料审核和复试由CLS项目招生委员会委托项目内两家单位的招生组具体执行。招生组根据申请人的志愿分单位独立审核报名材料并进行差额复试。</t>
  </si>
  <si>
    <t>2018年（北京大学）</t>
  </si>
  <si>
    <t>6月8日-6月6日00：00</t>
  </si>
  <si>
    <t>提供夏令营期间在京的食宿（北京本地学校学生不提供住宿），并按普通硬座火车票价格补贴往返旅费</t>
  </si>
  <si>
    <t>2019年（清华大学）</t>
  </si>
  <si>
    <t>就读985所属重点高校且能在其就读学校取得推荐免试研究生资格，本科前三学年总评成绩一般在年级前20％，211所属重点高校且能在其就读学校取得推荐免试研究生资格，本科前三学年总评成绩一般在年级前5％的2020年预计毕业本科生；优秀的具有生物学及生物学相关专业，学术研究兴趣浓厚，有较强的创新意识、创新能力的具有学士或硕士学位的往届生，以及硕士应届生（2020年夏季毕业生）</t>
  </si>
  <si>
    <t>7月8日上午营员报到，下午夏令营开始;
7月12日返程离校。
²    生命学院，医学院基础医学方向、药学院生命科学相关方向和生命科学联合中心全面情况介绍。
²    各学科方向导师与营员见面、交流。
²    参观实验室。
²    招生委员会复试。</t>
  </si>
  <si>
    <t>5月6日-6月21日</t>
  </si>
  <si>
    <t>7月8日-7月12日</t>
  </si>
  <si>
    <t>1.      “清华大学2019年生命科学与基础医学夏令营”申请表（在线申请网站生成）。
2.      本人自述（中英文均可）。
3.      成绩单原件（官方出具，本科和硕士阶段）。往届生成绩单从档案部门复印加盖档案部门红章视同原件。
4.      专业和综合成绩排名原件（官方出具，2020年应届本科生提交）。
5.      英语4级、6级通过证书或成绩单复印件，或其他外语成绩证明。
6.      学位、学历证书的复印件（往届生提交）。
7.      两份由申请攻读学位学科有关的副教授（或相当职称）以上专家的“专家推荐信”（下载空表请专家填写并签字），推荐信须由推荐专家密封并在封口处签字。
8.      其他获奖证明材料（体现自身学术水平的代表性学术论文的复印件、获奖证书复印件等）。</t>
  </si>
  <si>
    <t>为营员提供夏令营期间食宿（北京高校学生不提供住宿），以及异地学校学生单程硬座火车票费用(需有车票)</t>
  </si>
  <si>
    <t>为了更加公平有效地选拔人才，我们实行初审材料落选者申诉制度。凡是递交了申请材料而没有获得入营资格的同学，可在营员名单公布之日起2日内向夏令营组织委员会提出书面申诉。申诉信以邮件附件的方式（一个PDF文件格式）发送到：swxyjsk@tsinghua.edu.cn邮箱，内容请说明为什么觉得自己应该被录取，并用除申请材料以外的补充材料来证明你的理由。邮件主题格式：“姓名+夏令营申诉信”。夏令营组织委员会将会根据申诉材料做出判断。如申诉理由充分，申诉人将会获得入营资格。建议同学们对自己的申请材料做一个客观的判断，在确定有充分的材料证明自己的科研潜质和能力的情况下才向委员会提出申诉，以避免浪费同学们的时间</t>
  </si>
  <si>
    <t>2019年（北京大学）</t>
  </si>
  <si>
    <t>包括参观访问、专题报告、学术交流及与研究院所属各中心师生联谊活动</t>
  </si>
  <si>
    <t>5月9日-6月12日</t>
  </si>
  <si>
    <t xml:space="preserve">1、北京大学前沿交叉学科研究院2019年夏令营申请表1份（北大模板中填写，见附件一）
2、个人陈述（关于个人学术背景、曾经做过的研究工作以及未来学习和研究的计划、目标等）1份（北大模板中填写，见附件二）
3、专家推荐信3封，需要3位副教授（含）以上职称的专家分别推荐，且密封并在封口骑缝处签字（北大模板中填写，见附件三）
4、应届本科生需提供本科阶段成绩单（由教务部门盖章）1份，前两年半总评成绩排名证明（由教务部门盖章）1份（北大模板中填写，见附件四）
5、往届本科生，应届/往届硕士生需提供历年在校学习成绩单（本科和硕士阶段，由教务部门盖章）1份
6、体现自身英语水平的证明，如国家英语四、六级考试、或TOEFL、雅思与GRE考试等成绩的复印件（注：对于区域与国别研究院的申请者，除提供英语水平相关证明外，如有中东、中亚和俄罗斯等国外语相关水平证明复印件者可一并提供）。
7、学位，学历证书的复印件（往届生提交），境外获得的学位证书须提供教育部留学服务中心的认证书。
8、其他证明材料（如体现自身学术水平的代表性学术论文或其他原创性工作成果复印件、获奖证书复印件等） </t>
  </si>
  <si>
    <t>2020年（清华大学）</t>
  </si>
  <si>
    <t>1. 985所属重点高校生命科学及其相关专业三年级学生(2021年毕业生), 学习成绩优秀，本科期间总评成绩排名在年级前20%，能取得推荐免试资格。
2. 211所属重点高校生命科学及其相关专业三年级学生(2021年毕业生),学习成绩优秀，本科期间总评成绩排名在年级前5%，能取得推荐免试资格。
3. 生物学及基础医学相关专业，学术研究兴趣浓厚，有较强的创新意识、创新能力的具有学士或硕士学位的往届生，以及硕士应届生（2021年夏季毕业生），年龄一般不超过45岁。</t>
  </si>
  <si>
    <t>直播课、专家讲座视频学习， Journal club，与人大附中、十一学校的骨干教师在线交流</t>
  </si>
  <si>
    <t>4月30日-6月20日</t>
  </si>
  <si>
    <t>6月29日-7月8日</t>
  </si>
  <si>
    <t>1. “清华大学2020年生命科学与基础医学云夏令营”申请表（在线申请网站生成）。
2. 本人自述（中英文均可）。
3. 成绩单原件（官方出具，本科和硕士阶段）。往届生成绩单从档案部门复印加盖档案部门红章视同原件。
4. 专业和综合成绩排名原件（官方出具，2021年应届本科生提交）。
5. 英语4级、6级通过证书或成绩单复印件，或其他外语成绩证明。
6. 学位、学历证书的复印件（往届生提交）。
7. 两份由申请攻读学位学科有关的副教授（或相当职称）以上专家的“专家推荐信”（下载空表请专家填写并签字），推荐信须由推荐专家密封并在封口处签字。
8. 其他获奖证明材料（体现自身学术水平的代表性学术论文的复印件、获奖证书复印件等）。</t>
  </si>
  <si>
    <t>报销本科生半程、老师全程差旅</t>
  </si>
  <si>
    <t>1. 清华大学相关专业为生物学或者基础医学，不定导师，入学第一年一边学习研究生课程，一边进行轮转。轮转在生命学院、医学院基础医学系、生命科学联合中心和药学院生命科学相关方向的所有实验室中选择进行（TIMBR项目轮转在生物医学交叉研究院内部进行）。轮转结束根据导师和学生双向自愿选择定导，学生选择生物学或基础医学专业方向，并按不同学科方向的要求完成博士生培养。
2. 云夏令营“申请表”中需选择意向单位和专业（生物学或基础医学），欢迎学生了解所有导师的研究方向。最终专业由招生五方统筹决定。</t>
  </si>
  <si>
    <t>2020年（北京大学）</t>
  </si>
  <si>
    <t>4月22日-6月15日00：00</t>
  </si>
  <si>
    <t>1、北京大学前沿交叉学科研究院2020年夏令营申请表1份（北大模板中填写，见附件一）
2、个人陈述（关于个人学术背景、曾经做过的研究工作以及未来学习和研究的计划、目标等）1份（北大模板中填写，见附件二）
3、专家推荐信不少于2封，需要副教授（含）以上职称的专家分别推荐（北大模板中填写，见附件三）
4、应届本科生需提供本科阶段成绩单（由教务部门盖章）1份，前两年半总评成绩排名证明（由教务部门盖章）1份（北大模板中填写，见附件四）
5、往届本科生，应届/往届硕士生需提供历年在校学习成绩单（本科和硕士阶段，由教务部门盖章）1份
6、体现自身英语水平的证明，如国家英语四、六级考试、或TOEFL、雅思与GRE考试等成绩的复印件。
 7、学位，学历证书的复印件（往届生提交），境外获得的学位证书须提供教育部留学服务中心的认证书。
8、其他证明材料（如体现自身学术水平的代表性学术论文或其他原创性工作成果的首页复印件、获奖证书复印件等） 
9.材料真实性声明（模板中填写签字，见附件五）</t>
  </si>
  <si>
    <t>2021年（北京大学）</t>
  </si>
  <si>
    <t>2021年（清华大学）</t>
  </si>
  <si>
    <t>学习成绩优秀，能取得推荐免试资格</t>
  </si>
  <si>
    <t>申报截止时间为6月19日</t>
  </si>
  <si>
    <t>1. “清华大学2021年生命科学与基础医学夏令营”申请表（在线申请网站生成）。
2. 本人自述（中英文均可）。
3. 成绩单原件（官方出具，本科和硕士阶段）。往届生成绩单可从档案部门复印加盖档案部门红章视同原件。
4. 前两年半或前三年总评成绩排名原件（官方出具，2022年应届本科生提交），四年总评成绩排名证明原件（官方出具，往届本科生提交）。
5. 英语4级、6级成绩或其他外语成绩证明复印件。
6. 在读证明（应届生提交）。
7. 学位、学历证书的复印件（往届生提交）。
8. 两份由申请攻读学位学科有关的副教授（或相当职称）及以上专家的“专家推荐信”（下载空表请专家填写并签字），推荐信须由推荐专家密封并在封口处签字。
9. 其他获奖证明材料（体现自身学术水平的代表性学术论文的复印件、获奖证书复印件等）。</t>
  </si>
  <si>
    <t>1.985所属重点高校生命科学及其相关专业三年级学生(2019年毕业生), 学习成绩优秀，本科期间总评成绩排名在年级前20%，能取得推荐免试资格。
2.211所属重点高校生命科学及其相关专业三年级学生(2019年毕业生),学习成绩优秀，本科期间总评成绩排名在年级前5%，能取得推荐免试资格。
3.生物学及生物学相关专业，学术研究兴趣浓厚，有较强的创新意识、创新能力的具有学士或硕士学位的往届生，以及硕士应届生（2019年夏季毕业生），年龄一般不超过45岁。</t>
  </si>
  <si>
    <t>1.7月9日上午营员报到，下午夏令营开始;
2.7月13日返程离校。
3.生命学院，医学院基础医学方向、药学院生命科学相关方向和生命科学联合中心全面情况介绍。
4.各学科方向导师与营员见面、交流。
5.参观实验室。
6.招生委员会面试。
注：营员报到后要求全程参加夏令营活动。</t>
  </si>
  <si>
    <t>4月11日-6月20日</t>
  </si>
  <si>
    <t>1.“清华大学2018年生命科学与基础医学夏令营”申请表（在线申请网站生成）。
2.本人自述（中英文均可）。
3.成绩单原件（官方出具，本科和硕士阶段）。成绩单从档案部门复印加盖档案部门红章视同原件。
4.专业和综合成绩排名原件（官方出具，2019年应届本科生提交）。
5.英语4级和/或6级通过证书或成绩单复印件。
6.学位、学历证书的复印件（往届生提交）。
7.两份由申请攻读学位学科有关的副教授（或相当职称）以上专家的“专家推荐信”（下载空表请专家填写并签字），推荐信须由推荐专家密封并在封口处签字。
8.其他获奖证明材料（体现自身学术水平的代表性学术论文的复印件、获奖证书复印件等）。</t>
  </si>
  <si>
    <t>夏令营主办方将为营员提供夏令营期间食宿（北京高校学生不提供住宿），以及异地学校学生单程硬座火车票费用(需有车票)。</t>
  </si>
  <si>
    <t>1. 清华大学相关专业为生物学或者基础医学，不定导师，入学第一年一边学习研究生课程，一边进行轮转。
轮转在生命学院、医学院基础医学系、生命科学联合中心和药学院生命科学相关方向的所有实验室中选择进行（TIMBR项目轮转在生物医学交叉研究院内部进行）。
轮转结束根据导师和学生双向自愿选择定导，学生选择生物学或基础医学专业方向，并按不同学科方向的要求完成博士生培养。
0. 云夏令营“申请表”中需选择意向单位和专业（生物学或基础医学），欢迎学生了解所有导师的研究方向。最终专业由招生五方统筹决定。
凡是提交了申请材料而没有获得面试资格的同学，可向云夏令营组织委员会提出申诉。</t>
  </si>
  <si>
    <t>1. 985所属重点高校生命科学及其相关专业三年级学生(2020年毕业生), 学习成绩优秀，本科期间总评成绩排名在年级前20%，能取得推荐免试资格。
2. 211所属重点高校生命科学及其相关专业三年级学生(2020年毕业生),学习成绩优秀，本科期间总评成绩排名在年级前5%，能取得推荐免试资格。
3. 生物学及生物学相关专业，学术研究兴趣浓厚，有较强的创新意识、创新能力的具有学士或硕士学位的往届生，以及硕士应届生（2020年夏季毕业生），年龄一般不超过45岁。</t>
  </si>
  <si>
    <t>1. 7月8日上午营员报到，下午夏令营开始;
7月12日返程离校。
2. 生命学院，医学院基础医学方向、药学院生命科学相关方向和生命科学联合中心全面情况介绍。
3. 各学科方向导师与营员见面、交流。
4. 参观实验室。
5. 招生委员会复试。</t>
  </si>
  <si>
    <t xml:space="preserve">1. “清华大学2019年生命科学与基础医学夏令营”申请表（在线申请网站生成）。
2. 本人自述（中英文均可）。
3. 成绩单原件（官方出具，本科和硕士阶段）。往届生成绩单从档案部门复印加盖档案部门红章视同原件。
4. 专业和综合成绩排名原件（官方出具，2020年应届本科生提交）。
5. 英语4级、6级通过证书或成绩单复印件，或其他外语成绩证明。
6. 学位、学历证书的复印件（往届生提交）。
7. 两份由申请攻读学位学科有关的副教授（或相当职称）以上专家的“专家推荐信”（下载空表请专家填写并签字），推荐信须由推荐专家密封并在封口处签字。
“清华大学2019年生命科学与基础医学夏令营”专家推荐信.docx
8. 其他获奖证明材料（体现自身学术水平的代表性学术论文的复印件、获奖证书复印件等）。
</t>
  </si>
  <si>
    <t>1. 清华大学相关专业为生物学或者基础医学，不定导师，入学第一年一边学习研究生课程，一边进行轮转。
轮转在生命学院、医学院基础医学系、生命科学联合中心和药学院生命科学相关方向的所有实验室中选择进行（TIMBR项目轮转在生物医学交叉研究院内部进行）。
轮转结束根据导师和学生双向自愿选择定导，学生选择生物学或基础医学专业方向，并按不同学科方向的要求完成博士生培养。
1. 云夏令营“申请表”中需选择意向单位和专业（生物学或基础医学），欢迎学生了解所有导师的研究方向。最终专业由招生五方统筹决定。
凡是提交了申请材料而没有获得面试资格的同学，可向云夏令营组织委员会提出申诉。</t>
  </si>
  <si>
    <t>1. 985所属重点高校生命科学及其相关专业三年级学生(2021年毕业生), 学习成绩优秀，本科期间总评成绩排名在年级前20%，能取得推荐免试资格。
2. 211所属重点高校生命科学及其相关专业三年级学生(2021年毕业生),学习成绩优秀，本科期间总评成绩排名在年级前5%，能取得推荐免试资格。
3. 生物学及基础医学相关专业，学术研究兴趣浓厚，有较强的创新意识、创新能力的具有学士或硕士学位的往届生，以及硕士应届生（2021年夏季毕业生），年龄一般不超过45岁。</t>
  </si>
  <si>
    <t>6月28日全天网络远程资格审查，6月29日-7月3日开展系列线上云专场讲座和报告，让营员全面深入了解清华大学生命科学与基础医学的全貌和各学科现状，6月30日-7月2日云导师见面会。具体安排由组委会另行通知。
7月3日-7月6日优秀营员选拔，选拔由远程笔试和面试组成。具体安排由组委会另行通知。
1)   远程笔试：时间7月3日。
2)   远程面试：
7月4日-7月6日面试，面试小组由5-7位专家组成，重点考查在本学科攻读博士学位营员的英语水平、基本素养、学术能力、学术志趣、综合素质等。
3)   优秀营员选拔成绩评定：营员选拔成绩为百分制，笔试成绩作为面试成绩的参考，不计入最终成绩。第一次面试结束后，有争议的同学7月6日上午进行二次面试。最终，根据营员选拔成绩完成遴选。</t>
  </si>
  <si>
    <t>4月30日-6月20日00：00</t>
  </si>
  <si>
    <t>6月28日-7月6日</t>
  </si>
  <si>
    <t>1. “清华大学2020年生命科学与基础医学云夏令营”申请表（在线申请网站生成）。
2. 本人自述（中英文均可）。
3. 成绩单原件（官方出具，本科和硕士阶段）。往届生成绩单从档案部门复印加盖档案部门红章视同原件。
4. 专业和综合成绩排名原件（官方出具，2021年应届本科生提交）。
5. 英语4级、6级通过证书或成绩单复印件，或其他外语成绩证明。
6. 学位、学历证书的复印件（往届生提交）。
7. 两份由申请攻读学位学科有关的副教授（或相当职称）以上专家的“专家推荐信”（下载空表请专家填写并签字），推荐信须由推荐专家密封并在封口处签字。
8. 其他获奖证明材料（体现自身学术水平的代表性学术论文的复印件、获奖证书复印件等）。</t>
  </si>
  <si>
    <t>线上+线下</t>
  </si>
  <si>
    <t>1. 7月5日下午13：30-16：30营员报到和资格审查，地点：北京金辉国际商务会议大酒店大堂。线上营员进行资格审查和软件测试，使用软件：腾讯会议，备选软件：瞩目。
2. 7月5日晚上19:00-20:00，笔试（闭卷，携带身份证、营员证提前20分钟开始入场，考试开始15分钟后不得入场）。笔试考场具体安排报到时查询，线上营员参照邮件通知要求18:00进入候场。
3. 7月6日全天9：00-16：30营员与在校研究生及导师自由座谈、交流，地点：北京金辉国际商务会议大酒店3层报告厅。
4. 7月7日上午9:00-11:30，生命学院、医学院基础医学系、药学院（生命科学相关方向）和生命科学联合中心全面情况介绍宣讲会。
5. 7月7日上午11:30 合影，地点：北京金辉国际商务会议大酒店。
6. 7月7日上午确定分组并张贴分组名单，地点：北京金辉国际商务会议大酒店会务间门口。
7. 统一面试阶段：7月7日下午-7月9日上午，具体面试分组、面试时间和地点安排见北京金辉国际商务会议大酒店会务间门口；7月7日下午-7月8日全天第一轮面试；7月9日上午有异议学生二次面试。
8. 7月9日12:00前住宿营员退房。
9. 7月9日下午13：30-16：00发放初步录取意向书和结业证书（线上营员发电子版）。凭退房条办理离营手续，报销单程交通费。办理地点：北京金辉国际商务会议大酒店大堂。</t>
  </si>
  <si>
    <t>4月16日-6月19日</t>
  </si>
  <si>
    <t>2021年7月5日-7月9日</t>
  </si>
  <si>
    <t>1. “清华大学2021年生命科学与基础医学夏令营”申请表（在线申请网站生成）。
2. 本人自述（中英文均可）。
3. 成绩单原件（官方出具，本科和硕士阶段）。往届生成绩单可从档案部门复印加盖档案部门红章视同原件。
4. 前两年半或前三年总评成绩排名原件（官方出具，2022年应届本科生提交），四年总评成绩排名证明原件（官方出具，往届本科生提交）。
5. 英语4级、6级成绩或其他外语成绩证明复印件。
6. 在读证明（应届生提交）。
7. 学位、学历证书的复印件（往届生提交）。
8. 两份由申请攻读学位学科有关的副教授（或相当职称）及以上专家的“专家推荐信”（下载空表请专家填写并签字），推荐信须由推荐专家密封并在封口处签字。
9. 其他获奖证明材料（体现自身学术水平的代表性学术论文的复印件、获奖证书复印件等）</t>
  </si>
  <si>
    <t>此次夏令营将以线下线上相结合的方式进行，线下入选营员在入住酒店完成所有环节，位于中高风险地区和境外的入选营员将在线上完成（除导师见面会）。7月5日晚笔试有考试冲突的同学需提交官方考试证明方可申请线上笔试，经组委会批准后需于7月6日17:00前到入住酒店报到，否则不予参加后续环节。线下同学需遵守北京市防疫要求，原则上封闭管理，确需出行，请向组委会报备（swxyjsk@tsinghua.edu.cn），午餐、晚餐需在房间内用餐</t>
  </si>
  <si>
    <t xml:space="preserve">1. 清华大学相关专业为生物学或者基础医学，不定导师，入学第一年一边学习研究生课程，一边进行轮转。轮转在生命学院、医学院基础医学系、生命科学联合中心和药学院生命科学相关方向的所有实验室中选择进行（TIMBR项目轮转在生物医学交叉研究院内部进行）。轮转结束根据导师和学生双向自愿选择定导，定导在医学院学生需选择基础医学专业，定导在其他学院的学生选择生物学专业，并按各自学科方向的要求完成博士生培养。
2. 夏令营“申请表”中需选择意向单位和学科方向意向，欢迎学生了解所有导师的研究方向。最终专业由招生五方统筹决定。
</t>
  </si>
  <si>
    <t>学习成绩优秀，本科期间综合成绩达到年级排名前30%；</t>
  </si>
  <si>
    <t>英语达到国家六级水平(425分以上)或TOEFL、GRE等考试成绩优秀者</t>
  </si>
  <si>
    <t>此次活动分别设置了主题参观、学术讲座、交流座谈、风采展示等环节。风采展示环节是对营员综合素质的全面了解，分别进行了专业知识笔试和个人综合陈述。
优秀营员评选
  优秀营员评选分三个部分进行包括背景评估、专业笔试和综合面试：
 （一）背景评估100分
  学习经历、学习成绩、科研能力、英语水平等情况。
 （二）专业笔试100分
  测试营员掌握本专业基本理论、基础知识及基本技能等。
 （三）综合面试100分
  包括心理素质测试、专业英语测试、专业面试等。
 （四）综合成绩计算
  综合成绩＝背景评估×40%＋专业笔试×20%＋综合面试×40%。
 （五）综合成绩运用
  学院根据综合成绩，按专业方向进行排名，确定优秀营员名单。获得优秀营员者，可获得《兰州大学2019年优秀大学生夏令营优秀营员证书》。</t>
  </si>
  <si>
    <t>7月12日-7月20日</t>
  </si>
  <si>
    <t>7月22日-29日</t>
  </si>
  <si>
    <t>10人</t>
  </si>
  <si>
    <t xml:space="preserve"> 1．申请表(“兰州大学大学口腔医学院2019年优秀大学生暑期夏令营”申请表1份)；
  2．个人陈述1份；
  3．其他证明材料（如：本科成绩单和专业排名证明(各1份;需加盖所在教务处公章)；获奖证书复印件；各类证书；国家英语四、六级考试成绩或TOEFL/GRE/GMAT/IELTS成绩等体现外语水平的证明；体现学术水平的代表性论文、出版物或原创性成果等）。</t>
  </si>
  <si>
    <t>一）夏令营活动期间提供营员食宿（兰州市本地学校学生不提供住宿）。
 （二）提供来自外地高校的营员往返硬卧火车票或汽车票资助（凭票）。
 （三）为营员购买夏令营活动期间人身意外伤害保险，保险期为报到后至闭营</t>
  </si>
  <si>
    <t>1．取得所在学校“推免资格”的优秀营员，在规定时间内进入教育部推免系统报名我院的推免生，报考专业及方向与暑期夏令营报考的专业及方向一致，可免复试接收为我校2020年推免生。
  2．部分未取得所在学校“推免资格”的优秀营员，第一志愿报考我院，且报考专业及方向与暑期夏令营专业方向一致，参加2020年硕士研究生招生考试，初试成绩达到“我院相应复试分数线”，体检合格，可录取免复试。</t>
  </si>
  <si>
    <t>7月4日-7月7日
  口腔医学专题讲座
 7月8日
  8:30-11:30 开营仪式、学院总体介绍、研究生招生介绍、云参观口腔学院 （口腔医院）
  14:30-17:30：口腔医学专题讲座
  19:00-21:00：口腔医学专题讲座
  7月9日
  8:30 专业综合面试、外语专业水平测试、思想政治和品德素质考核
  19:00-21:00：口腔医学专题讲座
优秀营员评选分三个部分进行包括背景评估、专业笔试和综合面试：
1. 背景评估100分
学习经历、学习成绩、科研能力、英语水平等情况。
2. 专业笔试100分
测试营员掌握本专业基本理论、基础知识及基本技能等。
3. 综合面试100分
包括心理素质测试、专业英语测试、专业面试等。
4. 综合成绩计算
综合成绩＝背景评估×40%＋专业笔试×20%＋综合面试×40%。
5. 综合成绩运用
学院根据综合成绩，按专业方向进行排名，确定优秀营员名单。获得优秀营员者，可获得《兰州大学2020年优秀大学生夏令营优秀营员证书》。</t>
  </si>
  <si>
    <t>5月20日-6月20日</t>
  </si>
  <si>
    <t>2020年7月4日-7月9日</t>
  </si>
  <si>
    <t>28人</t>
  </si>
  <si>
    <t>a. 申请表(“兰州大学口腔医学院2020年优秀大学生暑期夏令营”申请表1份)；
b. 个人陈述1份；
c. 其他证明材料如：
本科成绩单和专业排名证明(各1份；需加盖所在教务处公章)；
获奖证书复印件；
各类证书；
国家英语四、六级考试成绩；
或TOEFL/GRE/GMAT/IELTS成绩等体现外语水平的证明；
体现学术水平的代表性论文、出版物或原创性成果等。</t>
  </si>
  <si>
    <t xml:space="preserve">1. 夏令营活动期间提供营员食宿（兰州市本地学校学生不提供住宿）。
2. 提供来自外地高校的营员往返硬卧火车票或汽车票资助（凭票）。
3. 为营员购买夏令营活动期间人身意外伤害保险，保险期为报到后至闭营。 </t>
  </si>
  <si>
    <t>.学习成绩优异、综合能力突出，本科期间成绩达到年级排名前30%</t>
  </si>
  <si>
    <t>英语达到国家六级水平（425分及以上）或TOEFL、GRE等考试成绩优秀者</t>
  </si>
  <si>
    <t xml:space="preserve">7月7日：学术讲座、开幕式、参观兰州大学本部校区、兰州大学口腔医院及口腔医学院、
7月8日：能力考核、学术讲座                                                                                                                        （能力考核：参营营员需参与综合能力考核（笔试），内容包括《口腔专业英语》《口腔解剖生理与组织病理学》《口腔临床病例分析》等,考试时长150分钟。）
7月9日：参观八路军驻兰办事处、兰州城市规划馆、个人汇报展示、闭营仪式
（个人汇报展示：参营营员需准备个人简介PPT，PPT原则上不超过6页，须使用白色底板黑色文字。内容需包含个人基本情况，学习和社会实践情况，科研情况，感兴趣的研究方向及意向导师，研究生阶段发展规划。汇报时间5分钟。）
 </t>
  </si>
  <si>
    <t>2021年5月27日-6月25日</t>
  </si>
  <si>
    <t>2021年7月7日—7月9日</t>
  </si>
  <si>
    <t>（1）夏令营报名表（附件1，申请人声明处须签字确认）；
     （2）学业成绩单（须加盖院系或学校教务部门公章）；
     （3）总评成绩排名证明（须加盖院系或学校教务部门公章）；
     （4）英语四六级成绩单或同等类别外语考试成绩单；
     （5）学科专家推荐书（附件2，推荐人为副高级职称及以上专家）。
     （6）已发表论文或接受函（可选）；
     （7）校级及以上获奖证书复印件（可选）；
       本次报名申请采用线上提交的方式，不再单独接收纸质版材料，请报名同学将申请材料以（1）-（7）的顺序扫描成PDF文件后，打包发送至邮箱kqyyjsms@163.com（邮件主题：姓名—夏令营—本科院校）。</t>
  </si>
  <si>
    <t xml:space="preserve"> 1.夏令营活动期间提供营员食宿（兰州市本地学校学生不提供住宿）。
       2.提供来自外地高校的营员往返高铁二等座、硬卧火车票或汽车票资助（凭票）。
       3.我院将为营员购买夏令营活动期间人身意外伤害保险，保险期自报到日起至闭营日。
       4.若因疫情防控无法组织线下活动，我院将根据现实情况改变活动方式，具体解释权归我院所有。</t>
  </si>
  <si>
    <t>1．取得所在学校“推免资格”的优秀营员，在规定时间内进入教育部推免系统报名我院的推免生，报考专业及方向与暑期夏令营报考的专业及方向一致，可直接接收为我校2021年推免生。
2．部分未取得所在学校“推免资格”的优秀营员，第一志愿报考我院，参加2020年硕士研究生招生考试，初试成绩达到“我院相应复试分数线”，参加复试且体检合格，可优先录取。</t>
  </si>
  <si>
    <t>良好英语水平</t>
  </si>
  <si>
    <t>开营仪式、专业介绍会、师生交流互动、推免面试</t>
  </si>
  <si>
    <t>5月21日-6月30日</t>
  </si>
  <si>
    <t>7月10日-7月12日</t>
  </si>
  <si>
    <t>1. 南方科技大学2018年夏令营申请表（网申系统自动生成，打印签字）
2. 身份证复印件（1份）
3. 学生证复印件（仅在校生提供）；毕业证书与学位证书复印件（仅往届生提供）
4. 包含所修全部课程的正式成绩单原件(负责人签字、院系教务公章)
5  英语水平证明材料复印件 (四、六级英语，托福、GRE、雅思等证书)
6  其它证明材料复印件(体现个人学术水平的有代表性的学术论文首页，各类获奖证书等)
7. 其它的申请人自愿提交的证明材料、推荐信等 
上述材料4~7需上传网申系统，通过资格审核的学生，将以上申请材料按顺序装订，自行携带在夏令营报到时提交（所有纸质申请材料提交后不再归还，请自行做好留档；纸质版信息必须与网报信息完全一致，提供复印件的材料需要验原件）。</t>
  </si>
  <si>
    <t>南科大将为异地学校营员提供夏令营期间在深圳的免费食宿，并给予部分路费补贴。深圳地区高校学生原则上不提供住宿，但提供免费用餐。（请保留消费凭据）</t>
  </si>
  <si>
    <t>此次夏令营招收的营员专业背景包括且不限于生物医学工程专业，本科专业为材料、化学、物理、机械、电子、光学工程等相关领域的均欢迎报名参加。此外，需满足以下条件之一：
1、“双一流”建设高校或相关专业的“双一流”建设学科，本科前三学年学习成绩专业排名前25%的2020届本科毕业生；
2、其他成绩优异（本科成绩专业排名前10%），学术研究兴趣浓厚且潜质突出的应往届本科生和应往届硕士生。</t>
  </si>
  <si>
    <t>夏令营期间，同学们将有机会参加名师讲堂、师生互动交流、参观校园及实验室等活动，同时将安排推免硕士生、直博生和境外联合培养博士生的面试和选拔工作。行程安排如下：
6月30日：报到（地点：南方科技大学台州楼324会议室）；
7月1日：考核面试；
7月2日：院系活动（专业介绍、名师讲堂、实验室参观等）；
7月3日：上午校开营仪式，下午学生自由活动</t>
  </si>
  <si>
    <t>第一批：6月5日-6月23日
第二批：6月25-未说明</t>
  </si>
  <si>
    <t>第一批：6月30-7月3日
第二批7月15日-7月19日</t>
  </si>
  <si>
    <t>第一批：20人
第二批：7人</t>
  </si>
  <si>
    <t>（1）南方科技大学2019年夏令营申请表（点此下载，需学校教务部分或院系签字盖章）；
（2）学生证复印件（仅在校生提供）；
（3）身份证复印件（1份）；
（4）包含所修全部课程的正式成绩单（加盖院系或教务公章，硕士生需同时提交本科成绩单）；
（5）英语水平证明材料复印件（四、六级英语，托福、GRE、雅思等证书）；
（6）副教授以上专家书面推荐信2份（格式不限，硕士生必须提交，本科学生自愿提交）；
（7）其它证明材料（体现个人学术水平的有代表性的学术论文首页，各类获奖证书等）；
（8）导师和项目申请志愿表（点此下载）
通过资格审核后，请按以上顺序装订申请材料，自行携带至夏令营，在报到时提交</t>
  </si>
  <si>
    <t>1、南科大将为异地学校营员提供夏令营期间在深圳的免费食宿，并给予部分路费补贴。深圳地区高校学生原则上不提供住宿，但提供免费用餐。
2、夏令营期间为每位营员购买意外保险一份，在此期间因个人行为导致的意外事故及发生的医疗费用，由营员本人承担相应责任。</t>
  </si>
  <si>
    <t>凡参加我系2020年优秀大学生夏令营的营员，通过夏令营考核，且获得所在本科母校推荐免试攻读2021年研究生资格，满足我校接收推荐免试攻读研究生(含直博生)相关要求，当第一志愿报考我系2021年推免研究生时，将被直接拟录取为我系2021级研究生</t>
  </si>
  <si>
    <t>1. 应届毕业生或往届硕士生(全国重点高校或全国相关重点学科优先)；
2. 学业成绩优秀，总评成绩排名前30%或在学期间相关课程成绩突出者优先；
3. 其他成绩优异，学术研究兴趣浓厚且成果突出，有较强的创新意识和创新能力者优先；
4. 此次夏令营招收的营员专业背景包括且不限于生物医学工程专业，专业为生物、材料、化学、物理、机械、电子、药学、光学工程等相关领域的均欢迎报名参加。</t>
  </si>
  <si>
    <t>线上线下形式同时开展</t>
  </si>
  <si>
    <t>将组织开营仪式、院系介绍、师生互动、实验室参观、学术交流、2020推免生面试、和闭营仪式等多项活动</t>
  </si>
  <si>
    <t>4月30日-未说明</t>
  </si>
  <si>
    <t>6月30日至7月2日</t>
  </si>
  <si>
    <t>1. 南方科技大学2019年夏令营申请表（报名系统生成打印，加盖院系或教务公章）；
2. 学生证复印件（仅在校生提供）；
3. 身份证复印件；
4. 包含所修全部课程的正式成绩单（加盖院系或教务公章，硕士生需同时提交本科成绩单）；
5. 英语水平证明材料复印件（四、六级英语，托福、GRE、雅思等证书）；
6. 副教授以上专家书面推荐信2份（格式不限，硕士生必须提交，本科学生自愿提交）；
7. 其它证明材料（体现个人学术水平的有代表性的学术论文首页，各类获奖证书等、导师和项目申请志愿表、英文版申请表）。</t>
  </si>
  <si>
    <t xml:space="preserve">南科大将为异地学校营员提供夏令营期间在深圳的免费食宿，并给予部分路费补贴（请根据届时发布的报销指南保留好一切票据）
深圳地区高校学生原则上不提供住宿，但提供免费用餐。 
*营员须按要求全程准时参加活动 </t>
  </si>
  <si>
    <t>学业成绩优秀，总评成绩排名前30%或在学期间相关课程成绩突出者优先</t>
  </si>
  <si>
    <t>开营仪式、院系介绍、师生互动、实验室参观、学术交流、推免生面试、闭营仪式</t>
  </si>
  <si>
    <t>5月7日-根据学校通知及具体报名情况公布报名截止日期</t>
  </si>
  <si>
    <t>2021年7月-8月，以具体邮件通知为准</t>
  </si>
  <si>
    <t xml:space="preserve">(1) 南方科技大学2021年夏令营申请表（报名系统生成打印，加盖院系或教务公章）；
(2) 学生证复印件（仅在校生提供）；
(3) 身份证复印件；
(4) 包含所修全部课程的正式成绩单（加盖院系或教务公章，硕士生需同时提交本科成绩单）；
(5) 英语水平证明材料复印件（四、六级英语，托福、GRE、雅思等证书）；
(6) 副教授以上专家书面推荐信2份（格式不限，硕士生必须提交，本科学生自愿提交）；
(7) 其它证明材料（体现个人学术水平的有代表性的学术论文首页，各类获奖证书等、导师和项目申请志愿表、英文版申请表）；                                                             申请者将南方科技大学2021年夏令营申请表（报名系统生成打印签字）和全部证明材料合并成一个pdf文件（命名方式：姓名夏令营申请材料）+一页PDF版英文简历（命名方式：姓名英文简历），发送至：bmezb@sustech.edu.cn，邮件主题为“夏令营+姓名+学校+专业” </t>
  </si>
  <si>
    <t>南科大将为异地学校营员提供夏令营期间在深圳的免费食宿，并给予部分路费补贴（请根据届时发布的报销指南保留好一切票据）。                                     深圳地区高校学生原则上不提供住宿，仅提供免费用餐</t>
  </si>
  <si>
    <t>凡参加我系2021年优秀大学生夏令营的营员，通过夏令营考核，且获得所在本科母校推荐免试攻读2021年研究生资格，满足我校接收推荐免试攻读研究生(含直博生)相关要求，当第一志愿报考我系2021年推免研究生时，将被直接拟录取为我系2021级研究生</t>
  </si>
  <si>
    <t>昆山杜克大学</t>
  </si>
  <si>
    <t>医学物理</t>
  </si>
  <si>
    <t>优异的在校成绩</t>
  </si>
  <si>
    <t>良好的英语能力</t>
  </si>
  <si>
    <t xml:space="preserve">国际顶尖教授全程授课、全英文沉浸式教学、医学物理核心课程、知名医院实地考察、专业学术英语课程、嘉宾分享会等多种学习形式。
</t>
  </si>
  <si>
    <t>申请开放：2020年3月24日
提前申请优惠截止日期：5月15日
正常申请截止日期：6月15日</t>
  </si>
  <si>
    <t>8月9日-8月14日</t>
  </si>
  <si>
    <t>个人英文陈述，大学成绩单（至申请日期，可以非正式），语言成绩单（TOFEL、IELTS、CET、TEM或其他英语能力成绩）以上材料请发邮件至以下邮箱：
我们将会对申请者递交的申请材料进行审核，然后安排学生面试，并在面试之后的3周内给出结果，通过的学生收到通知再缴纳暑期项目学费进行报名</t>
  </si>
  <si>
    <t>提前申请优惠价：4999元*（限20个名额）
正常申请价：5699元
1. 若2位同学一起报名，每位同学享受10%的学费优惠；若3位同学一起报名，每位同学享受15%的学费优惠。
2. 上述费用包含保险，6天5晚住宿、1次自助餐晚宴、每日3餐、每日1-2次点心或下午茶、古镇参观游览、实地考察、江南文化活动、和来往活动地点的大巴接送。
3. 入住高档型酒店（双人间）或校内学生公寓。
提前申请优惠价限20个名额！先到先得，报完为止。请有意向的同学尽快申请！</t>
  </si>
  <si>
    <t>对于顺利结课的学生，昆山杜克大学都将授予官方结课证书，可以在其研究生申请过程中提供有效竞争力。
而对于在暑期项目中表现格外优秀的同学，授课教授还将授予推荐信，帮助学生在研究生申请阶段打开名校大门。</t>
  </si>
  <si>
    <t>国内“双一流”建设高校或全球排名 Top150 高校本科生；本科阶段学习成绩优良，平均 GPA 不低于3.0</t>
  </si>
  <si>
    <t>良好的英语水平，TOEFL 85以上或 IETLS 6.5以上，大学英语四六级可供参考</t>
  </si>
  <si>
    <t>国际著名教授全程授课
全英文沉浸式教学
五门医学物理核心课程
三甲医院实地考察
知名企业及医院嘉宾分享会
特色江南文化活动和昆曲体验</t>
  </si>
  <si>
    <t>首轮申请截止日期：2021年4月30日
提前录取（Early Decision）享有10%项目费用减免
第二轮申请截止：2021年5月30日
第三轮申请截止：2021年6月15日</t>
  </si>
  <si>
    <t>8月1-6日</t>
  </si>
  <si>
    <t>个人英文陈述，大学成绩单（至申请日期，可以非正式），语言成绩单（TOFEL、IELTS、CET、TEM或其他英语能力成绩）</t>
  </si>
  <si>
    <t>费用为 7500元人民币（ 首轮申请折后费用6750元）
❍ 参与两个暑期项目的费用为： 13500 人民币
❍ 项目费用包括：学费、参访费、住宿费、部分餐饮费、学习材料费、保险费等。不包括往返昆山旅费及个人开销等费用。</t>
  </si>
  <si>
    <t>5月18日-6月10 日</t>
  </si>
  <si>
    <t>6月24-26日</t>
  </si>
  <si>
    <t>122人</t>
  </si>
  <si>
    <t>① “北京协和医学院阜外医院2018年全国优秀大学生夏令营申请表”1份，报名系统提交后下载打印
② 截止报名前的成绩单1份（须加盖院系或学校教务部门公章）
③ 总评成绩排名证明1份（须加盖院系或学校教务部门公章）
④ 获奖证书复印件各1份
⑤ 国家英语四/六级考试、托福、雅思、GRE等体现自身英语水平的成绩证明1份
⑥ 申请人还可提交体现自身学术水平的代表性学术论文、出版物或原创性工作成果1份
⑦ 专家推荐信2封，即需要2位副教授以上职称专家分别推荐，且密封并在封口骑缝处签字（见附件一）
注：以上申请材料②—⑥项请通过扫描等方式处理生成一份PDF格式的电子文件，文件名为：XX大学-XX学院-XX（姓名）2018夏令营申请材料。</t>
  </si>
  <si>
    <t>提供所有营员夏令营期间在京的食宿</t>
  </si>
  <si>
    <t>本次活动结束后，有意参加科学训练的同学可联系医院相关研究室（课题组）进行暑期科研实践</t>
  </si>
  <si>
    <t>夏令营通过导师演讲、师生见面、学长交流、院史讲解、实地参观、手术转播等丰富详实的内容</t>
  </si>
  <si>
    <t>6月24-25日</t>
  </si>
  <si>
    <t>126人</t>
  </si>
  <si>
    <t>院为入选营员免费提供夏令营期间在京食宿，营员需自行预定往返车票，交通费自理</t>
  </si>
  <si>
    <t>北京协和医学院阜外医院招生宣讲会2020年5月24日（周日）上午9点至12点
报名：5月23日-6月8日</t>
  </si>
  <si>
    <t>6月22-23日</t>
  </si>
  <si>
    <t>132人</t>
  </si>
  <si>
    <t>a. 在线填写申请表；
b. 截止报名前的成绩单1份（须加盖院系或学校教务部门公章）；
c. 总评成绩排名证明1份（须加盖院系或学校教务部门公章）。
d. 获奖证书复印件各1份；
e. 国家英语四、六级考试、托福、雅思、GRE等体现自身英语水平的成绩证明1份；
f. 申请人还可提交体现自身学术水平的代表性学术论文、出版物或原创性工作成果1份；
g. 申请人还可提交专家推荐信1-2封，需副教授以上职称专家亲笔签字。
注：以上申请材料②—⑦项请通过扫描等方式处理生成一份PDF格式的电子文件，文件名为：XX大学-XX学院-XX（姓名）2020夏令营申请材料，在夏令营申请系统中上传。</t>
  </si>
  <si>
    <t>此次活动拟采取网络直播互动和分专业线上见面会的形式举办。待疫情结束，阜外医院将向所有入选营员提供1次来京与导师面对面交流的机会，食宿免费。</t>
  </si>
  <si>
    <t>具体安排请各位同学关注“阜外研究生公众号”推送信息或者阜外医院网站的后续通知</t>
  </si>
  <si>
    <t>20216月7日-6月22日</t>
  </si>
  <si>
    <t>2021年7月7-9日</t>
  </si>
  <si>
    <t>① 在线填写申请表
② 截止报名前的成绩单1份（须加盖院系或学校教务部门公章）；
③ 总评成绩排名证明1份（须加盖院系或学校教务部门公章）。
④ 获奖证书复印件各1份；
⑤ 国家英语四、六级考试、托福、雅思、GRE等体现自身英语水平的成绩证明1份；
⑥ 申请人还可提交体现自身学术水平的代表性学术论文、出版物或原创性工作成果1份；
⑦ 申请人还可提交专家推荐信1-2封，需副教授以上职称专家亲笔签字。</t>
  </si>
  <si>
    <t>食宿免费</t>
  </si>
  <si>
    <t xml:space="preserve">主要面向双一流高校生命科学领域品学兼优的大学三年级学生。在夏令营活动结束之后将组织推免生及直博生的面试会。
</t>
  </si>
  <si>
    <t>4月16日-6月22日</t>
  </si>
  <si>
    <t xml:space="preserve">7月9日至7月13日  </t>
  </si>
  <si>
    <t>44人</t>
  </si>
  <si>
    <t xml:space="preserve">（1）发送邮件报名 
　　在6月22日之前将“2018年中国科学院上海巴斯德研究所夏令营及推免生申请表”发送至：byu@ips.ac.cn，邮件主题请写明“2018年夏令营-本科学校-本人姓名”； 
　　（2）网上报名 
　　报名学生从中国科学院智慧教育系统（http://www.iedu.cas.cn/）中“科教结合协同育人学生报名入口”直接登录，点击首页右侧“科教结合协同育人”栏目，选择“大学生夏令营计划报名”栏目，注册后进入申请系统。请务必按照网址要求进行注册、网上报名并确保提交。  
　　（3）报名时可先提供电子版申请材料（请将所有材料整合成一份PDF文件，文件名：2018年夏令营-本科学校-本人姓名）。 
　　确定录取之后，纸质版报到时由本人带来提交： 
　　①“夏令营及推免生申请表.docx”； 
　　②两封推荐信.docx，推荐人须具有副教授以上职称； 
　　③本科学校教务部门（或院系）出具并加盖公章的大学本科成绩单以及成绩排名证明； 
　　④获奖证明材料（体现自身学术水平的代表性学术论文的复印件、获奖证书复印件、英语四、六级证书复印件等）。 
　　请将申请材料按照申请表、成绩单、推荐信、获奖证明材料顺序排好，A4纸打印，侧面装订。 </t>
  </si>
  <si>
    <t xml:space="preserve">1、免费提供您在上海夏令营期间的食宿； 
　　2、从所在学校到上海的单程火车票补助（参加推免生面试的营员，报销双程旅费）。 </t>
  </si>
  <si>
    <t xml:space="preserve">对参加夏令营的同学，将择优接收进入上海巴斯德研究所攻读研究生。对通过参加夏令营活动并顺利通过推免面试的优秀营员，将获得丰厚的新生奖学金资助。  </t>
  </si>
  <si>
    <t>4月23日-6月23日</t>
  </si>
  <si>
    <t>7月15日-7月19日</t>
  </si>
  <si>
    <t>（1）发送邮件报名
在6月23日之前将“2019年中国科学院上海巴斯德研究所夏令营及推免生申请表发送至：ylu@ips.ac.cn，邮件主题请写明“2019年夏令营-本科学校-本人姓名”；
 （2）网上报名
报名学生从中国科学院智慧教育系统（http://kjxt.ucas.ac.cn）中“科教结合协同育人学生报名入口”直接登录，点击首页右侧“科教结合协同育人”栏目，选择 “大学生夏令营计划报名”栏目，注册后进入申请系统。请务必按照网址要求进行注册、网上报名并确保提交。 目前该系统已开放，请同学们及时报名。
（3）报名时可先提供电子版申请材料（请将所有材料整合成一份PDF文件，文件名：2019年夏令营-本科学校-本人姓名）。
确定录取之后，纸质版报到时由本人带来提交：
①     “2019年中国科学院上海巴斯德研究所大学生夏令营申请表”；
②两封推荐信，推荐人须具有副教授以上职称；
③本科学校教务部门（或院系）出具并加盖公章的大学本科成绩单以
及成绩排名证明；
④获奖证明材料（体现自身学术水平的代表性学术论文的复印件、获
奖证书复印件、英语四、六级证书复印件等）。
请将申请材料按照申请表、成绩单、推荐信、获奖证明材料顺序排好，A4纸打印，侧面装订。
参加推免生面试的营员和预录取学员入营时需提交材料（电子版）：
5分钟个人情况介绍（英文）：最多8张slide，并于2019年7月16日下午5点前发email至：ylu@ips.ac.cn。内容主要包括：个人基本情况介绍以及已掌握的科研或实验室经历。如您无太多科研或实验室经历，可在PPT中阐述您的竞争优势。PPT文件制作请使用英文。</t>
  </si>
  <si>
    <t>1、免费提供您在上海夏令营期间的食宿；
2、从所在学校到上海的单程火车票补助（参加推免生面试的营员，报销双程旅费）。</t>
  </si>
  <si>
    <t>主要面向全国“985”、“211”大学生命科学领域品学兼优的大学三年级学生。在夏令营活动结束之后将组织推免生及直博生的面试会</t>
  </si>
  <si>
    <t>5月10日-6月25日</t>
  </si>
  <si>
    <t>7月23日和7月24日</t>
  </si>
  <si>
    <t>参加夏令营并参加复试的同学，请于7月10日之前将报名材料的纸质版寄往上海巴斯德所（具体地址：上海市徐汇区岳阳路320号，上海巴斯德所生命科学实验楼，王慧老师收，邮编200030，电话：54923013），请用顺丰寄快递。 
　　纸质材料： 
　　①“中国科学院上海巴斯德研究所大学生夏令营申请表”（可以用夏令营申请系统下载表格，也可以单独在本网页下载申请表填写）；   
　　②两封推荐信，推荐人须具有副教授以上职称；（可不提供） 
　　③本科学校教务部门（或院系）出具并加盖公章的大学本科成绩单以及成绩排名证明；   
　　④获奖证明材料（体现自身学术水平的代表性学术论文的复印件、获奖证书复印件、英语四、六级证书复印件等）。   
　　请将申请材料按照申请表、推荐信、成绩单、获奖证明材料顺序排好，A4纸打印，侧面装订。  
　　5.参加复试的同学，请提前准备好5-8分钟的ppt（PPT制作和汇报都使用英文）：内容主要包括：个人基本情况介绍以及已掌握的科研或实验室经历。如您无太多科研或实验室经历，可在PPT中阐述您的竞争优势</t>
  </si>
  <si>
    <t xml:space="preserve">1. 免费提供您在上海夏令营期间的食宿；  
2. 从所在学校到上海的单程火车票补助。
</t>
  </si>
  <si>
    <t>视疫情情况而定</t>
  </si>
  <si>
    <t>2021年4月26日-6月27日</t>
  </si>
  <si>
    <t>2021年7月19日至7月24日</t>
  </si>
  <si>
    <t xml:space="preserve">报名时可先提供电子版申请材料（请将所有材料整合成一份PDF文件，文件名：2021年夏令营-本科学校-姓名）。 
确定录取之后，纸质版报到时由本人带来提交： 
①  英文CV（无固定模板）
②  “中国科学院上海巴斯德研究所大学生夏令营申请表” （可以用夏令营申请系统下载表格，也可以单独在本网页下载申请表填写）； 
③  两封推荐信，推荐人须具有副教授以上职称； 推荐信
④  本科学校教务部门（或院系）出具并加盖公章的大学本科成绩单以及成绩排名证明； 
⑤   获奖证明材料（体现自身学术水平的代表性学术论文的复印件、获奖证书复印件、英语四、六级证书复印件等）。 
请将申请材料按照上述顺序排好，A4纸打印，侧面装订。 
</t>
  </si>
  <si>
    <t>所在高校有推荐免试资格的在读2019届本科毕业生。
 符合所在学校的推免生条件：根据所在高校关于推荐免试攻读研究生的相关规定，与本系往年的推免生比较下来，自己能得到学校的推免生名额。</t>
  </si>
  <si>
    <t>英语达到国家六级/四级水平(424分及以上)。</t>
  </si>
  <si>
    <t>4月23日—7月20日</t>
  </si>
  <si>
    <t xml:space="preserve">第一批面试（预计）：7月19日-7月20日（以实际面试通知为准） 
　　第二批面试（预计）：8月中旬（以实际面试通知为准） </t>
  </si>
  <si>
    <t>37人</t>
  </si>
  <si>
    <t xml:space="preserve">1. 身份证正反面复印件，学生证复印件； 
　　2. 成绩单，需要盖教务处公章，如学校暂时无法为学生开具成绩单，可自己先从学校教务系统中下载打印一份，盖章件于面试时补交； 
　　3. 英语CET等级证书复印件；  
　　4. 两名教师书面推荐（必须要有推荐教师的手写签名，电子签名的推荐信不予受理）； 
　　5. 各类证书、奖状复印件。  
　　注意事项： 
　　1. 请认真填写各项信息，并保证所填数据真实可靠，如因材料虚假或其他不端行为导致的一切后果，由申请者本人承担。 
　　2.请按照身份证正反面复印件、学生证复印件、本科成绩单、四六级成绩单、推荐信、各类证书、奖状扫描件、其他材料的顺序进行扫描排列，制作生成一个PDF文件，文件按照如下方式命名：附件 – XX大学 – 姓名，上传至学生信息登记表最后一栏附件栏， 
　　3. 进入推免面试名单的学生，须在报到时提交所有附件材料的纸质版原件。 </t>
  </si>
  <si>
    <t>1. 具有所在高校推荐免试资格的2020届本科毕业生； 
2. 符合所在学校的推免生条件：根据所在高校关于推荐免试攻读研究生的相关规定，及所在院系历年推免情况， W
　　预期可获得推免资格；</t>
  </si>
  <si>
    <t>英语达到国家六级/四级水平(425分及以上)。</t>
  </si>
  <si>
    <t>4月10日—7月20日</t>
  </si>
  <si>
    <t>第一批面试（预计）：7月18日-7月19日（以实际面试通知为准） 
　　第二批面试（预计）：8月中旬（以实际面试通知为准）</t>
  </si>
  <si>
    <t>42人</t>
  </si>
  <si>
    <t>1. 身份证正反面复印件，学生证复印件； 
　　2. 成绩单，需要盖教务处公章，如学校暂时无法为学生开具成绩单，可自己先从学校教务系统中下载打印一份，原件于面试时补交； 
　　3. 英语CET等级证书复印件；  
　　4. 两名教师书面推荐（推荐信需要有推荐教师的签名）； 
　　5. 各类证书、奖状复印件。  
　　注意事项： 
　　1. 请认真填写各项信息，并保证所填数据真实可靠，如因材料虚假或其他不端行为导致的一切后果，由申请者本人承担。 
　　2.请按照身份证正反面复印件、学生证复印件、本科成绩单、四六级成绩单、推荐信、各类证书、奖状扫描件、其他材料的顺序进行扫描排列，制作生成一个PDF文件，文件按照如下方式命名：附件 – XX大学 – 姓名，上传至学生信息登记表最后一栏附件栏， 
　　3. 进入推免面试名单的学生，须在报到时提交所有附件材料的纸质版原件。</t>
  </si>
  <si>
    <t>1. 具有所在高校推荐免试资格的2021届本科毕业生； 
2. 符合所在学校的推免生条件：根据所在高校关于推荐免试攻读研究生的相关规定，及所在院系历年推免情况，预期可获得推免资格；</t>
  </si>
  <si>
    <t>2020年5月19日 -2020年7月20日</t>
  </si>
  <si>
    <t xml:space="preserve">a. 身份证正反面复印件，学生证复印件； 
b. 成绩单，需要盖教务处公章，如学校暂时无法为学生开具成绩单，可自己先从学校教务系统中下载打印一份，原件于面试时补交； 
c. 英语CET等级证书复印件；  
d. 两名教师书面推荐（推荐信需要有推荐教师的签名）； 
e. 各类证书、奖状复印件。  
</t>
  </si>
  <si>
    <t>具有所在高校推荐免试资格的2022届本科毕业生；                符合所在学校的推免生条件：根据所在高校关于推荐免试攻读研究生的相关规定，及所在院系历年推免情况，预期可获得推免资格</t>
  </si>
  <si>
    <t>英语达到国家六级/四级水平(425分及以上)。  </t>
  </si>
  <si>
    <t>7月15日-7月16日</t>
  </si>
  <si>
    <t xml:space="preserve">第一批面试（预计）：7月15日-7月16日（以实际面试通知为准）； 
　　第二批面试（预计）：8月中上旬（以实际面试通知为准）
</t>
  </si>
  <si>
    <t xml:space="preserve">1.两名教师书面推荐（推荐信需要有推荐教师的签名）； 
　　2.学生证复印件、身份证正反面复印件；  
　　3.成绩单，需要盖教务处公章，如学校暂时无法为学生开具成绩单，可自己先从学校教务系统中下载打印一份，原件于面试时补交；  
　　4.英语CET等级证书复印件；   
　　5.各类证书、奖状复印件。
</t>
  </si>
  <si>
    <t>2. 学习成绩优秀，本科前3年或前5学期总评成绩排名在该校同年级相关专业（数学、物理、信息、计算机、生物医学工程、神经科学等）前20%之内 (在科研方面有突出表现的学生可不受此约束)，并能取得本校推荐免试资格；</t>
  </si>
  <si>
    <t>日  期
时   间
活动内容
活动方式
7月6日
星期一
8:30-16:30
线上注册
B站/Zoom/微信群
7月7日
星期二
9:00-11:30
开营仪式
在线专家讲座Ⅰ
张江国际脑库介绍
B站/Zoom
14:30-18:30
在线面试Ⅰ
在线面试系统
7月8日
星期三
8:30-12:30
在线面试Ⅱ
在线面试系统
14:30-18:30
张江影像中心在线参观
在线专家讲座Ⅱ
B站/zoom
7月9日
星期四
8:30-12:30
在线面试Ⅲ
在线面试系统
14:30-18:30
认知神经科学中心在线参观
在线专家讲座Ⅲ
B站/zoom
7月10日
星期五
8:30-12:30
在线面试Ⅳ
在线面试系统
14:30-18:30
全脑计算中心介绍
在线专家讲座Ⅳ
闭营仪式
B站/zoom</t>
  </si>
  <si>
    <t>5月20日-6月30日</t>
  </si>
  <si>
    <t>7月6日-7月10日</t>
  </si>
  <si>
    <t>本次夏令营预计招收营员80人 (其中复旦本校30人左右)</t>
  </si>
  <si>
    <t>1. 一份“2020年复旦大学优秀大学生夏令营活动申请表” ；
自下述网站开通至6月20日期间，在www.gsao.fudan.edu.cn中的“研究生报考服务系统－全国优秀大学生夏令营”栏中按要求统一填写、打印；并从“应用数学、生物医学工程”中选择一个志愿方向；
2. 一份本科阶段成绩单 (由教务部门或院系盖章)；
3. 两封专家书面推荐信；
4. 其它必要的证明材料复印件 (如已发表论文、各类获奖或资格证书等)。
注：类脑研究院实行研究生轮转制度，在系统中填写夏令营报名信息时不需要选导师或者选择导师指导小组即可。</t>
  </si>
  <si>
    <t>若此次夏令营届时举办线下相应活动，则凡入选夏令营的外地学生活动期间的食宿由夏令营组委会统一安排，费用全免。
对于批准自费参加本次夏令营活动的学生，若经过选拔后成为复旦大学类脑智能方向的推免生，亦可申请报销相关费用。</t>
  </si>
  <si>
    <t>我院2021年招收的推免研究生将主要从夏令营优秀营员中产生</t>
  </si>
  <si>
    <t>1. 类脑研究院相关专业为应用数学和生物医学工程，所有学生均不定导师，入学第一年一边学习研究生课程，一边进行轮转。
轮转在院内各研究小组之间进行，轮转结束根据导师和学生双向自愿选择定导。
2. 类脑研究院同时设置与中科院脑科学与智能技术卓越创新中心/神经科学研究所的直博生联合培养项目，由类脑研究院与中科院脑科学与智能技术卓越创新中心/神经科学研究所的导师团队进行联合培养。
有意申请该项目的学生请在申请材料的邮件标题中注明（例：夏令营申请+申请专业+姓名+所在学校及院系+申请联合培养项目）。
入选该联合培养项目的研究生将在类脑研究院与中科院脑科学与智能技术卓越创新中心/神经科学研究所之间进行轮转，并最终由类脑研究院与中科院脑科学与智能技术卓越创新中心/神经科学研究所导师团队中的双导师进行共同指导培养。
3. 在夏令营中表现特别优异者，在正式进入复旦大学类脑研究院就读后，将获得复旦大学类脑研究院科大智能奖学金资助。</t>
  </si>
  <si>
    <t>学习成绩优秀，本科前3年或前5学期总评成绩排名在该校同年级相关专业（数学、物理、信息、计算机、生物医学工程、神经科学等）前20%之内 (在科研方面有突出表现的学生可不受此约束)，并能取得本校推荐免试资格</t>
  </si>
  <si>
    <t>夏令营具体活动安排将另行通知。详情关注我院自媒体平台</t>
  </si>
  <si>
    <t>2021年5月15日9:00-6月15日17:00</t>
  </si>
  <si>
    <t>2021年6月底至7月初</t>
  </si>
  <si>
    <t>80人</t>
  </si>
  <si>
    <t>1. 一份“2021年复旦大学优秀大学生夏令营活动申请表” (自下述网站开通至6月15日期间，在www.gsao.fudan.edu.cn中的“研究生报考服务系统－全国优秀大学生夏令营”栏中按要求统一填写、打印；并从“应用数学、生物医学工程”中选择一个志愿方向，并签署申请人手写或电子签名，加盖所在学校或院系公章，未签名或未加盖公章视为无效申请表，报名结果无效)。
2. 个人简历一份（简历中请删除有关个人联系方式的信息，如电话号码、电子邮箱等）。
3.本科阶段历年成绩单（须加盖教务处或院系公章），JPG或PDF格式。
4.外语水平证明，如CET四级、CET六级、雅思、托福、专业外语成绩等。
5.有关获奖证书和学术科研成果，如发表论文、出版物或其他原创性工作。
6.两封专家书面推荐信（推荐信模板下载地址：https://istbi.fudan.edu.cn/info/1182/2867.htm）。
7.近期正面免冠彩色证件照片，电子版JPG格式，150×200像素，大小500K以内。</t>
  </si>
  <si>
    <t>此次夏令营举办线下相应活动中，凡入选夏令营的外地学生活动期间的食宿由夏令营组委会统一安排，费用全免。对于批准自费参加本次夏令营活动的学生，若经过选拔后最终录取为我院的推免研究生，亦可申请报销相关费用</t>
  </si>
  <si>
    <t>夏令营优秀营员中表现特别优异者，在正式进入我院就读后，将获得我院优秀新生奖学金资助。此次夏令营举办线下相应活动中，凡入选夏令营的外地学生活动期间的食宿由夏令营组委会统一安排，费用全免。对于批准自费参加本次夏令营活动的学生，若经过选拔后最终录取为我院的推免研究生，亦可申请报销相关费用</t>
  </si>
  <si>
    <t>北京生命科学研究所</t>
  </si>
  <si>
    <t>面试</t>
  </si>
  <si>
    <t>7月8日截至</t>
  </si>
  <si>
    <t>A. 在校历年成绩单（须加盖院校或教务处公章）；
B. 国家英语水平考试六级证书或成绩单复印件；
C. 申请免试攻读2018年北京生命科学研究所推免研究生登记表（网上注册时填写后生成的文件请将打印签名后的纸质版随其它材料一同寄到研究所）；
D. 北京生命科学研究所2018年接收推荐免试攻读研究生个人陈述（附件一）；
E. 北京生命科学研究所2018年接收推荐免试攻读研究生专家推荐信1～2份（附件二，请将此附件扫描或拍照后上传至系统）。</t>
  </si>
  <si>
    <t>A. 在校历年成绩单（须加盖院校或教务处公章）；
B. 国家英语水平考试六级证书或成绩单复印件；
C. 申请免试攻读2019年北京生命科学研究所推免研究生登记表（网上注册时填写后生成的文件请将打印签名后的纸质版随其它材料一同寄到研究所）；
D. 北京生命科学研究所2019年接收推荐免试攻读研究生个人陈述（附件一）；
E. 北京生命科学研究所2019年接收推荐免试攻读研究生专家推荐信1～2份（附件二，请将此附件扫描或拍照后上传至系统）。</t>
  </si>
  <si>
    <t>6/20或7月31日截至</t>
  </si>
  <si>
    <r>
      <t>A.</t>
    </r>
    <r>
      <rPr>
        <sz val="12"/>
        <color theme="1"/>
        <rFont val="宋体"/>
        <family val="3"/>
        <charset val="134"/>
      </rPr>
      <t>申请免试攻读</t>
    </r>
    <r>
      <rPr>
        <sz val="12"/>
        <color theme="1"/>
        <rFont val="Verdana"/>
        <family val="2"/>
      </rPr>
      <t>2020</t>
    </r>
    <r>
      <rPr>
        <sz val="12"/>
        <color theme="1"/>
        <rFont val="宋体"/>
        <family val="3"/>
        <charset val="134"/>
      </rPr>
      <t>年北京生命科学研究所推免研究生登记表（网上注册时填写后生成的文件请将打印签名后的纸质版随其它材料一同寄到研究所）；</t>
    </r>
    <r>
      <rPr>
        <sz val="12"/>
        <color theme="1"/>
        <rFont val="Verdana"/>
        <family val="2"/>
      </rPr>
      <t xml:space="preserve">
B.</t>
    </r>
    <r>
      <rPr>
        <sz val="12"/>
        <color theme="1"/>
        <rFont val="宋体"/>
        <family val="3"/>
        <charset val="134"/>
      </rPr>
      <t>北京生命科学研究所</t>
    </r>
    <r>
      <rPr>
        <sz val="12"/>
        <color theme="1"/>
        <rFont val="Verdana"/>
        <family val="2"/>
      </rPr>
      <t>2020</t>
    </r>
    <r>
      <rPr>
        <sz val="12"/>
        <color theme="1"/>
        <rFont val="宋体"/>
        <family val="3"/>
        <charset val="134"/>
      </rPr>
      <t>年接收推荐免试攻读研究生个人陈述；</t>
    </r>
    <r>
      <rPr>
        <sz val="12"/>
        <color theme="1"/>
        <rFont val="Verdana"/>
        <family val="2"/>
      </rPr>
      <t xml:space="preserve">
C.</t>
    </r>
    <r>
      <rPr>
        <sz val="12"/>
        <color theme="1"/>
        <rFont val="宋体"/>
        <family val="3"/>
        <charset val="134"/>
      </rPr>
      <t>北京生命科学研究所</t>
    </r>
    <r>
      <rPr>
        <sz val="12"/>
        <color theme="1"/>
        <rFont val="Verdana"/>
        <family val="2"/>
      </rPr>
      <t>2020</t>
    </r>
    <r>
      <rPr>
        <sz val="12"/>
        <color theme="1"/>
        <rFont val="宋体"/>
        <family val="3"/>
        <charset val="134"/>
      </rPr>
      <t>年接收推荐免试攻读研究生专家推荐信</t>
    </r>
    <r>
      <rPr>
        <sz val="12"/>
        <color theme="1"/>
        <rFont val="Verdana"/>
        <family val="2"/>
      </rPr>
      <t>1</t>
    </r>
    <r>
      <rPr>
        <sz val="12"/>
        <color theme="1"/>
        <rFont val="宋体"/>
        <family val="3"/>
        <charset val="134"/>
      </rPr>
      <t>～</t>
    </r>
    <r>
      <rPr>
        <sz val="12"/>
        <color theme="1"/>
        <rFont val="Verdana"/>
        <family val="2"/>
      </rPr>
      <t>2</t>
    </r>
    <r>
      <rPr>
        <sz val="12"/>
        <color theme="1"/>
        <rFont val="宋体"/>
        <family val="3"/>
        <charset val="134"/>
      </rPr>
      <t>份，须由推荐专家密封并在封口处签字；</t>
    </r>
    <r>
      <rPr>
        <sz val="12"/>
        <color theme="1"/>
        <rFont val="Verdana"/>
        <family val="2"/>
      </rPr>
      <t xml:space="preserve">
D.</t>
    </r>
    <r>
      <rPr>
        <sz val="12"/>
        <color theme="1"/>
        <rFont val="宋体"/>
        <family val="3"/>
        <charset val="134"/>
      </rPr>
      <t>在校历年成绩单（须加盖院校或教务处公章）；</t>
    </r>
    <r>
      <rPr>
        <sz val="12"/>
        <color theme="1"/>
        <rFont val="Verdana"/>
        <family val="2"/>
      </rPr>
      <t xml:space="preserve">
E.</t>
    </r>
    <r>
      <rPr>
        <sz val="12"/>
        <color theme="1"/>
        <rFont val="宋体"/>
        <family val="3"/>
        <charset val="134"/>
      </rPr>
      <t>国家英语水平考试六级证书或成绩单复印件。</t>
    </r>
    <r>
      <rPr>
        <sz val="12"/>
        <color theme="1"/>
        <rFont val="Verdana"/>
        <family val="2"/>
      </rPr>
      <t xml:space="preserve"> </t>
    </r>
  </si>
  <si>
    <t>985所属重点高校生命科学及其相关专业三年级学生(2021年毕业生), 学习成绩优秀，本科期间总评成绩排名在年级前20%，能取得推荐免试资格。
211所属重点高校生命科学及其相关专业三年级学生(2021年毕业生),学习成绩优秀，本科期间总评成绩排名在年级前5%，能取得推荐免试资格。</t>
  </si>
  <si>
    <t>截止时间为6月20日00:00</t>
  </si>
  <si>
    <t>A.        申请免试攻读2021年北京生命科学研究所推免研究生登记表（网上注册时生成的文件，请打印签名后扫描）。
B.        北京生命科学研究所2021年接收推荐免试攻读研究生个人陈述。
C.         在校历年成绩单（官方出具，扫描）。
D.        国家英语水平考试六级证书或成绩单复印件。
E.         北京生命科学研究所2021年接收推荐免试攻读研究生专家推荐信1～2份（请附专家电子签名，请专家将推荐信以推荐老师本人的邮箱发送到education@nibs.ac.cn邮箱，推荐信请命名为：学生姓名+学生所在学校，邮件主题：推荐信+学生姓名+学生所在学校）</t>
  </si>
  <si>
    <t xml:space="preserve"> 北大、清华和NIBS联合培养博士研究生（PTN项目）</t>
  </si>
  <si>
    <t>根据本科成绩单、专家推荐信、采取单独考核及面试等方式进行差额复试，对学生的学科背景、专业素质、操作技能、外语口语水平、思维能力、创新能力等进行综合评价。申请人应向复试组作报告，内容包括个人科研经历和成果介绍、对拟从事研究的领域的了解和看法、本人拟进行的研究工作设想及理由等。</t>
  </si>
  <si>
    <t>6.20截止</t>
  </si>
  <si>
    <t xml:space="preserve">未说明 </t>
  </si>
  <si>
    <t xml:space="preserve">1) 2018年招生报名登记表 2) 本人自述（中英文均可）。
3) 历年在校学习成绩单，并加盖学校教务处或院系公章，密封后在该信封的封口处加盖公章（本科和硕士阶段）。
4) 在校本科生需提供官方出具的前三年成绩排名（加盖学校教务处或院系公章）。
5) 英语4级和或6级通过证书或成绩单复印件。
6) 如果有在核心刊物或会议上发表的学术论文、出版物或取得具有学术水平的工作成果，请提交复印件或证明信。
7) 如果在学期间从事课外科技活动中有获奖或突出表现，请提交由学校教务部门出具并加盖公章的证明材料。
8) 学位、学历证书的复印件（往届生提交）。
9) 建议提供两份由申请攻读学位学科有关的副教授（或相当职称）以上专家的“专家推荐信”，推荐信不限格式但须由推荐专家密封并在封口处签字。 </t>
  </si>
  <si>
    <r>
      <t>1)2019</t>
    </r>
    <r>
      <rPr>
        <sz val="12"/>
        <color theme="1"/>
        <rFont val="宋体"/>
        <family val="3"/>
        <charset val="134"/>
      </rPr>
      <t>年招生报名登记表</t>
    </r>
    <r>
      <rPr>
        <sz val="12"/>
        <color theme="1"/>
        <rFont val="Verdana"/>
        <family val="2"/>
      </rPr>
      <t xml:space="preserve"> 2)</t>
    </r>
    <r>
      <rPr>
        <sz val="12"/>
        <color theme="1"/>
        <rFont val="宋体"/>
        <family val="3"/>
        <charset val="134"/>
      </rPr>
      <t>本人自述（中英文均可）。</t>
    </r>
    <r>
      <rPr>
        <sz val="12"/>
        <color theme="1"/>
        <rFont val="Verdana"/>
        <family val="2"/>
      </rPr>
      <t xml:space="preserve">
3)</t>
    </r>
    <r>
      <rPr>
        <sz val="12"/>
        <color theme="1"/>
        <rFont val="宋体"/>
        <family val="3"/>
        <charset val="134"/>
      </rPr>
      <t>历年在校学习成绩单，并加盖学校教务处或院系公章，密封后在该信封的封口处加盖公章（本科和硕士阶段）。</t>
    </r>
    <r>
      <rPr>
        <sz val="12"/>
        <color theme="1"/>
        <rFont val="Verdana"/>
        <family val="2"/>
      </rPr>
      <t xml:space="preserve">
4)</t>
    </r>
    <r>
      <rPr>
        <sz val="12"/>
        <color theme="1"/>
        <rFont val="宋体"/>
        <family val="3"/>
        <charset val="134"/>
      </rPr>
      <t>在校本科生需提供官方出具的前三年成绩排名（加盖学校教务处或院系公章）。</t>
    </r>
    <r>
      <rPr>
        <sz val="12"/>
        <color theme="1"/>
        <rFont val="Verdana"/>
        <family val="2"/>
      </rPr>
      <t xml:space="preserve">
5)</t>
    </r>
    <r>
      <rPr>
        <sz val="12"/>
        <color theme="1"/>
        <rFont val="宋体"/>
        <family val="3"/>
        <charset val="134"/>
      </rPr>
      <t>英语</t>
    </r>
    <r>
      <rPr>
        <sz val="12"/>
        <color theme="1"/>
        <rFont val="Verdana"/>
        <family val="2"/>
      </rPr>
      <t>4</t>
    </r>
    <r>
      <rPr>
        <sz val="12"/>
        <color theme="1"/>
        <rFont val="宋体"/>
        <family val="3"/>
        <charset val="134"/>
      </rPr>
      <t>级和或</t>
    </r>
    <r>
      <rPr>
        <sz val="12"/>
        <color theme="1"/>
        <rFont val="Verdana"/>
        <family val="2"/>
      </rPr>
      <t>6</t>
    </r>
    <r>
      <rPr>
        <sz val="12"/>
        <color theme="1"/>
        <rFont val="宋体"/>
        <family val="3"/>
        <charset val="134"/>
      </rPr>
      <t>级通过证书或成绩单复印件。</t>
    </r>
    <r>
      <rPr>
        <sz val="12"/>
        <color theme="1"/>
        <rFont val="Verdana"/>
        <family val="2"/>
      </rPr>
      <t xml:space="preserve">
6)</t>
    </r>
    <r>
      <rPr>
        <sz val="12"/>
        <color theme="1"/>
        <rFont val="宋体"/>
        <family val="3"/>
        <charset val="134"/>
      </rPr>
      <t>如果有在核心刊物或会议上发表的学术论文、出版物或取得具有学术水平的工作成果，请提交复印件或证明信。</t>
    </r>
    <r>
      <rPr>
        <sz val="12"/>
        <color theme="1"/>
        <rFont val="Verdana"/>
        <family val="2"/>
      </rPr>
      <t xml:space="preserve">
7)</t>
    </r>
    <r>
      <rPr>
        <sz val="12"/>
        <color theme="1"/>
        <rFont val="宋体"/>
        <family val="3"/>
        <charset val="134"/>
      </rPr>
      <t>如果在学期间从事课外科技活动中有获奖或突出表现，请提交由学校教务部门出具并加盖公章的证明材料。</t>
    </r>
    <r>
      <rPr>
        <sz val="12"/>
        <color theme="1"/>
        <rFont val="Verdana"/>
        <family val="2"/>
      </rPr>
      <t xml:space="preserve">
8)</t>
    </r>
    <r>
      <rPr>
        <sz val="12"/>
        <color theme="1"/>
        <rFont val="宋体"/>
        <family val="3"/>
        <charset val="134"/>
      </rPr>
      <t>学位、学历证书的复印件（往届生提交）。</t>
    </r>
    <r>
      <rPr>
        <sz val="12"/>
        <color theme="1"/>
        <rFont val="Verdana"/>
        <family val="2"/>
      </rPr>
      <t xml:space="preserve">
9)</t>
    </r>
    <r>
      <rPr>
        <sz val="12"/>
        <color theme="1"/>
        <rFont val="宋体"/>
        <family val="3"/>
        <charset val="134"/>
      </rPr>
      <t>建议提供两份由申请攻读学位学科有关的副教授（或相当职称）以上专家的“专家推荐信”，推荐信不限格式但须由推荐专家密封并在封口处签字。</t>
    </r>
  </si>
  <si>
    <r>
      <t>1)2020</t>
    </r>
    <r>
      <rPr>
        <sz val="12"/>
        <color theme="1"/>
        <rFont val="宋体"/>
        <family val="3"/>
        <charset val="134"/>
      </rPr>
      <t>年招生报名登记表</t>
    </r>
    <r>
      <rPr>
        <sz val="12"/>
        <color theme="1"/>
        <rFont val="Verdana"/>
        <family val="2"/>
      </rPr>
      <t xml:space="preserve"> 2)</t>
    </r>
    <r>
      <rPr>
        <sz val="12"/>
        <color theme="1"/>
        <rFont val="宋体"/>
        <family val="3"/>
        <charset val="134"/>
      </rPr>
      <t>本人自述（中英文均可）。</t>
    </r>
    <r>
      <rPr>
        <sz val="12"/>
        <color theme="1"/>
        <rFont val="Verdana"/>
        <family val="2"/>
      </rPr>
      <t xml:space="preserve">
3)</t>
    </r>
    <r>
      <rPr>
        <sz val="12"/>
        <color theme="1"/>
        <rFont val="宋体"/>
        <family val="3"/>
        <charset val="134"/>
      </rPr>
      <t>历年在校学习成绩单，并加盖学校教务处或院系公章，密封后在该信封的封口处加盖公章（本科和硕士阶段）。</t>
    </r>
    <r>
      <rPr>
        <sz val="12"/>
        <color theme="1"/>
        <rFont val="Verdana"/>
        <family val="2"/>
      </rPr>
      <t xml:space="preserve">
4)</t>
    </r>
    <r>
      <rPr>
        <sz val="12"/>
        <color theme="1"/>
        <rFont val="宋体"/>
        <family val="3"/>
        <charset val="134"/>
      </rPr>
      <t>在校本科生需提供官方出具的前三年成绩排名（加盖学校教务处或院系公章）。</t>
    </r>
    <r>
      <rPr>
        <sz val="12"/>
        <color theme="1"/>
        <rFont val="Verdana"/>
        <family val="2"/>
      </rPr>
      <t xml:space="preserve">
5)</t>
    </r>
    <r>
      <rPr>
        <sz val="12"/>
        <color theme="1"/>
        <rFont val="宋体"/>
        <family val="3"/>
        <charset val="134"/>
      </rPr>
      <t>英语</t>
    </r>
    <r>
      <rPr>
        <sz val="12"/>
        <color theme="1"/>
        <rFont val="Verdana"/>
        <family val="2"/>
      </rPr>
      <t>4</t>
    </r>
    <r>
      <rPr>
        <sz val="12"/>
        <color theme="1"/>
        <rFont val="宋体"/>
        <family val="3"/>
        <charset val="134"/>
      </rPr>
      <t>级和或</t>
    </r>
    <r>
      <rPr>
        <sz val="12"/>
        <color theme="1"/>
        <rFont val="Verdana"/>
        <family val="2"/>
      </rPr>
      <t>6</t>
    </r>
    <r>
      <rPr>
        <sz val="12"/>
        <color theme="1"/>
        <rFont val="宋体"/>
        <family val="3"/>
        <charset val="134"/>
      </rPr>
      <t>级通过证书或成绩单复印件。</t>
    </r>
    <r>
      <rPr>
        <sz val="12"/>
        <color theme="1"/>
        <rFont val="Verdana"/>
        <family val="2"/>
      </rPr>
      <t xml:space="preserve">
6)</t>
    </r>
    <r>
      <rPr>
        <sz val="12"/>
        <color theme="1"/>
        <rFont val="宋体"/>
        <family val="3"/>
        <charset val="134"/>
      </rPr>
      <t>如果有在核心刊物或会议上发表的学术论文、出版物或取得具有学术水平的工作成果，请提交复印件或证明信。</t>
    </r>
    <r>
      <rPr>
        <sz val="12"/>
        <color theme="1"/>
        <rFont val="Verdana"/>
        <family val="2"/>
      </rPr>
      <t xml:space="preserve">
7)</t>
    </r>
    <r>
      <rPr>
        <sz val="12"/>
        <color theme="1"/>
        <rFont val="宋体"/>
        <family val="3"/>
        <charset val="134"/>
      </rPr>
      <t>如果在学期间从事课外科技活动中有获奖或突出表现，请提交由学校教务部门出具并加盖公章的证明材料。</t>
    </r>
    <r>
      <rPr>
        <sz val="12"/>
        <color theme="1"/>
        <rFont val="Verdana"/>
        <family val="2"/>
      </rPr>
      <t xml:space="preserve">
8)</t>
    </r>
    <r>
      <rPr>
        <sz val="12"/>
        <color theme="1"/>
        <rFont val="宋体"/>
        <family val="3"/>
        <charset val="134"/>
      </rPr>
      <t>学位、学历证书的复印件（往届生提交）。</t>
    </r>
    <r>
      <rPr>
        <sz val="12"/>
        <color theme="1"/>
        <rFont val="Verdana"/>
        <family val="2"/>
      </rPr>
      <t xml:space="preserve">
9)</t>
    </r>
    <r>
      <rPr>
        <sz val="12"/>
        <color theme="1"/>
        <rFont val="宋体"/>
        <family val="3"/>
        <charset val="134"/>
      </rPr>
      <t>建议提供两份由申请攻读学位学科有关的副教授（或相当职称）以上专家的“专家推荐信”，推荐信不限格式但须由推荐专家密封并在封口处签字。</t>
    </r>
  </si>
  <si>
    <t>具体活动安排将根据教育部和北京市的相关政策另行通知。</t>
  </si>
  <si>
    <t>截止日期6月25日24：00</t>
  </si>
  <si>
    <t>2021年7月13日-15日</t>
  </si>
  <si>
    <r>
      <t>1) PTN</t>
    </r>
    <r>
      <rPr>
        <sz val="12"/>
        <color theme="1"/>
        <rFont val="宋体"/>
        <family val="3"/>
        <charset val="134"/>
      </rPr>
      <t>项目申请表（学生网上信息采集系统生成并打印）</t>
    </r>
    <r>
      <rPr>
        <sz val="12"/>
        <color theme="1"/>
        <rFont val="Verdana"/>
        <family val="2"/>
      </rPr>
      <t xml:space="preserve">
2) </t>
    </r>
    <r>
      <rPr>
        <sz val="12"/>
        <color theme="1"/>
        <rFont val="宋体"/>
        <family val="3"/>
        <charset val="134"/>
      </rPr>
      <t>本人自述（中英文均可）。</t>
    </r>
    <r>
      <rPr>
        <sz val="12"/>
        <color theme="1"/>
        <rFont val="Verdana"/>
        <family val="2"/>
      </rPr>
      <t xml:space="preserve">
3) </t>
    </r>
    <r>
      <rPr>
        <sz val="12"/>
        <color theme="1"/>
        <rFont val="宋体"/>
        <family val="3"/>
        <charset val="134"/>
      </rPr>
      <t>历年在校学习成绩单，并加盖学校教务处或院系公章，密封后在该信封的封口处加盖公章（本科和硕士阶段）。</t>
    </r>
    <r>
      <rPr>
        <sz val="12"/>
        <color theme="1"/>
        <rFont val="Verdana"/>
        <family val="2"/>
      </rPr>
      <t xml:space="preserve">
4) </t>
    </r>
    <r>
      <rPr>
        <sz val="12"/>
        <color theme="1"/>
        <rFont val="宋体"/>
        <family val="3"/>
        <charset val="134"/>
      </rPr>
      <t>在校本科生需提供官方出具的前三年成绩排名（加盖学校教务处或院系公章后）。</t>
    </r>
    <r>
      <rPr>
        <sz val="12"/>
        <color theme="1"/>
        <rFont val="Verdana"/>
        <family val="2"/>
      </rPr>
      <t xml:space="preserve">
5) </t>
    </r>
    <r>
      <rPr>
        <sz val="12"/>
        <color theme="1"/>
        <rFont val="宋体"/>
        <family val="3"/>
        <charset val="134"/>
      </rPr>
      <t>英语成绩单复印件。国家英语四级考试成绩</t>
    </r>
    <r>
      <rPr>
        <sz val="12"/>
        <color theme="1"/>
        <rFont val="Verdana"/>
        <family val="2"/>
      </rPr>
      <t>500</t>
    </r>
    <r>
      <rPr>
        <sz val="12"/>
        <color theme="1"/>
        <rFont val="宋体"/>
        <family val="3"/>
        <charset val="134"/>
      </rPr>
      <t>分（含）以上，或国家英语六级考试成绩</t>
    </r>
    <r>
      <rPr>
        <sz val="12"/>
        <color theme="1"/>
        <rFont val="Verdana"/>
        <family val="2"/>
      </rPr>
      <t>470</t>
    </r>
    <r>
      <rPr>
        <sz val="12"/>
        <color theme="1"/>
        <rFont val="宋体"/>
        <family val="3"/>
        <charset val="134"/>
      </rPr>
      <t>（含）以上。</t>
    </r>
    <r>
      <rPr>
        <sz val="12"/>
        <color theme="1"/>
        <rFont val="Verdana"/>
        <family val="2"/>
      </rPr>
      <t xml:space="preserve">GRE </t>
    </r>
    <r>
      <rPr>
        <sz val="12"/>
        <color theme="1"/>
        <rFont val="宋体"/>
        <family val="3"/>
        <charset val="134"/>
      </rPr>
      <t>成绩</t>
    </r>
    <r>
      <rPr>
        <sz val="12"/>
        <color theme="1"/>
        <rFont val="Verdana"/>
        <family val="2"/>
      </rPr>
      <t>300</t>
    </r>
    <r>
      <rPr>
        <sz val="12"/>
        <color theme="1"/>
        <rFont val="宋体"/>
        <family val="3"/>
        <charset val="134"/>
      </rPr>
      <t>分</t>
    </r>
    <r>
      <rPr>
        <sz val="12"/>
        <color theme="1"/>
        <rFont val="Verdana"/>
        <family val="2"/>
      </rPr>
      <t>(</t>
    </r>
    <r>
      <rPr>
        <sz val="12"/>
        <color theme="1"/>
        <rFont val="宋体"/>
        <family val="3"/>
        <charset val="134"/>
      </rPr>
      <t>含</t>
    </r>
    <r>
      <rPr>
        <sz val="12"/>
        <color theme="1"/>
        <rFont val="Verdana"/>
        <family val="2"/>
      </rPr>
      <t>)</t>
    </r>
    <r>
      <rPr>
        <sz val="12"/>
        <color theme="1"/>
        <rFont val="宋体"/>
        <family val="3"/>
        <charset val="134"/>
      </rPr>
      <t>以上（</t>
    </r>
    <r>
      <rPr>
        <sz val="12"/>
        <color theme="1"/>
        <rFont val="Verdana"/>
        <family val="2"/>
      </rPr>
      <t>2017</t>
    </r>
    <r>
      <rPr>
        <sz val="12"/>
        <color theme="1"/>
        <rFont val="宋体"/>
        <family val="3"/>
        <charset val="134"/>
      </rPr>
      <t>年</t>
    </r>
    <r>
      <rPr>
        <sz val="12"/>
        <color theme="1"/>
        <rFont val="Verdana"/>
        <family val="2"/>
      </rPr>
      <t>9</t>
    </r>
    <r>
      <rPr>
        <sz val="12"/>
        <color theme="1"/>
        <rFont val="宋体"/>
        <family val="3"/>
        <charset val="134"/>
      </rPr>
      <t>月</t>
    </r>
    <r>
      <rPr>
        <sz val="12"/>
        <color theme="1"/>
        <rFont val="Verdana"/>
        <family val="2"/>
      </rPr>
      <t>1</t>
    </r>
    <r>
      <rPr>
        <sz val="12"/>
        <color theme="1"/>
        <rFont val="宋体"/>
        <family val="3"/>
        <charset val="134"/>
      </rPr>
      <t>日后参加考试）。</t>
    </r>
    <r>
      <rPr>
        <sz val="12"/>
        <color theme="1"/>
        <rFont val="Verdana"/>
        <family val="2"/>
      </rPr>
      <t>TOEFL</t>
    </r>
    <r>
      <rPr>
        <sz val="12"/>
        <color theme="1"/>
        <rFont val="宋体"/>
        <family val="3"/>
        <charset val="134"/>
      </rPr>
      <t>成绩</t>
    </r>
    <r>
      <rPr>
        <sz val="12"/>
        <color theme="1"/>
        <rFont val="Verdana"/>
        <family val="2"/>
      </rPr>
      <t>95</t>
    </r>
    <r>
      <rPr>
        <sz val="12"/>
        <color theme="1"/>
        <rFont val="宋体"/>
        <family val="3"/>
        <charset val="134"/>
      </rPr>
      <t>分</t>
    </r>
    <r>
      <rPr>
        <sz val="12"/>
        <color theme="1"/>
        <rFont val="Verdana"/>
        <family val="2"/>
      </rPr>
      <t>(</t>
    </r>
    <r>
      <rPr>
        <sz val="12"/>
        <color theme="1"/>
        <rFont val="宋体"/>
        <family val="3"/>
        <charset val="134"/>
      </rPr>
      <t>含</t>
    </r>
    <r>
      <rPr>
        <sz val="12"/>
        <color theme="1"/>
        <rFont val="Verdana"/>
        <family val="2"/>
      </rPr>
      <t>)</t>
    </r>
    <r>
      <rPr>
        <sz val="12"/>
        <color theme="1"/>
        <rFont val="宋体"/>
        <family val="3"/>
        <charset val="134"/>
      </rPr>
      <t>以上（</t>
    </r>
    <r>
      <rPr>
        <sz val="12"/>
        <color theme="1"/>
        <rFont val="Verdana"/>
        <family val="2"/>
      </rPr>
      <t>2020</t>
    </r>
    <r>
      <rPr>
        <sz val="12"/>
        <color theme="1"/>
        <rFont val="宋体"/>
        <family val="3"/>
        <charset val="134"/>
      </rPr>
      <t>年</t>
    </r>
    <r>
      <rPr>
        <sz val="12"/>
        <color theme="1"/>
        <rFont val="Verdana"/>
        <family val="2"/>
      </rPr>
      <t>9</t>
    </r>
    <r>
      <rPr>
        <sz val="12"/>
        <color theme="1"/>
        <rFont val="宋体"/>
        <family val="3"/>
        <charset val="134"/>
      </rPr>
      <t>月</t>
    </r>
    <r>
      <rPr>
        <sz val="12"/>
        <color theme="1"/>
        <rFont val="Verdana"/>
        <family val="2"/>
      </rPr>
      <t>1</t>
    </r>
    <r>
      <rPr>
        <sz val="12"/>
        <color theme="1"/>
        <rFont val="宋体"/>
        <family val="3"/>
        <charset val="134"/>
      </rPr>
      <t>日后参加考试）。雅思（</t>
    </r>
    <r>
      <rPr>
        <sz val="12"/>
        <color theme="1"/>
        <rFont val="Verdana"/>
        <family val="2"/>
      </rPr>
      <t>A</t>
    </r>
    <r>
      <rPr>
        <sz val="12"/>
        <color theme="1"/>
        <rFont val="宋体"/>
        <family val="3"/>
        <charset val="134"/>
      </rPr>
      <t>类）成绩</t>
    </r>
    <r>
      <rPr>
        <sz val="12"/>
        <color theme="1"/>
        <rFont val="Verdana"/>
        <family val="2"/>
      </rPr>
      <t>6.0</t>
    </r>
    <r>
      <rPr>
        <sz val="12"/>
        <color theme="1"/>
        <rFont val="宋体"/>
        <family val="3"/>
        <charset val="134"/>
      </rPr>
      <t>分</t>
    </r>
    <r>
      <rPr>
        <sz val="12"/>
        <color theme="1"/>
        <rFont val="Verdana"/>
        <family val="2"/>
      </rPr>
      <t>(</t>
    </r>
    <r>
      <rPr>
        <sz val="12"/>
        <color theme="1"/>
        <rFont val="宋体"/>
        <family val="3"/>
        <charset val="134"/>
      </rPr>
      <t>含</t>
    </r>
    <r>
      <rPr>
        <sz val="12"/>
        <color theme="1"/>
        <rFont val="Verdana"/>
        <family val="2"/>
      </rPr>
      <t>)</t>
    </r>
    <r>
      <rPr>
        <sz val="12"/>
        <color theme="1"/>
        <rFont val="宋体"/>
        <family val="3"/>
        <charset val="134"/>
      </rPr>
      <t>以上（</t>
    </r>
    <r>
      <rPr>
        <sz val="12"/>
        <color theme="1"/>
        <rFont val="Verdana"/>
        <family val="2"/>
      </rPr>
      <t>2020</t>
    </r>
    <r>
      <rPr>
        <sz val="12"/>
        <color theme="1"/>
        <rFont val="宋体"/>
        <family val="3"/>
        <charset val="134"/>
      </rPr>
      <t>年</t>
    </r>
    <r>
      <rPr>
        <sz val="12"/>
        <color theme="1"/>
        <rFont val="Verdana"/>
        <family val="2"/>
      </rPr>
      <t>9</t>
    </r>
    <r>
      <rPr>
        <sz val="12"/>
        <color theme="1"/>
        <rFont val="宋体"/>
        <family val="3"/>
        <charset val="134"/>
      </rPr>
      <t>月</t>
    </r>
    <r>
      <rPr>
        <sz val="12"/>
        <color theme="1"/>
        <rFont val="Verdana"/>
        <family val="2"/>
      </rPr>
      <t>1</t>
    </r>
    <r>
      <rPr>
        <sz val="12"/>
        <color theme="1"/>
        <rFont val="宋体"/>
        <family val="3"/>
        <charset val="134"/>
      </rPr>
      <t>日后参加考试）。</t>
    </r>
    <r>
      <rPr>
        <sz val="12"/>
        <color theme="1"/>
        <rFont val="Verdana"/>
        <family val="2"/>
      </rPr>
      <t xml:space="preserve">
6) </t>
    </r>
    <r>
      <rPr>
        <sz val="12"/>
        <color theme="1"/>
        <rFont val="宋体"/>
        <family val="3"/>
        <charset val="134"/>
      </rPr>
      <t>如果有在核心刊物或会议上发表的学术论文、出版物或取得具有学术水平的工作成果，请提交复印件或证明信。</t>
    </r>
    <r>
      <rPr>
        <sz val="12"/>
        <color theme="1"/>
        <rFont val="Verdana"/>
        <family val="2"/>
      </rPr>
      <t xml:space="preserve">
7) </t>
    </r>
    <r>
      <rPr>
        <sz val="12"/>
        <color theme="1"/>
        <rFont val="宋体"/>
        <family val="3"/>
        <charset val="134"/>
      </rPr>
      <t>如果在学期间从事课外科技活动中有获奖或突出表现，请提交由学校教务部门出具并加盖公章的证明材料。</t>
    </r>
    <r>
      <rPr>
        <sz val="12"/>
        <color theme="1"/>
        <rFont val="Verdana"/>
        <family val="2"/>
      </rPr>
      <t xml:space="preserve">
8) </t>
    </r>
    <r>
      <rPr>
        <sz val="12"/>
        <color theme="1"/>
        <rFont val="宋体"/>
        <family val="3"/>
        <charset val="134"/>
      </rPr>
      <t>学位、学历证书的复印件（往届生提交）。如持境外获得的学历学位证书，须提交教育部留学服务中心提供的学历学位认证证明。</t>
    </r>
    <r>
      <rPr>
        <sz val="12"/>
        <color theme="1"/>
        <rFont val="Verdana"/>
        <family val="2"/>
      </rPr>
      <t xml:space="preserve">
9) </t>
    </r>
    <r>
      <rPr>
        <sz val="12"/>
        <color theme="1"/>
        <rFont val="宋体"/>
        <family val="3"/>
        <charset val="134"/>
      </rPr>
      <t>提供两份由申请攻读学位学科有关的副教授（或相当职称）以上专家的</t>
    </r>
    <r>
      <rPr>
        <sz val="12"/>
        <color theme="1"/>
        <rFont val="Verdana"/>
        <family val="2"/>
      </rPr>
      <t>“</t>
    </r>
    <r>
      <rPr>
        <sz val="12"/>
        <color theme="1"/>
        <rFont val="宋体"/>
        <family val="3"/>
        <charset val="134"/>
      </rPr>
      <t>专家推荐信</t>
    </r>
    <r>
      <rPr>
        <sz val="12"/>
        <color theme="1"/>
        <rFont val="Verdana"/>
        <family val="2"/>
      </rPr>
      <t>”</t>
    </r>
    <r>
      <rPr>
        <sz val="12"/>
        <color theme="1"/>
        <rFont val="宋体"/>
        <family val="3"/>
        <charset val="134"/>
      </rPr>
      <t>（下载空表请专家填写并签字），推荐信须由推荐专家密封并在封口处签字。</t>
    </r>
  </si>
  <si>
    <t>达到所在高校推荐免试生要求;</t>
  </si>
  <si>
    <t>未举办</t>
  </si>
  <si>
    <t>1、学术报告;2、参观、了解;3、交流、座谈，评选优秀学员</t>
  </si>
  <si>
    <t>5.1-6.16</t>
  </si>
  <si>
    <t>7.5-7.7</t>
  </si>
  <si>
    <t>正式书面版申请书(从网上申请系统中打印出来、相关栏目签字、加盖公章)、本科成绩单(由教务处或院系盖章)以及其他证明材料(如：英语水平证明，发表论文、专利，各类获奖或资格证书等)</t>
  </si>
  <si>
    <t>提供免费食、宿，并按不高于火车普通座的标准实额报销来程路费</t>
  </si>
  <si>
    <t>专家学者学术报告、夏令营座谈会(与专家学者、导师代表座谈)等方式，</t>
  </si>
  <si>
    <t>6.30截止</t>
  </si>
  <si>
    <t>7.7-7.8</t>
  </si>
  <si>
    <t>5月15日9:00-6月15日17:00</t>
  </si>
  <si>
    <t>2021年7月上旬</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</si>
  <si>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5.报名直博生须提交2封副高级职称以上专家撰写《专家推荐书》。</t>
  </si>
  <si>
    <t>在所就读学校具有推荐免试研究生资格(本科前三学年总评成绩一般在年级前15%)</t>
  </si>
  <si>
    <t>初步选拔有潜质的优秀学生加入我们的研究队伍。</t>
  </si>
  <si>
    <t>5月10日截止</t>
  </si>
  <si>
    <t>申请表、个人简历、成绩单(官方出具)、证书复印件等材料</t>
  </si>
  <si>
    <t>“出发地至北京”往返的硬座或硬卧交通补助，凭火车票办理报销。</t>
  </si>
  <si>
    <t>6月20日截止</t>
  </si>
  <si>
    <t>申请表-个人简历-成绩单（官方出具）-英语成绩证明材料-其他证明材料。</t>
  </si>
  <si>
    <t xml:space="preserve">生物医学工程及其相关专业本科三年级学生（2022年毕业；985/211高校优先）。 在所就读学校具有推荐免试研究生资格（本科前三学年总评成绩一般在年级前15％）。                </t>
  </si>
  <si>
    <t>线上活动为主要方式</t>
  </si>
  <si>
    <t>截止时间为6月20日</t>
  </si>
  <si>
    <t>2021年7月9日 星期五</t>
  </si>
  <si>
    <t>申请表-个人简历-成绩单（官方出具）-英语成绩证明材料-其他证明材料</t>
  </si>
  <si>
    <t>生命医学</t>
  </si>
  <si>
    <t>6.20日截止</t>
  </si>
  <si>
    <t>1、网上报名后生成的表格打印后本人签字；
2、专家推荐信2封；生命科学夏令营推荐信模版请在夏令营网站中“文件下载”中下载。
3、前两年半成绩单（有学校教务部门或所在院系公章）与总评成绩排名证明（有学校教务部门或所在院系公章）；
4、能体现自身能力的获奖证书复印件、英语水平证明、学术论文等</t>
  </si>
  <si>
    <t>为录取的营员提供食宿以及相关活动的资助。录取为我校研究生的夏令营营员可在2019年9月份入学后报销往返路费</t>
  </si>
  <si>
    <t>7.15-7.28</t>
  </si>
  <si>
    <t>1、网上报名后生成的表格打印后本人签字；
2、专家推荐信2封；推荐信模版请在夏令营网站中“文件下载”中下载。
3、前两年半成绩单（有学校教务部门公章）与总评成绩排名证明（有学校教务部门或所在院系公章）；
4、能体现自身能力的获奖证书复印件、英语水平证明、学术论文等</t>
  </si>
  <si>
    <t>1、网上报名后生成的表格打印后本人签字；
2、专家推荐信2封； 生命医学夏令营推荐信模版请在夏令营网站中“文件下载”中下载。
3、前两年半成绩单（有学校教务部门公章）与总评成绩排名证明（有学校教务部门或所在院系公章）；
4、能体现自身能力的获奖证书复印件、英语水平证明、学术论文等</t>
  </si>
  <si>
    <t>形式待定，另行通知</t>
  </si>
  <si>
    <t>各院系不同</t>
  </si>
  <si>
    <t>2021年6月30日截至</t>
  </si>
  <si>
    <t>各院系共计4000余人</t>
  </si>
  <si>
    <t>登录中国科学技术大学夏令营官网http://xly.ustc.edu.cn/，点击网上报名模块，选择登录网上报名系统http://tqms.ustc.edu.cn/进行在线报名（预面试/夏令营均在此报名）并上传相关材料</t>
  </si>
  <si>
    <t>1.近期正面免冠彩色证件照片，电子版JPG格式，150×200像素，大小100K以内；
2.本科阶段历年成绩单（须加盖教务处或院系公章），JPG或PDF格式；
3.外语水平证明，如CET四六级成绩、雅思、托福、专业英语等；
4.有关获奖证书和学术科研成果，如发表论文、出版物或其他原创性工作；
5.招生院系要求上传的其他材料。纸质材料包括但不限于：（1）1份《复旦大学全国优秀大学生夏令营（推免生预报名）申请表》；（2）申请直接攻博生的须提交两封专家推荐信；（3）招生院系要求的其他材料。</t>
  </si>
  <si>
    <t>1．网上申请上传材料
（1）近期正面免冠彩色证件照片，电子版JPG格式，150×200像素，大小30K以内；
（2）本科阶段历年成绩单（须加盖教务处或院系公章），JPG或PDF格式；
（3）外语水平证明，如CET四、六级成绩等；
（4）有关获奖证书和学术科研成果（发表论文、出版物或原创性工作）；
（5）其他各招生单位要求上传的材料。
请根据各院系夏令营报名通知中的具体要求上传材料。
2．确认并提交网上申请后打印材料（统一用A4纸）
（1）《复旦大学全国优秀大学生夏令营申请表》1份；
（2）《复旦大学全国优秀大学生夏令营专家推荐信》2封。</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</si>
  <si>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5.招生院系要求上传的其他材料。</t>
  </si>
  <si>
    <t>主要以线上为主</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</si>
  <si>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（5）招生院系要求上传的其他材料。
部分院系还会要求寄送或提交纸质材料，请按相应要求办理。</t>
  </si>
  <si>
    <t>成绩优秀，功底扎实，</t>
  </si>
  <si>
    <t>开营仪式统一测试实验室参观、课题组交流和联谊 师生交流、校园参观营员个人风采展示及专业面试</t>
  </si>
  <si>
    <t>7.18-7.20</t>
  </si>
  <si>
    <t>①《优秀大学生暑期夏令营申请表》(进行网上报名并确认后生成此表，按照系统提示打印此表，本人签字);②加盖教务处公章的本科学习成绩单和专业排名证明;③《南开大学生命科学学院2018年夏令营申请表》(附件下载);④副教授以上级别的专家推荐信2封(附件下载，需专家亲笔签字);　⑤其他证明材料，包括：国家英语四、六级考试成绩或其他英语水平的证明复印件;获奖证书或科研成果证明复印件;本人代表性学术论文、出版物或原创性成果等。</t>
  </si>
  <si>
    <t>英语水平良好 通过大学英语六级或通过托福(高于90分)、雅思(高于6分)、GRE(高于260分)之一</t>
  </si>
  <si>
    <t>学院介绍、课题组交流和联谊、营员个人风采展示、校园参观等活动</t>
  </si>
  <si>
    <t>6月12日前</t>
  </si>
  <si>
    <t>7月8日-10日</t>
  </si>
  <si>
    <t>①《优秀大学生暑期夏令营申请表》(进行网上报名并确认后生成此表，按照系统提示打印此表，本人签字)
② 加盖教务处公章的本科学习成绩单和专业排名证明
③《南开大学生命科学学院2019年夏令营申请表》(附件下载)
④ 副教授以上级别的专家推荐信2封(附件下载，需专家亲笔签字)
⑤ 其他证明材料，包括：国家英语四、六级考试成绩或其他英语水平的证明复印件获奖证书或科研成果证明复印件本人代表性学术论文、出版物或原创性成果等。</t>
  </si>
  <si>
    <t>开营仪式、学院和学科介绍、师生交流、个人风采展示</t>
  </si>
  <si>
    <t>6月20日前</t>
  </si>
  <si>
    <t>a.《优秀大学生暑期夏令营申请表》（进行网上报名并确认后生成此表，按照系统提示打印此表，本人签字）；
b.加盖教务处公章的本科学习成绩单和专业排名证明；
c.《南开大学生命科学学院2020年夏令营申请表》；
d.副教授以上级别的专家推荐信2封（需专家亲笔签字或电子签名）；
e.其他证明材料，包括：国家英语四、六级考试成绩或其他英语水平的证明复印件；获奖证书或科研成果证明复印件；本人代表性学术论文、出版物或原创性成果等。</t>
  </si>
  <si>
    <t>活动内容包括开营仪式、学院和学科介绍、师生交流、个人风采展示等环节</t>
  </si>
  <si>
    <t>2021年5月19日-2021年6月18日（周五）中午12:00</t>
  </si>
  <si>
    <t>①《南开大学2022年推荐免试研究生报名信息表》（进行网上报名并确认后生成此表，按照系统提示打印此表，本人签字）；
② 加盖教务处公章的本科学习成绩单和专业排名证明；
③《南开大学生命科学学院2021年夏令营申请表》（附件下载）；
④ 副教授以上级别的专家推荐信2封（附件下载，需专家亲笔签字或电子签名）；
⑤ 其他证明材料，包括：国家英语四、六级考试成绩或其他英语水平的证明复印件；获奖证书或科研成果证明复印件；本人代表性学术论文、出版物或原创性成果等。</t>
  </si>
  <si>
    <t>成绩优秀，能取得所在院校的推荐免试资格</t>
  </si>
  <si>
    <t>英语水平良好，达到国家六级或相当水平</t>
  </si>
  <si>
    <t>宣讲、参观、交流和面试等</t>
  </si>
  <si>
    <t>6月16日截止</t>
  </si>
  <si>
    <t>7月6日-8日</t>
  </si>
  <si>
    <t>1.夏令营申请表（见第二条推送），填写后学校教务处或院系负责人签字盖章；
2.个人简历及个人陈述（包括兴趣、特点、经历以及你选择北京大学药学院和应该被录取的理由），无特殊格式要求；
3.本科历年成绩单１份，须加盖所在学校教务部门公章；
4.英语六级水平证书或相关成绩证明；
5.其他有关能力的证明材料（如：发表论文、专利，各类获奖等）6. 两位副教授或以上专家的推荐信，并请推荐人本人直接发送电子邮件至：hanj@bjmu.edu.cn，负责老师和相关导师可能直接和推荐人联系</t>
  </si>
  <si>
    <t>提供学校食堂餐卡（不包括本校学生），并为京外营员提供住宿（两天）和优秀营员报销往返交通费用（不超过高铁二等座），需提供住宿的人数限定为40人。</t>
  </si>
  <si>
    <t>6月14日截止</t>
  </si>
  <si>
    <t>为外埠营员免费提供夏令营期间在京的食宿。本次夏令营外埠营员拟招收40人左右，京内营员人数不限，均择优入营。</t>
  </si>
  <si>
    <t xml:space="preserve">1.夏令营申请表（见附件1），填写打印后，学校/学院教务处或院系负责人签字盖章；
2.个人简历及个人陈述（包括兴趣、特点、经历以及你选择北京大学药学院和应该被录取的理由），无特殊格式要求，需在最后手写签名；
3.本科历年成绩单１份，须加盖所在学校或学院教务部门公章；
4.英语六级水平证书或相关英语成绩证明；
5.两位副教授（或相当职称）或以上专家的推荐信（模板见附件2）；
6.其他有关能力的证明材料（如：发表论文、专利，各类获奖等）。 </t>
  </si>
  <si>
    <t>英语水平良好，达到国家六级或相当水平，科研潜力突出者可适当放宽。</t>
  </si>
  <si>
    <t>6月10日晚12点截止</t>
  </si>
  <si>
    <t>1.夏令营申请表（见附件1），填写打印后，学校/学院教务处或院系负责人签字盖章；
2.个人简历及个人陈述（包括兴趣、特点、经历以及你选择北京大学药学院和应该被录取的理由），无特殊格式要求，需在最后手写签名；
3.本科历年成绩单１份，须加盖所在学校或学院教务部门公章；
4.英语六级水平证书或相关英语成绩证明；
5.两位副教授（或相当职称）或以上专家的推荐信（模板见附件2）；
7.其他有关能力的证明材料（如：发表论文、专利，各类获奖等）。</t>
  </si>
  <si>
    <t>本科学习成绩优秀</t>
  </si>
  <si>
    <t>开营仪式参观仪器平台及实验室专业课笔试面试</t>
  </si>
  <si>
    <t>7.2截止</t>
  </si>
  <si>
    <t>7月16-17日</t>
  </si>
  <si>
    <t>①《优秀大学生暑期夏令营申请表》（网上报名并经审核通过后生成此表，按系统提示进行打印）；② 加盖本科院校教务处公章的本科学习成绩单和成绩排名证明；③其他证明材料，包括：国家英语四、六级考试成绩或其他英语水平的证明复印件；获奖证书或科研成果证明复印件；本人代表性学术论文、出版物或原创性成果等。</t>
  </si>
  <si>
    <t>6.10截止</t>
  </si>
  <si>
    <t>7.1-7.3</t>
  </si>
  <si>
    <t xml:space="preserve">①《优秀大学生暑期夏令营申请表》（进行网上报名并确认后生成此表，按照系统提示打印此表，本人签字）；
② 加盖教务处公章的本科学习成绩单和专业排名证明；
③《南开大学药学院2019 年夏令营申请表》（附件下载）；
④ 副教授以上级别的专家推荐信2 封（附件下载，需专家亲笔签字）；
⑤ 其他证明材料，包括：国家英语四、六级考试成绩或其他英语水平的证明复印件；获奖证书或科研成果证明复印件；本人代表性学术论文、出版物或原创性成果等。 </t>
  </si>
  <si>
    <t>英语水平良好，通过大学英语六级或通过托福（高于90分）、雅思（高于6分）、GRE（高于260分）之一</t>
  </si>
  <si>
    <t>学院及学科介绍，与青年科学家畅谈信息科学前沿；参观实验室，体验我院科研环境及实验平台建设</t>
  </si>
  <si>
    <t>6.15截止</t>
  </si>
  <si>
    <t>（1）《优秀大学生暑期夏令营申请表》（进行网上报名并确认后生成此表，按照系统提示打印此表，本人签字）；
（2）个人简历
（3）加盖教务处公章的本科学习成绩单和专业排名证明；
（4）副教授以上级别的专家推荐信2封（附件下载，需专家亲笔签字）；
（5）其他证明材料，包括：科研成果（发表论文等，论文仅提供首页即可）、毕业论文摘要、英语四六级成绩单、其他考生认为需要展示的材料。</t>
  </si>
  <si>
    <t>英语水平良好，符合以下任意一条：（1）通过全国大学英语六级考试,成绩425分或更高；（2）TOEFL成绩90分及以上；（3）IELTS（A类/学术类）成绩6分及以上；（4）GRE成绩在310以上，GMAT成绩在640以上；（5）英语专业四级（及以上）考试合格。</t>
  </si>
  <si>
    <t xml:space="preserve">（1）《南开大学2022年推荐免试研究生报名信息表》（进行网上报名并确认后生成此表，按照系统提示打印此表，本人签字）；
（2）个人简历
（3）加盖教务处公章的本科学习成绩单和专业排名证明；
（4）副教授以上级别的专家推荐信2封（附件下载，需专家亲笔签字）；
（5）其他证明材料，包括：科研成果（发表论文等，论文仅提供首页即可）、毕业论文摘要、英语四六级成绩单、其他考生认为需要展示的材料。
</t>
  </si>
  <si>
    <t xml:space="preserve">1、夏令营不收取任何费用，统一安排夏令营期间营员食宿。2、学院将为入选营员统一购买夏令营活动期间的团体意外保险。
</t>
  </si>
  <si>
    <t>达到所在高校推荐免试生要求；</t>
  </si>
  <si>
    <t xml:space="preserve"> 1、学术报告；2、参观、了解；3、交流、座谈，评选优秀学员。 </t>
  </si>
  <si>
    <t>5月7日至6月1日</t>
  </si>
  <si>
    <t>6月16-18日</t>
  </si>
  <si>
    <t>170名</t>
  </si>
  <si>
    <t>正式书面版申请表（从网上申请系统中打印出来、相关栏目签字、加盖公章）、本科成绩单（由教务处或院系盖章）以及其他证明材料（如：英语水平证明，发表论文、专利，各类获奖或资格证书等）</t>
  </si>
  <si>
    <t>5月1日至6月16日</t>
  </si>
  <si>
    <t>提供免费食、宿，并按不高于火车普通座的标准实额报销来程路费。（上海高校大学生不提供住宿</t>
  </si>
  <si>
    <t>6月1日至6月25日</t>
  </si>
  <si>
    <t>7月5日- 7月9日</t>
  </si>
  <si>
    <t>1.近期正面免冠彩色证件照片，电子版JPG格式，150×200像素，大小500K以内。
2.本科阶段历年成绩单（须加盖教务处或院系公章），JPG或PDF格式。
3.外语水平证明，如CET六级、雅思、托福、专业外语成绩等。
4.有关获奖证书和学术科研成果，如发表论文、出版物或其他原创性工作。
5.其他获奖证明材料（体现自身学术水平的代表性学术论文PDF格式、获奖证书扫描件等）。</t>
  </si>
  <si>
    <t>学习成绩优秀（“985”高校生源在本科期间总评成绩排名年级前30%，“211”高校生源在本科期间总评成绩排名年级前20%，省属重点高校生源在本科期间总评成绩排名年级前10%），并能取得所在学校研究生推荐免试资格</t>
  </si>
  <si>
    <t>国家英语四级考试成绩达到425分及以上。</t>
  </si>
  <si>
    <t>5月15日-6月10日</t>
  </si>
  <si>
    <t>7月8日-13日</t>
  </si>
  <si>
    <t>1.夏令营申请表（厦门大学大学生夏令营网上报名系统自动生成，网址为：http://ssyjsbm.xmu.edu.cn/）
2.本人简历；
3.成绩单（申请之日所能提供的成绩单，需所在学院出具证明）；
4.成绩排名（所在学院出具）；
5.专家（教授或副教授）推荐信2份；
6.其他证明材料（获奖证书、国家英语四、六级证书和雅思、托福成绩单等证明材料的复印件）。</t>
  </si>
  <si>
    <t>员提供活动期间在厦的食宿费用。通过推免录取为我院研究生的夏令营营员，可于确定录取后凭票报销往返夏令营的路费</t>
  </si>
  <si>
    <t>通过此次考核并且获得推荐免试研究生资格的夏令营营员，可免予参加我校今年9-10月举行的推荐免试研究生考试</t>
  </si>
  <si>
    <t>5月15日左右-6月10日</t>
  </si>
  <si>
    <t>6月30日-7月5日</t>
  </si>
  <si>
    <t>即日起至6月25日</t>
  </si>
  <si>
    <t xml:space="preserve">1.夏令营申请表(厦门大学大学生夏令营网上报名系统自动生成，网址为：http://ssyjsbm.xmu.edu.cn/)
2.本人简历;
3.成绩单(申请之日所能提供的成绩单，需所在学院出具证明);
4.成绩排名(所在学院出具);
5.(教授或副教授)推荐信2份;
6.其他证明材料(获奖证书、国家英语四、六级证书和雅思、托福成绩单等证明材料的复印件)。 </t>
  </si>
  <si>
    <t>学习成绩优秀（“985”高校生源在本科期间总评成绩排名年级前30%，“211”高校生源在本科期间总评成绩排名年级前20%，省属重点高校生源在本科期间总评成绩排名年级前11%），并能取得所在学校研究生推荐免试资格</t>
  </si>
  <si>
    <t>第一轮线下、第二轮线上</t>
  </si>
  <si>
    <t>第一轮即日起至6月15日；第二轮即日起—8月22日中午12:00。</t>
  </si>
  <si>
    <t>第一轮7月10日-7月17日；第二轮8月24日-8月27日</t>
  </si>
  <si>
    <t>第一轮120名；第二轮150名</t>
  </si>
  <si>
    <t>1.夏令营申请表（网站报名后将申请表打印出来签字）
2.个人陈述；
3.成绩单（申请之日所能提供的成绩单，需加盖学校教务部门公章）；
4.成绩排名（所在学院出具）；
5.专家（教授或副教授）推荐信2份；
6.英语四六级水平证书或相关成绩证明复印件（须加盖就读学院公章）；
7.其他证明材料复印件（获奖证书等证明材料）。</t>
  </si>
  <si>
    <t>我院将为营员提供活动期间在厦的食宿费用（统一安排入住校内学生公寓，并提供蚊帐、草席、线毯、枕头、床垫等5件套寝室用具）。通过推免录取为我院研究生的夏令营营员，可于确定录取后凭票报销往返夏令营的路费（以火车硬座票为标准）。</t>
  </si>
  <si>
    <t>通过此次考核并且获得推荐免试研究生资格的夏令营营员，可免予参加我校今年9-10月举行的推荐免试研究生考试；通过此次考核但未获得推荐免试研究生资格和名额的夏令营营员，如果选择以公开招考方式报考厦门大学2022年硕士研究生，成绩达到相应标准，在同等条件下我校将给予优先录取。</t>
  </si>
  <si>
    <t>华中农业大学</t>
  </si>
  <si>
    <t>生物医学与健康学院</t>
  </si>
  <si>
    <t>学习主动性强，基础理论知识扎实，成绩优良，对学术研究兴趣浓厚</t>
  </si>
  <si>
    <t>英语水平良好，通过大学英语四级考试，通过大学英语六级考试或参加托福、GRE考试者优先。</t>
  </si>
  <si>
    <t>学校和学院介绍、知名学者学术报告、与学院教授交流互动、博士生交流会、学员论坛等。</t>
  </si>
  <si>
    <t>7.5日截止</t>
  </si>
  <si>
    <t>30名</t>
  </si>
  <si>
    <t>1. 填写《2020年生物医学与健康创新人才研修班申请表》；
2. 个人陈述，内容包括申请者的科研经历描述和对未来的科研方向规划（中英均可，1500字以内）；
3. 本科前五学期或七学期学习成绩单（含GPA，须由学校教务部门盖章）；
4. 英语成绩证明，如国家英语四、六级考试成绩单等；
5. 专家推荐信，富有科研潜质的学生，可提供所在学校知名教授推荐信报名（附件2）；
6. 其他证明材料：大学期间所获得的主要奖项、代表性学术论文、专利、出版物或原创性成果等，请提供相应扫描件。</t>
  </si>
  <si>
    <t>1.获得结业证书的学员若在本科学校取得推免生资格并报名申请攻读学院研究生，经政审、体检合格后可优先录取。
2.未取得所在学校“推免资格”的优秀学员，参加2021年硕士研究生招生考试，第一志愿报考学院研究生，初试成绩达到学院相应复试分数线，同等条件下可优先录取。</t>
  </si>
  <si>
    <t>线上线下混合方式</t>
  </si>
  <si>
    <t>主题班会、走进导师、学员论坛等</t>
  </si>
  <si>
    <t>2021年7月6日晚12点整截止</t>
  </si>
  <si>
    <t>1. 填写《2021年生物医学与健康创新人才研修班申请表》（见附件1）；
2. 个人陈述，内容包括申请者的科研经历描述和对未来的科研方向规划（中英均可，800字以内）；
3. 本科前五学期或七学期学习成绩单（含GPA，须由学校教务部门盖章）；
4. 英语成绩证明，如国家英语四、六级考试成绩单等；
5. 专家推荐信，富有科研潜质的学生，可提供所在学校知名教授推荐信（附件2）；
6. 其他证明材料：大学期间所获得的主要奖项、代表性学术论文、专利、出版物或原创性成果等，请提供相应扫描件；
7.扫描二维码，填写报名信息。</t>
  </si>
  <si>
    <t>1. 获得优秀学员的同学，若在本科学校取得推免生资格并报名申请攻读学院研究生，经政审、体检合格后可优先录取。2.未取得所在学校“推免资格”的优秀学员，参加2021年硕士研究生招生考试，第一志愿报考学院研究生，初试成绩达到学院相应复试分数线，同等条件下可优先录取。</t>
  </si>
  <si>
    <t>中国农业大学</t>
  </si>
  <si>
    <t>生物学院</t>
  </si>
  <si>
    <t>本科期间学习优秀，“985”、“211”院校学生GPA和总评成绩在年级前40%；普通院校学生GPA和总评成绩在年级前20%；无不及格现象未受过任何处分，能正常获得本科毕业证书和学士学位证书</t>
  </si>
  <si>
    <t>CET六级成绩≥425分，或TOEFL成绩≥90分，或雅思成绩≥5.5分（英语成绩有效期为5年）；</t>
  </si>
  <si>
    <t>5月15日-6月20日</t>
  </si>
  <si>
    <t>7月23日－27日举办</t>
  </si>
  <si>
    <t>1.本科阶段成绩单一份；2.前两年半或前三年总评成绩排名证明（双学位学生同时附双学位成绩单及排名）；3. 其他证明材料，包括：外语水平相关证明；已发表论文（如有）复印件；各类获奖证书复印件；相关资质材料（如发表文章、参加科技创新活动、发明专利等证书）；4. 两封副教授以上级相关专业的专家推荐信。</t>
  </si>
  <si>
    <t>1.学院将对夏令营表现合格的同学颁发结业证明，对表现优异的学生将优先接收为推荐免试生，保研接收意向证明函将在夏令营结束后发出。
2.持保研接收函学生若因所在校排名原因无法获得免试资格者，如报考我校研究生并达到我校所划定的理学分数线可免复试环节。</t>
  </si>
  <si>
    <t>5月15日-6月15日</t>
  </si>
  <si>
    <t>7月15-19日</t>
  </si>
  <si>
    <t>1.本科阶段成绩单一份；2.前两年半或前三年总评成绩排名证明（双学位学生同时附双学位成绩单及排名）；3. 其他证明材料，包括：外语水平相关证明；已发表论文（如有）复印件；各类获奖证书复印件；相关资质材料（如发表文章、参加科技创新活动、发明专利等证书）；4.两封副教授以上级相关专业的专家推荐信。</t>
  </si>
  <si>
    <t>学院将对夏令营表现合格的同学颁发结业证明，对表现优异的学生将优先接收为推荐免试生，保研接收意向证明函将在夏令营结束后发出。
持保研接收函学生若因所在校排名原因无法获得免试资格者，如报考我校研究生并达到我校所划定的理学分数线可免复试环节。</t>
  </si>
  <si>
    <t>熟练掌握英语，国家外语等级考试六级通过；能取得本科就读学校对外推荐免试资格；</t>
  </si>
  <si>
    <t>5月30日-6月25日。</t>
  </si>
  <si>
    <t>拟于2022年本科毕业的各高校生命科学学科及相关学科本科生，同等条件下“985”、“211”高校学生优先；本科期间学习优秀，“985”、“211”院校学生GPA和总评成绩在年级前40%；普通院校学生GPA和总评成绩在年级前20%；无不及格现象未受过任何处分</t>
  </si>
  <si>
    <t>6月20日24点前</t>
  </si>
  <si>
    <t>生命科学夏令营</t>
  </si>
  <si>
    <t>英语水平良好（原则上应通过大学英语六级考试）</t>
  </si>
  <si>
    <t>主要活动包括“与讲席教授面对面”（施一公、许田等教授向营员介绍生命科学学科前沿最新进展），进入实验室并与PI零距离互动交流，2019年博士研究生初步选拔，参观杭州学习生活大环境等</t>
  </si>
  <si>
    <t>即日起至北京时间2018年6月15日23:59</t>
  </si>
  <si>
    <t>2018年7月16日-7月20日</t>
  </si>
  <si>
    <t>计划招收营员80名</t>
  </si>
  <si>
    <t xml:space="preserve">1) 申请登记表：填写完整的《西湖大学2018年夏令营申请登记表》（见附件1）；
2) 个人陈述：内容涵盖申请者学术科研经历及博士研究计划，须由申请者独立完成，中英文写作皆可，1500字左右（可采用附件2个人陈述参考模板）；
3) 成绩单：高等教育阶段历年在校学习成绩单扫描件（硕士生需同时提供本科和硕士阶段成绩单），并加盖学校教学管理部门或档案管理部门、院系公章；
4) 成绩排名：应届本科毕业生须提供官方出具的在校期间成绩排名扫描件，文件须加盖学校教学管理部门或院系公章；
5) 英语成绩：英语四、六级证书及成绩单或托福、雅思、GRE成绩单等相关英语水平证明文件的扫描件；
6) 学术成果：如有在核心刊物或会议上发表的学术论文、出版物或取得具有学术水平的工作成果（包括已完成待发表的学术论文、参加学术会议提交的poster等），请提交扫描件；
7) 获奖证明：如在校期间从事课外科技活动有获奖或突出表现，请提交获奖证书扫描件、由学校教学管理部门出具并加盖公章的证明材料扫描件；
8) 学历学位证书：应届硕士毕业生须提交本科阶段学历、学位证书的扫描件；
9) 专家推荐信：两封具有副高或以上职称的专家提供的推荐信扫描件，须有专家亲笔签名（可采用附件3专家推荐信参考模板）
</t>
  </si>
  <si>
    <t>为全体营员提供夏令营期间的食宿，并报销营员自学校所在城市到杭州的往返火车票硬座费用</t>
  </si>
  <si>
    <t>英语水平良好（原则上应符合以下条件之一：大学英语六级成绩达到460分以上；托福成绩达到80分以上；或雅思成绩达到5.5及以上）</t>
  </si>
  <si>
    <t>主要活动包括“与讲席教授面对面”（施一公教授等）的学校介绍、学术讲座，与PI零距离交流互动，博士生交流会，参观实验室，选拔优秀夏令营营员，参观杭州学习生活大环境等</t>
  </si>
  <si>
    <t>2019年5月21日12:00起至北京时间2019年6月21日24:00</t>
  </si>
  <si>
    <t>2019年7月15日-7月19日</t>
  </si>
  <si>
    <t xml:space="preserve">1) 申请登记表：填写完整的《西湖大学2019年夏令营申请登记表》（见附件1）；
2) 个人陈述：内容涵盖申请者学术科研经历及博士研究计划，须由申请者独立完成，中英文写作皆可，1500字左右（可采用附件2个人陈述参考模板）；
3) 成绩单：高等教育阶段历年在校学习成绩单扫描件，并加盖学校教学管理部门或档案管理部门、院系公章；
4) 在读证明：在读证明扫描件，并加盖学校教学管理部门或档案管理部门、院系公章；
5) 成绩排名：须提供官方出具的在校期间成绩排名扫描件，文件须加盖学校教学管理部门或院系公章；
6) 英语成绩：英语四、六级证书及成绩单或托福、雅思成绩单等相关英语水平证明文件的扫描件；
7) 专家推荐信：至少两封具有副高或以上职称的专家提供的推荐信（可采用附件3专家推荐信参考模板）。申请者可选择以下任意一种方式提交推荐信：①在申请系统中上传推荐信扫描件，推荐信须专家亲笔签名。②若专家推荐信为密封文件，请在截止日期前将推荐信通过邮寄或快递形式寄送到生命科学学院（以邮戳时间为准），推荐信须专家亲笔签名。③若推荐人只能通过邮件发送推荐信，请在邮件标题注明申请人（被推荐人）的姓名及报名号，邮件必须通过推荐人所在单位工作邮箱直接发送至生命科学学院邮箱，推荐信中须有专家电子签名，否则推荐信视为无效。申请者若选择第二或第三种方式提交推荐信，请在网上申请系统的推荐信附件中上传专家信息及提交方式的简要说明即可；
8) 学术成果：如有在核心刊物或会议上发表的学术论文、出版物或取得具有学术水平的工作成果（包括已完成待发表的学术论文、参加学术会议提交的poster等），请提交扫描件；
9) 获奖证明：如在校期间从事课外科技活动有获奖或突出表现，请提交获奖证书扫描件、由学校教学管理部门出具并加盖公章的证明材料扫描件。
</t>
  </si>
  <si>
    <t>英语水平优秀（原则上应符合以下条件之一：大学英语六级成绩达到460分及以上；托福成绩达到90分及以上；雅思成绩达到6.0及以上）</t>
  </si>
  <si>
    <t>主要活动包括学校介绍、学术讲座、与讲席教授面对面、博士生交流会、实验室参观和优秀夏令营营员选拔等</t>
  </si>
  <si>
    <t>即日起至2020年7月5日24:00（北京时间）</t>
  </si>
  <si>
    <t>2020年7-8月</t>
  </si>
  <si>
    <t>计划招收营员约300名</t>
  </si>
  <si>
    <t xml:space="preserve">1.申请登记表：填写完整的《西湖大学2020年夏令营申请登记表》（详见附件）；
2.个人陈述：内容涵盖申请者学术科研经历及研究计划，须由申请者独立完成，中英文写作皆可，1500字左右（可参考附件个人陈述参考模板）；
3.在读证明：在读证明扫描件，并加盖公章；
4.成绩单：高等教育阶段历年在校学习成绩单扫描件，并加盖学校教学管理部门或院系公章；
5.成绩排名：应届本科生须提供官方出具的前三年成绩排名扫描件，文件须加盖学校教学管理部门或院系公章；
6.英语成绩证明：英语六级证书、托福或雅思等成绩单的相关英语水平证明文件的扫描件；
7.专家推荐信：至少两封具有副高（相关技术职称）及以上职称的专家或博士生导师提供的推荐信。申请者可选择以下任意一种方式提交推荐信：①在申请系统中上传推荐信扫描件，推荐信须专家亲笔签名。②若专家推荐信为密封文件，请在截止日期前将推荐信通过邮寄或快递形式寄送到申请学院（以邮戳时间为准），推荐信须专家亲笔签名。③若推荐人只能通过邮件发送推荐信，请在邮件标题注明申请人（被推荐人）的姓名，邮件须通过推荐人所在单位工作邮箱发送至申请学院邮箱，同时推荐信中须有专家电子签名，否则推荐信视为无效。申请者若选择第②或第③种方式提交推荐信，请在系统的推荐信附件中上传专家信息及提交方式的简要说明；
8.学术成果：如有在核心刊物或会议上发表的学术论文、出版物或取得具有学术水平的工作成果（包括已完成待发表的学术论文、参加学术会议提交的poster等），请提交扫描件；
9.获奖证明：在校期间各类获奖证明或从事课外科技活动有获奖或突出表现，请提交加盖公章的获奖证书扫描件；
10.学历学位证书：申请数学、物理及化学夏令营的2021届应届硕士毕业生须提交本科学历、学位证书的扫描件。
</t>
  </si>
  <si>
    <t>优秀营员如获得所在学校推荐免试攻读研究生资格，符合西湖大学推免生选拔要求，将优先获得西湖大学2021年直接攻读博士研究生资格</t>
  </si>
  <si>
    <t>学术报告、讲席教授面对面、在校博士生交流会、实验室参观和优秀营员选拔等</t>
  </si>
  <si>
    <t>6月14日24:00</t>
  </si>
  <si>
    <t>计划招收营员约400名</t>
  </si>
  <si>
    <t>1.个人陈述：内容涵盖学术科研经历及研究计划，1500字左右（可参考附件模板）；意向导师有外籍PI或者报考工学院夏令营项目，须用英文书写；其他中英文均可；
2.在读证明：须加盖公章，应届毕业生提交；报考理学夏令营的应届硕士毕业生还需提供本科学历学位证书；
3.成绩排名：应届本科生须提供官方出具（加盖公章）的前三年综合排名；
4.成绩单：高等教育阶段历年在校学习成绩单扫描件，并加盖学校教学管理部门或院系公章；
5.英语成绩证明：英语六级证书、托福或雅思等成绩单；
6.学术科研成果：体现自身学术水平的代表性学术科研成果复印件；
7.获奖证明：在校期间从事课外科技活动获奖证明或其他各类获奖证明；
（注意：以上需在系统提交相关材料的扫描件）
8.专家推荐信：两封具有副高（或相关技术职称）及以上专家出具的推荐信。</t>
  </si>
  <si>
    <t>优秀营员获得推免资格或表现特别突出的优秀营员将优先获得西湖大学2022年博士研究生拟录取资格。</t>
  </si>
  <si>
    <t>来自“双一流”学校或学科，本科总评成绩排名年级前20%或其它高校特别优秀、能取得推免资格的学生</t>
  </si>
  <si>
    <t>1、7月16日：各研究所报到;
2、7月17日：学院夏令营开营仪式，校史馆参观;
3、7月18日~19日：(1)研究所及各学科介绍;(2)实验室参观，科研生活体验;(3)师生交流，了解课题内容、学科发展前沿，咨询推免和考研政策;(4)推免研究生预面试。</t>
  </si>
  <si>
    <t>5月15日~6月15日</t>
  </si>
  <si>
    <t>2018年7月16日~7月19日</t>
  </si>
  <si>
    <t>(1)2018年浙江大学药学院大学生学术夏令营申请表;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t>
  </si>
  <si>
    <t>夏令营不收注册费，学院将为杭州以外高校学生免费安排住宿，报销来往旅费(仅限汽车、火车二等座)。</t>
  </si>
  <si>
    <t>1、7月16日：各研究所报到；
2、7月17日：学院夏令营开营仪式，校史馆参观；
3、7月18日～19日：（1）研究所及各学科介绍；（2）实验室参观，科研生活体验；（3）师生交流，了解课题内容、学科发展前沿，咨询推免和考研政策；（4）推免生预面试。</t>
  </si>
  <si>
    <t>5月15日～6月15日</t>
  </si>
  <si>
    <t>2019年7月16日~7月19日</t>
  </si>
  <si>
    <t>（1） 2019年浙江大学药学院大学生学术夏令营申请表；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t>
  </si>
  <si>
    <t>夏令营不收注册费，学院将为杭州以外高校学生免费安排住宿，报销来往旅费（仅限汽车、火车二等座）</t>
  </si>
  <si>
    <t>活动内容包括研究所介绍、学术讲座、与导师沟通、了解推免与考研政策等</t>
  </si>
  <si>
    <t>6月1日～6月30日</t>
  </si>
  <si>
    <t>2020年7月20日~7月30日</t>
  </si>
  <si>
    <t>招收营员150名左右</t>
  </si>
  <si>
    <t xml:space="preserve">（1） 2020年浙江大学药学院大学生学术夏令营申请表；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
</t>
  </si>
  <si>
    <t xml:space="preserve">（1）研究所及各学科、实验室介绍； 
（2）线上学术讲座； 
（3）师生交流，了解课题内容、学科发展前沿，咨询推免和考研政策； </t>
  </si>
  <si>
    <t>5月10日～6月30日</t>
  </si>
  <si>
    <t xml:space="preserve">7月20日~7月30日 </t>
  </si>
  <si>
    <t xml:space="preserve">（1） 2021年浙江大学药学院大学生学术夏令营申请表；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
</t>
  </si>
  <si>
    <t>中科院</t>
  </si>
  <si>
    <t>神经科学研究所</t>
  </si>
  <si>
    <t>学习成绩优秀，本科期间总评成绩排名在本年级前20%之内；对有科研实践经历学生的学习成绩标准可适当放宽。</t>
  </si>
  <si>
    <t>暑期学校每天上午开设课程，讲述和介绍神经科学基本知识和学科前沿。下午大家进实验室实习，并将参观多个技术平台及公共实验室。同学们将与研究生和导师座谈、讲座、联欢，听取他们对科学事业的理解和不懈追求，了解科学前沿的最新动态。周末将参观上海地标性景观，感受上海国际大都市的精彩生活。</t>
  </si>
  <si>
    <t>2018年4月10日—2018年6月20日</t>
  </si>
  <si>
    <t>暑期学校将于2018年7月9日开学，为期两周（7月9日－20日）</t>
  </si>
  <si>
    <t>共招生100人</t>
  </si>
  <si>
    <t>请登录神经科学研究所网站(http://www.ion.ac.cn/)，点击网页右侧“2019年招生”图标，链接进入在线报名系统。请注册后登录报名系统，完整填写个人信息后选择暑期学校报名。注意事项：神经所倡导环保，无需邮寄纸质材料，请在线提交附件材料，具体提交方式如下：
　　学生信息登记表最后一栏附件栏，请按照推荐信（必须要有推荐教师的手写签名，电子签名的推荐信不予受理）、本科成绩单（需加盖教务处公章）、四六级成绩单、各类证书、奖状扫描件、其他材料的顺序进行扫描排列，制作生成一个PDF文件，文件按照如下方式命名：附件 – XX大学 – 姓名。</t>
  </si>
  <si>
    <t>我们将为入选暑期学校学习的学生提供来程车费（限火车硬座）及在沪期间的食宿。</t>
  </si>
  <si>
    <t>我们将从大三学生中选拔优秀的学生作为神经所2019年入学的免试推荐硕博连读生。</t>
  </si>
  <si>
    <t>暑期学校每天上午开设课程，讲述和介绍神经科学基本知识和学科发展。下午大家进实验室实习，并将参观多个技术平台及公共实验室。同学们将与研究生和导师座谈、联欢，听取他们对科学事业的理解和不懈追求，了解科学前沿的最新动态，同时将参观上海地标性景观，感受上海国际大都市的精彩生活。</t>
  </si>
  <si>
    <t>2019年4月10日——2019年6月20日</t>
  </si>
  <si>
    <t>2019年7月8日－19日</t>
  </si>
  <si>
    <t>请登录神经科学研究所网站(http://www.ion.ac.cn/)，点击网页右侧“2020年招生”图标，链接进入在线报名系统。请注册后登录报名系统，完整填写个人信息后选择暑期学校报名。
注意事项：
神经所倡导环保，无需邮寄纸质材料，请在线提交附件材料，具体提交方式如下：学生信息登记表最后一栏附件栏，请按照推荐信（推荐信需要有推荐教师的签名）、本科成绩单（需加盖教务处公章）、四六级成绩单、各类证书、奖状扫描件、其他材料的顺序进行扫描排列，制作生成一个PDF文件，文件按照如下方式命名：附件 – XX大学 – 姓名。</t>
  </si>
  <si>
    <t>我们将为入选暑期学校学习的学生提供来程车费（参照火车硬座价格）及在沪期间的食宿。</t>
  </si>
  <si>
    <t>我们将从大三学生中选拔优秀的学生作为神经所2020年入学的免试推荐硕博连读生</t>
  </si>
  <si>
    <t>暑期学校第一周活动将全部采用线上方式进行，暑期学校第二周将安排部分大三学生线下参观实验室、参加推免面试等（暑期学校线下环节的最终形式将根据疫情等因素视情况而定，会及时通知各位学生），其他活动依旧采用线上方式进行。</t>
  </si>
  <si>
    <t>2020年5月29日——2020年7月1日</t>
  </si>
  <si>
    <t>2020年7月6日开学，为期两周（7月6日－17日）</t>
  </si>
  <si>
    <t xml:space="preserve">请登录脑智卓越中心网站(http://www.cebsit.cas.cn/)，点击网页左侧“2021年招生”图标，链接进入在线报名系统。请注册后登录报名系统，完整填写个人信息后选择暑期学校报名。 注意事项： 脑智卓越中心倡导环保，无需邮寄纸质材料，请在线提交附件材料，具体提交方式如下： 
　　学生信息登记表最后一栏附件栏，请按照推荐信（推荐信需要有推荐教师的签名）、本科成绩单、四六级成绩单、各类证书、奖状扫描件、其他材料的顺序进行扫描排列，制作生成一个PDF文件，文件按照如下方式命名：附件 – XX大学 – 姓名。 
　　因疫情原因无法办理相关材料可上传相关说明，但须保证真实性。 </t>
  </si>
  <si>
    <t>我们将提供学生来程车费（动车二等座标准）及在沪期间的食宿</t>
  </si>
  <si>
    <t>我们将从当中的大三学生中选拔优秀的学生作为脑智卓越中心2021年入学的免试推荐硕博连读生</t>
  </si>
  <si>
    <t>暑期学校每天上午开设课程，讲述和介绍脑科学与智能技术基本知识和学科发展。下午大家进实验室实习，并将参观多个技术平台及公共实验室。同学们将与研究生和导师座谈、联欢，听取他们对科学事业的理解和不懈追求，了解科学前沿的最新动态，同时将参观上海地标性景观，感受上海国际大都市的精彩生活。</t>
  </si>
  <si>
    <t>2021年4月12日—2021年6月20日</t>
  </si>
  <si>
    <t>7月5日－17日</t>
  </si>
  <si>
    <t>学生信息登记表最后一栏附件栏，请按照推荐信（推荐信需要有推荐教师的签名）、学生证复印件、身份证正反面复印件、本科成绩单、四六级成绩单、各类证书、奖状扫描件、其他材料的顺序进行扫描排列，制作生成一个PDF文件，文件按照如下方式命名：附件 – XX大学 – 姓名。</t>
  </si>
  <si>
    <t>我们将为入选暑期学校学习的学生提供来程车费（动车/高铁二等座标准）及在沪期间的食宿。</t>
  </si>
  <si>
    <t>我们将从当中的大三学生（五年制大四）中选拔优秀的学生作为脑智卓越中心2022年入学的免试推荐硕博连读生</t>
  </si>
  <si>
    <t>苏州生物医学工程技术研究所</t>
  </si>
  <si>
    <t>　此次夏令营将安排医工所园区参观活动，聆听科研讲座，与专家、导师面对面交流，参观历史文化名城苏州，同时与有意来我所继续攻读研究生学位的同学进行深入交流。</t>
  </si>
  <si>
    <t>即日起至6月20日</t>
  </si>
  <si>
    <t>2018年7月16日—7月20日</t>
  </si>
  <si>
    <t>40名左右</t>
  </si>
  <si>
    <t>1. 网上报名成功生成的表格打印后本人签字纸质版； 
2.两封副教授以上授课老师推荐信（见附件）； 
3. 前两年半成绩单（有学校教务部门或所在院系公章）与总成绩排名证明（有学校教务部门或所在院系公章）； 
4. 能体现自身能力的获奖证书复印件、英语水平证明、学术论文等。 
　　以上所有申请材料请扫描为图片打包为rar格式压缩包上传网络报名系统（须签字或盖章），如被录取为夏令营员，请自觉保证提供材料的真实性，夏令营组委会将对材料进行复核（材料如有不实将取消录取资格）。</t>
  </si>
  <si>
    <t>学员在夏令营期间的食宿由我所统一提供，为每位学员报销从学校来苏州的单程硬座或硬卧车票、高铁/动车二等坐票（须提供票据）费用；对于最终录取为我所2019级硕士研究生的营员，我所会在入学报到后为其报销相关返程车费（须提供票据）。</t>
  </si>
  <si>
    <t>此次夏令营将安排医工所园区参观活动，聆听科研讲座，与专家、导师面对面交流，参观历史文化名城苏州，同时与有意来我所继续攻读研究生学位的同学进行深入交流。</t>
  </si>
  <si>
    <t>2019年7月15日—7月19日</t>
  </si>
  <si>
    <t>40名左右 </t>
  </si>
  <si>
    <t>1. 网上报名成功生成的表格打印后本人签字纸质版； 
2.两封副教授以上授课老师推荐信（见附件）； 
3. 前两年半成绩单（有学校教务部门或所在院系公章）与总成绩排名证明（有学校教务部门或所在院系公章）； 　4. 能体现自身能力的获奖证书复印件、英语水平证明、学术论文等。 
　　以上所有申请材料请扫描为图片打包为rar格式压缩包上传网络报名系统（须签字或盖章），如被录取为夏令营员，请自觉保证提供材料的真实性，夏令营组委会将对材料进行复核（材料如有不实将取消录取资格）。</t>
  </si>
  <si>
    <t>学员在夏令营期间的食宿由我所统一提供，为每位学员报销从学校来苏州的单程硬座或硬卧车票、高铁/动车二等坐票（须提供票据）费用；对于最终录取为我所2020级硕士研究生的营员，我所会在入学报到后为其报销相关返程车费（须提供票据）。</t>
  </si>
  <si>
    <t>即日起至6月30日</t>
  </si>
  <si>
    <t>50名左右</t>
  </si>
  <si>
    <t>　1. 网上报名成功生成的表格打印后本人签字纸质版；
　2.两封副教授以上授课老师推荐信（见附件）；
　3. 前两年半成绩单（有学校教务部门或所在院系公章）与总成绩排名证明（有学校教务部门或所在院系公章）；
　4. 能体现自身能力的获奖证书复印件、英语水平证明、学术论文等。
　　以上所有申请材料请扫描为图片打包为rar格式压缩包上传网络报名系统（须签字或盖章），如被录取为夏令营员，请自觉保证提供材料的真实性，夏令营组委会将对材料进行复核（材料如有不实将取消录取资格）。</t>
  </si>
  <si>
    <t>学习成绩优秀，对有出色科研成果的申请者成绩标准可适当放宽。</t>
  </si>
  <si>
    <t>中国医学科学院</t>
  </si>
  <si>
    <t>以实验血液学国家重点实验室各研究组为单位，按照学生兴趣分组，每组安排1-2人，进入实验室交流学习，参与各组实验工作、学术报告和其他学术活动。还将组织参观血液病医院、国家重点实验室技术平台、协和干细胞公司以及游览天津市的活动。</t>
  </si>
  <si>
    <t>3月10日-6月3日填写并提交报名表及相关资料</t>
  </si>
  <si>
    <t>2018年7月9日-13日</t>
  </si>
  <si>
    <t>报名时，请提交附照片的个人简历一份，成绩单一份；可提交电子版。收到个人简历及成绩单以后将统一筛查,待通过筛查、电话面试，被拟录取后，请邮寄提交《中国医学科学院血液病医院（血液学研究所）实验血液学国家重点实验室暑期社会实践活动登记表》原件，必须所在院系盖章方可。（注：报名请不要邮寄纸质材料，请将电子版材料发送至邮箱kyjychu@ihcams.ac.cn即可）</t>
  </si>
  <si>
    <t>学生报到后，由实验血液学国家重点实验室统一安排免费住宿，活动期间，可到血液病医院食堂就餐，餐费自理。完成实践活动后，每名学生每天获得一定生活补助，报销来津交通费（仅限火车硬座票或汽车票，其他票据按照对应乘车区间火车硬座价格报销）。</t>
  </si>
  <si>
    <t>报名截止6月3日</t>
  </si>
  <si>
    <t>2019年7月15日-19日</t>
  </si>
  <si>
    <t>报名时，请提交附照片的个人简历一份，成绩单一份（包括英语四六级成绩）；仅提交电子版。收到个人简历及成绩单以后将统一筛查,待通过筛查、电话面试，被拟录取后，我们将发送《中国医学科学院血液病医院（血液学研究所）实验血液学国家重点实验室暑期社会实践活动登记表》，请邮寄提交登记表原件，必须所在院系盖章方可。（注：报名请不要邮寄纸质材料，请将电子版材料发送至邮箱edu@ihcams.ac.cn即可）</t>
  </si>
  <si>
    <t>学生报到后，由实验血液学国家重点实验室统一安排免费住宿，活动期间，可到血液病医院食堂就餐，餐费自理。完成实践活动后，每名学生获得一定生活补助，报销来津交通费（仅限火车硬座票或汽车票，其他票据按照对应乘车区间火车硬座价格报销）</t>
  </si>
  <si>
    <t>拟以实验血液学国家重点实验室各研究组为单位，按照学生兴趣分组，每组安排1-2个人，进入实验室交流学习，参与各组实验工作、学术报告和其他学术活动。还将组织参观血液病医院、国家重点实验室技术平台。</t>
  </si>
  <si>
    <t>6月15日填写并提交报名材料</t>
  </si>
  <si>
    <t>2020年7月中旬</t>
  </si>
  <si>
    <t xml:space="preserve">a. 暑期实践活动登记表（见附件），仅提交word文档电子版；
b. 个人申请材料一份：含有附照片的个人简历、成绩单、英语四/六级证书及其他自愿提供证明材料；
c. 入选夏令营后再提交有院系盖章的暑期社会实践活动登记表。
d. 请将电子版材料发送至邮箱edu@ihcams.ac.cn。
</t>
  </si>
  <si>
    <t>学生报到后，由我单位统一安排免费住宿，餐费自理。完成实践活动后，每名学生获得一定生活补助，报销来津交通费（仅限火车硬座票或汽车票，其它票据按照对应乘车区间火车硬座价格报销）。</t>
  </si>
  <si>
    <t>活动中您将走进实验血液学国家重点实验室，了解我国血液学的发展历程，聆听专题报告，参与学术交流并将亲手参与科研工作。</t>
  </si>
  <si>
    <t>报名截止6月4日</t>
  </si>
  <si>
    <t xml:space="preserve"> 请扫描二维码进行网上报名。报名后请提交附照片的个人简历一份，成绩单及佐证材料一份），所有材料合成一个PDF文件，文件命名：姓名+学校，发送至邮箱edu@ihcams.ac.cn）。</t>
  </si>
  <si>
    <t>1、7月10日报到（医学部行政2号楼339房间），需持二代本人身份证及学生证原件，以及申请材料原件。
2、7月11日开营仪式、各系所基本情况介绍。
3、7月12日导师面谈、遴选优秀营员（自带个人申请材料复印件）。
4、7月13日早晨颁发优秀营员证书，办理离营手续。</t>
  </si>
  <si>
    <t>截止6月15日</t>
  </si>
  <si>
    <t>拟于2018年7月10日至12日举办</t>
  </si>
  <si>
    <t>1.免费提供住宿（本校和北京地区高校学生不安排住宿）。
2.活动期间每人补助餐费（北大医学部学生不补助）。</t>
  </si>
  <si>
    <t>1、6月30日报到，需持二代本人身份证。
2、7月1日开营仪式、各系所基本情况介绍。
3、7月2日导师面谈、遴选优秀营员（自带个人申请材料）。
4、7月3日早晨颁发优秀营员证书，办理离营手续。</t>
  </si>
  <si>
    <t>报名截止日期为6月10日</t>
  </si>
  <si>
    <t>2019年6月30日至7月3日</t>
  </si>
  <si>
    <t>1.下载并填写附件“北京大学基础医学院暑期夏令营成绩排名证明模板”，并在报到时提供原件。
2.登录夏令营报名系统sbms.xly.allstudy.com，按照要求填写各项报名信息。报名截止日期为6月10日。</t>
  </si>
  <si>
    <t>报名截止日期为7月3日</t>
  </si>
  <si>
    <t>拟于2020年7月下旬举办</t>
  </si>
  <si>
    <t>1.下载并填写附件“北京大学基础医学院暑期夏令营成绩排名证明模板”，并在报到时提供原件。
2.登录夏令营报名系统sbms.xly.allstudy.com，按照要求填写各项报名信息。</t>
  </si>
  <si>
    <t>学习成绩优秀，能取得所在学校推免资格者优先。</t>
  </si>
  <si>
    <t>拟于2021年7月下旬举办</t>
  </si>
  <si>
    <t>1.下载并填写附件“北京大学基础医学院暑期夏令营成绩排名证明模板”。
2.登录夏令营报名系统sbms.xly.allstudy.com，按照要求填写各项报名信息。</t>
  </si>
  <si>
    <t>1.本学院多位知名教授和近年国外引进青年教授开设学科前沿讲座。
2.学习内容：专家学术报告、实验室参观、与专家交流互动、面试</t>
  </si>
  <si>
    <t>报名开始时间 : 2020-06-05 09:00:00
报名结束时间 : 2020-06-25 17:30:00</t>
  </si>
  <si>
    <t>2020年7月中旬举办</t>
  </si>
  <si>
    <t>登录浙江大学脑科学与脑医学学院主页：http://www.neuroscience.zju.edu.cn/xly/list.htm暑期夏令营报名系统注册、填写相关信息。被录取的学员报到时请携带身份证、学生证及英语六级证书等原件核对。参加2020年脑科学与脑医学学院举办的研究生招生宣讲活动获宣讲老师推荐，并寄回报名表的同学也需登录暑期夏令营报名系统进行网络报名确认。</t>
  </si>
  <si>
    <t>线下夏令营由本院免费提供食宿及浙江大学校区交流，免培训费及报销来杭单程火车(二等座票)、汽车票。</t>
  </si>
  <si>
    <t>1.学院内知名教授和近年国外引进青年教授开设学科前沿讲座。
2.学习内容：专家学术报告、实验室参观、与专家交流互动、面试</t>
  </si>
  <si>
    <t>录取工作于2021年6月底前完成</t>
  </si>
  <si>
    <t>2021年7月上旬举办</t>
  </si>
  <si>
    <t>登录浙江大学脑科学与脑医学学院网站夏令营报名系统（http://bm.hzccx.com/），或扫描下方二维码注册、填写相关信息。
参加2021年脑科学与脑医学学院举办的研究生招生宣讲活动获宣讲老师推荐的同学也需登录暑期夏令营报名系统进行网络报名确认。</t>
  </si>
  <si>
    <t>中科大</t>
  </si>
  <si>
    <t>网上申报截止日期2018年6月20日</t>
  </si>
  <si>
    <t>1、网上报名后生成的表格打印后本人签字；
2、专家推荐信2封；
   生命科学夏令营推荐信模版请在夏令营网站中“文件下载”中下载。
3、前两年半成绩单（有学校教务部门或所在院系公章）与总评成绩排名证明（有学校教务部门或所在院系公章）；
4、能体现自身能力的获奖证书复印件、英语水平证明、学术论文等
以上所有申请材料请扫描为图片打包为rar格式压缩包上传网络报名系统。
请自觉保证提供材料的真实性。营员报到时需携带纸质申请材料（其中成绩单和排名证明必须为原件），夏令营组委会将会对材料进行复核，如有不实将取消录取资格。</t>
  </si>
  <si>
    <t>夏令营为录取的营员提供食宿以及相关活动的资助。录取为我校研究生的夏令营营员可在2019年9月份入学后报销往返路费（报销标准按照我校研究生标准）。</t>
  </si>
  <si>
    <t>网上申报截止日期2019年6月20日</t>
  </si>
  <si>
    <t>一期7月15-20日
二期7月20-28日</t>
  </si>
  <si>
    <t xml:space="preserve">1、网上报名后生成的表格打印后本人签字；
2、专家推荐信2封；
    推荐信模版请在夏令营网站中“文件下载”中下载。
3、前两年半成绩单（有学校教务部门公章）与总评成绩排名证明（有学校教务部门或所在院系公章）；
4、能体现自身能力的获奖证书复印件、英语水平证明、学术论文等
以上所有申请材料请扫描为图片打包为rar格式压缩包上传网络报名系统。
请自觉保证提供材料的真实性。营员报到时需携带纸质申请材料（其中成绩单和排名证明必须为原件），夏令营组委会将会对材料进行复核，如有不实将取消录取资格。
</t>
  </si>
  <si>
    <t>夏令营为录取的营员提供食宿以及相关活动的资助。录取为我校研究生的夏令营营员可在2020年9月份入学后报销往返路费（报销标准参照我校研究生标准）。</t>
  </si>
  <si>
    <t>网上申报截止日期2020年6月30日</t>
  </si>
  <si>
    <t>2020年7月中下旬</t>
  </si>
  <si>
    <t>1、网上报名后生成的表格打印后本人签字；
2、专家推荐信2封；
   生命医学夏令营推荐信模版请在夏令营网站中“文件下载”中下载。
3、前两年半成绩单（有学校教务部门公章）与总评成绩排名证明（有学校教务部门或所在院系公章）；
4、能体现自身能力的获奖证书复印件、英语水平证明、学术论文等
以上所有申请材料请扫描为图片打包为rar格式压缩包上传网络报名系统。
请自觉保证提供材料的真实性。营员报到时需携带纸质申请材料（其中成绩单和排名证明必须为原件），夏令营组委会将会对材料进行复核，如有不实将取消录取资格。</t>
  </si>
  <si>
    <t xml:space="preserve">学习成绩优秀，可获得所在学校推荐免试名额者优先。
</t>
  </si>
  <si>
    <t>网上申报截止日期2021年6月28日</t>
  </si>
  <si>
    <t>7月19-24日</t>
  </si>
  <si>
    <t>1、网上报名后生成的表格打印后本人签字；
2、专家推荐信2封；
   生命医学夏令营推荐信模版请在夏令营网站中“文件下载”中下载。
3、前两年半成绩单（有学校教务部门公章）与总评成绩排名证明（有学校教务部门或所在院系公章）；
4、能体现自身能力的获奖证书复印件、英语水平证明、学术论文等
以上所有申请材料请扫描后制作成PDF格式文件上传网络报名系统。
请自觉保证提供材料的真实性。营员报到时需携带纸质申请材料（其中成绩单和排名证明必须为原件），夏令营组委会将会对材料进行复核，如有不实将取消录取资格。</t>
  </si>
  <si>
    <t>夏令营为录取的营员提供食宿以及相关活动的资助。录取为我校研究生的夏令营营员可在2022年9月份入学后报销往返路费（报销标准参照我校研究生标准）。</t>
  </si>
  <si>
    <t>全国高校优秀应届本科毕业生，应取得所在学校推荐免试生资格</t>
  </si>
  <si>
    <t>英语水平良好。申请直博者，原则上应通过英语六级（426分）或TOEFL（85分）或雅思考试（6.0分）</t>
  </si>
  <si>
    <t>网上申报的截止日期为2018年6月25日；
邮寄材料的截止日期为2018年6月25日（以当地邮戳为准）；</t>
  </si>
  <si>
    <t>1、“2019年南京大学生命科学学院推荐免试研究生申请表”（附件1）和个人汇总表（附件2）1份；
2、其他证明自己水平和能力的材料（A4纸规格）：
     a.本科前五个学期的成绩单与专业总评成绩排名（加盖所在学校教务处或院系公章）；
     b. 英语六级或四级成绩证明复印件（加盖所在学校教务处或院系公章）、其它外语能力证明材料；
     c. 参加各类科研活动的获奖证书复印件；
     d. 在公开发行的刊物上发表的学术论文、出版物、科技专利证书等复印件。
3、确定拟录取后，申请直博者须提交与申请学科相关的两位教授（或相当职称）以上的“专家推荐信”（专家推荐信格式详见附件3），专家推荐信须由推荐人密封并在封口处签字。申请硕士者不需要提交专家推荐信。我们积极鼓励优秀本科生申请直接攻读博士学位。特别优秀者，我们拟推荐其进入南京大学名师计划，由长江学者、国家杰青获得者等导师亲自指导。</t>
  </si>
  <si>
    <t>获得开放日优秀学员资格的同学，在拿到所在学校的推免资格后将优先获得我院推免研究生的录取资格</t>
  </si>
  <si>
    <t>英语水平良好。申请直博者，原则上应通过英语六级（426分）或TOEFL（85分）或雅思考试（6.1分）</t>
  </si>
  <si>
    <t>网上申报日期为2019年6月6日-6月16日</t>
  </si>
  <si>
    <t>2019年7月2-4日</t>
  </si>
  <si>
    <t xml:space="preserve">（1）在南京大学生命科学学院本科生开放日系统完成报名后，打印出“2020年南京大学生命科学学院推荐免试研究生申请表” 1份，签字盖章（申请人所在学院公章）；    
（2）身份证和学生证原件；    
（3）其他证明自己水平和能力的材料：    
     a.本科前五个学期的成绩单与专业总评成绩排名（原件，需有所在学校教务处或院系公章）；    
     b. 英语六级或四级成绩证明原件、其它外语能力证明材料原件 ；    
     c. 参加各类科研活动的获奖证书原件；    
     d. 在公开发行的刊物上发表的学术论文、出版物、科技专利证书等材料。 </t>
  </si>
  <si>
    <t>在拿到所在学校的推免资格后将优先进入我院推免研究生的选拔名单</t>
  </si>
  <si>
    <t>英语水平良好。申请直博者，原则上应通过英语六级（426分）或TOEFL（85分）或雅思考试（6.2分）</t>
  </si>
  <si>
    <t> 网上申报日期为2020年6月6日-6月25日</t>
  </si>
  <si>
    <t xml:space="preserve">参加选拔的同学请将以下材料扫描后上传报名系统，进行审查：   
（1）在南京大学生命科学学院本科生开放日系统完成报名后，打印出“2021年南京大学生命科学学院推荐免试研究生申请表” 1份，签字（申请人手写签字，若已返校则加盖所在学院公章）；   
（2）身份证原件，正反面扫描在同一张A4纸上；
（3）学生证原件，有本人照片和入学年月、学号、注册情况等； 
（4））学术背景和学术兴趣、曾经参与的科研工作及学术成果（500字左右），将来攻读研究生阶段的学习和研究计划、研究生毕业后的就业目标等（500-1000字）；    
（5）其他证明自己水平和能力的材料：   
  a.本科前五个学期的成绩单与专业总评成绩排名原件（需有所在学校教务处或院系公章，机打成绩单已有公章的不必另外加盖）；   
  b. 英语六级或四级成绩证明原件、其它外语能力证明材料原件；   
  c. 参加各类科研活动的获奖证书原件；   
  d. 在公开发行的刊物上发表的学术论文、出版物、科技专利证书等材料。  
注：暂时无法提供的材料请附情况说明，待后续通知再次提供。 </t>
  </si>
  <si>
    <t>选拔通过的同学将获得南大生科院本科生开放日证书，在拿到所在本科学校的推免资格后将优先进入我院推免研究生的选拔名单。   </t>
  </si>
  <si>
    <t>2021年6月16日24点</t>
  </si>
  <si>
    <t>7月7-9日</t>
  </si>
  <si>
    <t>（1）学术背景和学术兴趣、曾经参与的科研工作及学术成果（500字左右），将来攻读研究生阶段的学习和研究计划、研究生毕业后的就业目标等（1000字）； 
（2）身份证明原件，正反面扫描在同一张A4纸上；
（3）学生证原件，有本人照片和入学年月、学号、注册情况等；
（4）其他证明自己水平和能力的材料：  
a.本科前五个学期（四年制）/前七个学期（五年制）的成绩单与专业（院/系）成绩排名证明原件（需有所在学校教务处或院系公章，机打成绩单已有公章的不必另外加盖）；  
 b. 英语六级或四级成绩证明原件、其它外语能力证明材料原件；  
 c. 参加各类科研活动的获奖证书原件；  
 d. 在公开发行的刊物上发表的学术论文、出版物、科技专利证书等材料。</t>
  </si>
  <si>
    <t xml:space="preserve">表现优秀的同学将获得暑期开放日证书，在拿到所在本科学校的推免资格后将优先进入我院推免研究生的选拔名单。  </t>
  </si>
  <si>
    <t>遗传与发育生物学研究所</t>
  </si>
  <si>
    <t>学习成绩优异（一般应是专业综合排名前30%），在学期间无重修科目或补考记录，在校期间没有受过纪律处分</t>
  </si>
  <si>
    <t>具有较强的外语听、说、读、写能力。一般应通过全国大学英语六级考试，对专业成绩优异的考生可放宽到通过全国大学英语四级考试</t>
  </si>
  <si>
    <t>1.参观实验室、温室及动物房等
2.实验室科研实践
3.与导师见面会
4.参观鸟巢、水立方等</t>
  </si>
  <si>
    <t>申请报名时间：即日起至2018年6月10日</t>
  </si>
  <si>
    <t>7月9日--7月15日</t>
  </si>
  <si>
    <t>1.为外地学员提供在京的住宿（京区学生不提供住宿，将给予相应交通补贴）；
2.发放适当交通和生活补贴（保留往返车票）；
3.研究所将为学生购买在京期间人身意外伤害保险，报到时需签署安全协议；
4.实践合格者将颁发“遗传与发育生物学研究所大学生夏令营”结业证书。</t>
  </si>
  <si>
    <t>申请报名时间：即日起至2019年6月10日</t>
  </si>
  <si>
    <t>7月11日--7月17日</t>
  </si>
  <si>
    <t>排名在年级30%以内，，对有出色的科研成果者学习成绩标准可适当放宽。</t>
  </si>
  <si>
    <t>英语达到国家四/六级水平425分以上</t>
  </si>
  <si>
    <t>1. 专家学术讲座及考研指导等报告；
2. 实验室科研实践、参观野外台站；
3. 参观红色革命教育基地、非物质文化遗产中心；
4. 优秀营员面试；
5. 闭营仪式颁发结业证书。</t>
  </si>
  <si>
    <t>即日起至2021年6月30日</t>
  </si>
  <si>
    <t>2021年7月11日-16日</t>
  </si>
  <si>
    <t>1)本科成绩单和专业排名证明材料；
2)申请表、成绩单、推荐信（自愿提交）、英语四/六级成绩单、奖励证书复印件、已发表论文或出版物复印件及其他材料。</t>
  </si>
  <si>
    <t>夏令营期间食宿全免，并报销来我中心的单程火车票（硬座/硬卧），被录取的学生2022年9月来中心报到时报销返程车票。夏令营活动期间学生安全由本人及所在学校负责，我中心将为学生购买在营期间的人身意外伤害保险，报到时需签署安全协议。</t>
  </si>
  <si>
    <t>实践合格者将颁发 “未来之星”大学生夏令营结业证书。夏令营期间将组织2022年推荐免试研究生面试，优秀营员可报名参加。</t>
  </si>
  <si>
    <t>检索时网页丢失</t>
  </si>
  <si>
    <t>学习成绩优秀，专业基础扎实，综合素质高，且前三年综合成绩排名为本专业前50%</t>
  </si>
  <si>
    <t>夏令营期间将安排包括“千人计划”专家、长江学者以及国家杰出青年基金获得者的专题讲座，专业座谈会，实验室考察，学科特色体验以及博物馆参观等活动</t>
  </si>
  <si>
    <t>报名时间：自即日起开始报名，截止日期2019年6月10日</t>
  </si>
  <si>
    <t>2019年7月12日至14日</t>
  </si>
  <si>
    <t>1、申请表（报名成功后由系统自动生成）；
2、意向导师推荐信（由拟报考的四川大学生命科学学院研究生导师负责填写），格式见附件1
3、本科成绩单和专业排名证明（各1份；需加盖所在教务处公章）；
4、其他材料：含个人简历以及相关证明材料扫描件（如已发表论文（论文首页）、各类获奖或资格证书、国家英语四六级证书等，体现自身学习和工作能力的材料）。
注：附件材料请登陆网络报名平台后按要求进行提交。（所有附件材料请存为一个PDF文档上传）</t>
  </si>
  <si>
    <t>暑期夏令营期间由我院安排免费食宿，一卡通不得自行充值或转交他人使用，离营前必须交回我院。报销交通费不高于学校所在城市至成都的单程火车票价，报销标准参照学校相关规定执行。</t>
  </si>
  <si>
    <t>同时我院将组织专家对拟推免或有志愿报考我校研究生的营员进行提前考核，考核优秀的营员，若满足以下条件之一，我院将优先录取：(1)获得2020年推免资格并且符合四川大学推免生接收条件者，直接录取；(2)参加2020年全国硕士研究生统一入学考试，第一志愿报考我院（统考报考专业需与夏令营考核专业相同），且达到我院复试要求者，同等条件下优先录取。</t>
  </si>
  <si>
    <t>学习成绩优秀，本科期间综合成绩排名前30%</t>
  </si>
  <si>
    <t>英语达到国家四级水平（425分以上）或TOEFL、GRE等考试成绩优秀者</t>
  </si>
  <si>
    <t>我院将安排四川大学生命科学学院以及各专业介绍，并开展各类国家级人才称号专家等优秀教师的学术讲座，实验室科研平台直播和线上咨询、答疑等活动。</t>
  </si>
  <si>
    <t>预报名时间：2020年6月1日至6月20日</t>
  </si>
  <si>
    <t>7月9日、10日</t>
  </si>
  <si>
    <t>（1）专家推荐信2封【非必需】（1由拟报考的四川大学生命科学学院研究生导师负责填写[生命科学学院导师联系方式可在学院官网“师资队伍”栏查询]，2由本科学院老师出具）；
（2）本科成绩单（院、校两级教务部门盖章均可，如因疫情原因，成绩单无法加盖公章，可先提交教务系统导出的电子版，后期增补公章后再次提交正式成绩单）；
（3）其他附件材料：个人简历1份以及相关证明材料扫描件（如已发表论文、各类获奖或资格证书、国家英语四六级证书等能展示自身学习和工作能力的材料）。
请确保材料的真实性，如有虚假，学院将取消其一切录取资格。</t>
  </si>
  <si>
    <t>我院将组织专家对拟推免或有志愿报考本院研究生的营员进行提前考察，其中获得2021年保研资格并且达到四川大学接收要求者，以及参加2021年全国硕士研究生统一入学考试达到我院复试基本要求并在复试中表现良好者，我院将优先录取。</t>
  </si>
  <si>
    <t>即日起至6月21日。</t>
  </si>
  <si>
    <t xml:space="preserve">一）专家推荐信2封（1由拟报考的四川大学生命科学学院研究生导师负责填写，2由本科学院老师出具）；
（二）本科成绩单（院、校两级教务部门盖章均可，如因疫情原因，成绩单无法加盖公章，可先提交教务系统导出的电子版，后期增补公章后再次提交正式成绩单）；
（三）其他附件材料：个人简历1份以及相关证明材料扫描件（如已发表论文、各类获奖或资格证书、国家英语四六级证书等能展示自身学习和工作能力的材料）。
</t>
  </si>
  <si>
    <t>同时我院将组织拟推免或报考我校研究生的营员进行提前考核，考核优秀的营员，获得推免资格且满足学校接收推免生条件者，在推免系统及时响应填报我校即可免复试予以录取；未能获得推免资格但第一志愿报考我院的优秀营员（统考报考专业需与夏令营考核专业相同），需参加复试，同等条件下优先录取。</t>
  </si>
  <si>
    <t>同济大学基础医学院</t>
  </si>
  <si>
    <t>学习成绩优秀，本科阶段总成绩排名在该校同年级本专业前15%之内</t>
  </si>
  <si>
    <t>夏令营期间将安排学生参观本院展厅、聆听研究生导师的专业和研究方向介绍、与导师及在学研究生进行面对面交流等活动。对有意向推免至我院或报考我院公开招考的同学，夏令营将组织面试选拔并择优发放优秀营员证书。</t>
  </si>
  <si>
    <t>报名时间：2018年6月15日至6月25日</t>
  </si>
  <si>
    <t>2018年7月上旬</t>
  </si>
  <si>
    <t>（1）将填写完整的电子版申请表及个人信息汇总表按申请表、个人简历、导师推荐信、成绩单、获奖证书复印件、各类证书复印件、其它材料等顺序于6月25日之前发送至邮箱：35381509@qq.com。为方便整理，请将文件命名为“夏令营_在读学校_姓名”，邮件主题格式统一为“基础医学院夏令营-在读学校-姓名”。
（2）请将纸质申请表、成绩单、证书复印件等申请材料一并装入A4档案袋，并在档案袋正面写上姓名、所在学校及院系，并注明“基础医学院夏令营申请”。邮寄材料截至日期为6月25日（以寄出时间为准），过期不再接受申请。建议以快递方式邮寄，不接受平邮和挂号信。</t>
  </si>
  <si>
    <t>夏令营期间，我院将为每位来所营员提供夏令营期间在汉的食宿（武汉地区学校的学生不提供住宿，）以及异地学校学生往返硬座火车票费用补贴（需出示票根报销，往返补贴400元为上线，限硬座或动车二等座），为确保其人身及财产安全，将为其办理夏令营活动期间的相应保险。</t>
  </si>
  <si>
    <t>优秀营员取得本科学校的推荐免试资格后可在我院推荐免试录取中优先选择专业和导师</t>
  </si>
  <si>
    <t>报名时间：2019年6月15日至6月20日</t>
  </si>
  <si>
    <t>2019年7月上旬</t>
  </si>
  <si>
    <t>优秀营员取得本科学校的推荐免试资格后可在我院推荐免试录取中优先选择专业和导师。</t>
  </si>
  <si>
    <t>学习成绩优秀，本科阶段总成绩排名在该校同年级本专业前40%之内</t>
  </si>
  <si>
    <t>基础医学院各专业研究方向介绍、前沿讲坛、在籍研究生分享研究生生活、学院导师与营员分组交流等。</t>
  </si>
  <si>
    <t>报名截止时间：2020年6月30日</t>
  </si>
  <si>
    <t>拟招收规模200人</t>
  </si>
  <si>
    <t>1.《华中科技大学基础医学院2020年暑期夏令营申请表》1份（见附件1）；
2．个人简历1份；
3. 本科阶段成绩单（由教务部门盖章）1份，有条件的可提供院系或导师推荐意见（附件2）；
4. 获奖及各类证书复印件各1份；
5. 国家英语四、六级考试成绩或TOEFL成绩或GRE/GMAT成绩等体现英语水平的证明1份；
6．体现自身学术水平的代表性论文、出版物或原创性工作成果(如专利、发明、制作、软件等)。</t>
  </si>
  <si>
    <t>优秀营员取得本科学校的推荐免试资格后可在我院推荐免试录取中优先选择专业和导师，报考者凭优秀营员证上线后优先录取</t>
  </si>
  <si>
    <t>学习成绩优秀，本科阶段总成绩排名在该校同年级本专业前20%之内</t>
  </si>
  <si>
    <t>英语水平优秀，能达到所在高校推荐免试生要求者优先</t>
  </si>
  <si>
    <t>第一阶段，7月上旬（具体时间确定后另行通知）通过网络会议线上举行。主要的内容包括：开营仪式、基础医学院各专业研究方向介绍、在籍研究生分享研究生生活、各二级学科组织线上面试遴选“优秀营员”，夏令营不收取报名费；
第二阶段，8月中旬（具体时间确定后另行通知），邀请“优秀营员”赴武汉参加科学前沿讲坛，进入实验室参观学习，与导师面对面交流，签订“推荐免试研究生保障性意向协议”，还为“优秀营员”安排武汉市内游览活动，基础医学院负责往返火车票和在汉期间食宿费用。</t>
  </si>
  <si>
    <t>2021年6月1日至6月30日。</t>
  </si>
  <si>
    <t>7月上旬，8月中旬</t>
  </si>
  <si>
    <t>1.《华中科技大学基础医学院2021年暑期夏令营申请表》1份（见附件1）；
2．个人简历1份；
3. 本科阶段成绩单（由教务部门盖章）1份，有条件的可提供院系或导师推荐意见（见附件2）；
4. 获奖及各类证书扫描文件各1份；
5. 国家英语四、六级考试成绩或TOEFL成绩或GRE/GMAT成绩等体现英语水平的证明1份；
6．体现自身学术水平的代表性论文、出版物或原创性工作成果(如专利、发明、制作、软件等)。</t>
  </si>
  <si>
    <t>为“优秀营员”安排武汉市内游览活动，基础医学院负责往返火车票和在汉期间食宿费用。</t>
  </si>
  <si>
    <t>参加本活动的学子可获得“华中科技大学同济医学院基础医学院大学生夏令营”活动结业证书。“优秀营员”在取得本科生源学校的推荐免试资格后，可依据“推荐免试研究生保障性意向协议”提前锁定推免研究生录取指标，并在我院正式推免录取中优先选择导师。“优秀营员”未取得本科生源学校的推荐免试资格，在研究生国家统一招生考试报考我院者，如达到国家和院系分数线可优先录取。</t>
  </si>
  <si>
    <t>心理与认知科学学院</t>
  </si>
  <si>
    <t>本科成绩在同专业同届学生中排名在前20％</t>
  </si>
  <si>
    <t>英语听说读写流利，大学英语四级达到优秀标准（500分以上），或提供TOEFL、GMAT、IELTS英语测试成绩证明</t>
  </si>
  <si>
    <t>7月7日（星期六）
8:30     营员报到，分配住宿，发放书面介绍材料；
7月8日（星期日）
8:30     开营典礼
10:00    导师介绍相关研究方向-1
12:00    午餐
13:30    导师介绍相关研究方向-2
17:00    晚餐
18:30    导师介绍相关研究方向-3
7月9日（星期一）
8:30     参观实验室与实验室互动
12:00    午餐
13:30    教师、研究生与营员互动交流会
17:00    晚餐
7月10日（星期二）
9:00     考核与面试
12:00    午餐
13:30    与教师约谈
16:00    闭营仪式，离营</t>
  </si>
  <si>
    <t>报名截止日期为2018年6月15日</t>
  </si>
  <si>
    <t>7月7日-7月10日</t>
  </si>
  <si>
    <t>1.《华东师范大学2018年优秀大学生夏令营活动报名信息表》1份，（请从报名网上填写并打印），打印后需加盖申请人所在院系公章。
2.本科成绩单1份，加盖学校教务处或院系公章；
3.两份专业任课教师推荐信；
4.提交3000字以内的个人自述一份，包括进入基础心理学专业研习的优势、未来发展计划，并阐述自己对心理学的了解和希望研究的主要问题；
5.其他材料（如英语等级证书、科研经历的相关证明，如发表的论文、科研项目立项书、专利发明、各类获奖或资格证书等材料的复印件）。</t>
  </si>
  <si>
    <t>夏令营活动期间，我们将为被录取的营员提供食宿，其余费用自理</t>
  </si>
  <si>
    <t>7月8日（星期一）
　　8:30 营员报到，分配住宿，发放书面介绍材料；
7月9日（星期二）
　　8:30 开营典礼
　　10:00 导师介绍相关研究方向-1
　　12:00 午餐
　　13:30 导师介绍相关研究方向-2
　　17:00 晚餐
　　18:30 导师介绍相关研究方向-3
7月10日（星期三）
　　8:30 参观实验室与实验室互动
　　12:00 午餐
　　13:30 教师、研究生与营员互动交流会
　　17:00 晚餐
7月11日（星期四）
　　9:00 考核与面试
　　12:00 午餐
　　13:30 与教师约谈
　　16:00 闭营仪式，离营</t>
  </si>
  <si>
    <t>报名截止日期为2019年6月15日</t>
  </si>
  <si>
    <t>7月8日-11日</t>
  </si>
  <si>
    <t>1. 《华东师范大学2019年优秀大学生夏令营活动报名信息表》1份，（请从报名网上填写并打印），打印后需加盖申请人所在院系公章。
2. 本科成绩单1份，加盖学校教务处或院系公章；
3. 两份专业任课教师推荐信（模板）；
4. 提交3000字以内的个人自述一份，包括进入基础心理学专业研习的优势、未来发展计划，并阐述自己对心理学的了解和希望研究的主要问题；
5. 其他材料（如英语等级证书、科研经历的相关证明，如发表的论文、科研项目立项书、专利发明、各类获奖或资格证书等材料的复印件）。</t>
  </si>
  <si>
    <t>本科前三年学习成绩在同专业同届学生中排名在前20％, 能够获得所在学校推荐免试资格者优先</t>
  </si>
  <si>
    <t>英语水平良好（全国大学英语六级460分以上，或托福80分以上，或雅思5.5分以上），英语听说读写流利。</t>
  </si>
  <si>
    <t>6月中旬-下旬：举办线上招生宣讲、院系特色介绍或答疑活动
7月18日（星期六）
 09：00    开营典礼
 10：00    导师介绍相关研究方向-1
 13：00    导师介绍相关研究方向-2
 16：00   云参观实验室
7月19日（星期日）
 09：00    教师、研究生与营员互动交流会
 13：00    教师与营员分组交流
7月20日（星期一）
 09：00   考核与面试
 13：00    考核与面试
 16：00    闭营仪式</t>
  </si>
  <si>
    <t>网上报名截止时间为2020年7月1日
纸质材料邮寄截止时间：2020年7月1日</t>
  </si>
  <si>
    <t>7月18日-7月20日</t>
  </si>
  <si>
    <t>共40人，其中校内拟招收10人，校外拟招收30人。</t>
  </si>
  <si>
    <t xml:space="preserve"> 1. 本科成绩单1份（前5学期），加盖学校教务处或院系公章；
 2. 两封专业任课教师推荐信，需要副教授及以上职称专家推荐，推荐信模板见链接：https://yjszs.ecnu.edu.cn/download/2021ss/Letter_of_Recommendation_xly.doc）；
 3. 其他证明材料：含英语等级证书、科研经历的相关证明，如发表的论文、科研项目立项书、专利发明、各类获奖或资格证书等材料的复印件。
 4. 个人陈述：提交3000字以内的个人自述一份，包括进入基础心理学、认知神经科学专业研习的优势、未来发展计划，并阐述自己对心理学的了解和希望研究的主要问题；
 5. 个人自述视频：提供一段5分钟视频，须为MP4格式且小于100MB，内容至少包含自我介绍、对基础心理学或认知神经科学专业的了解和希望研究的主要问题，以及未来发展规划。</t>
  </si>
  <si>
    <t>优秀营员如果获得所在本科学校推免资格，且2020年9月申请推免至我院的基础心理学或认知神经科学专业，并达到我校推免接收条件的，可向我校申请推免（不再另外复试），夏令营考核成绩如进入推免综合排序名单，可拟录取为我校2021级研究生</t>
  </si>
  <si>
    <t xml:space="preserve">本科前三年学习成绩在同专业同届学生中排名在前20％, 能够获得所在学校推荐免试资格者优先；
</t>
  </si>
  <si>
    <t xml:space="preserve">英语水平良好（全国大学英语六级460分以上，或托福80分以上，或雅思5.5分以上），英语听说读写流利。
</t>
  </si>
  <si>
    <t>第一天
09：00    开营典礼
10：00    导师介绍相关研究方向-1（分学术学位和专业学位两组同时进行）
13：00    导师介绍相关研究方向-2 （分学术学位和专业学位两组同时进行）
16：00    云参观实验室
第二天
09：00    导师介绍相关研究方向-3（分学术学位和专业学位两组同时进行）
13：00    教师与营员分组交流（分学术学位和专业学位两组同时进行）
第三天
09：00    考核与面试（分学术学位和专业学位两组同时进行）
13：00    考核与面试（分学术学位和专业学位两组同时进行）
16：00    闭营仪式
注：夏令营活动日程为初步安排，具体日程以届时公告为准</t>
  </si>
  <si>
    <t>网上报名截止时间为6月20日。</t>
  </si>
  <si>
    <t xml:space="preserve">共60人，分学术学位和专业学位两个班：
学术学位（基础心理学和认知神经科学）招收30人，含校内5人；
专业学位（应用心理）招收30人，含校内5人。
</t>
  </si>
  <si>
    <t>1.《华东师范大学2021年优秀大学生夏令营活动报名信息表》（报名系统中下载）；
2. 本科成绩单1份（前5学期），加盖学校教务处或院系公章；
3. 两封专业任课教师推荐信，需要副教授及以上职称专家推荐；（推荐信模板见链接：
https://yjszs.ecnu.edu.cn/download/2021ss/Letter_of_Recommendation_xly.doc）
4. 其他证明材料：含英语等级证书、科研经历的相关证明，如发表的论文、科研项目立项书、专利发明、各类获奖或资格证书等材料的复印件。
5. 个人陈述：提交3000字以内的个人自述一份，包括进入基础心理学、认知神经科学、应用心理专业研习的优势、未来发展计划，并阐述自己对心理学的了解和希望研究的主要问题；
6. 个人自述视频：提供一段5分钟视频，须为MP4格式且小于100MB，内容至少包含自我介绍、对报考专业的了解和希望研究的主要问题，以及未来发展规划。</t>
  </si>
  <si>
    <t>优秀营员如果获得所在本科学校推免资格，且2021年9月申请推免至我院的基础心理学、认知神经科学或应用心理专业，并达到我校推免接收条件的，可向我校申请推免（不再另外复试），夏令营考核成绩如进入推免综合排序名单，可拟录取为我校2022级研究生。</t>
  </si>
  <si>
    <t>活动主要包括学院介绍、学术报告、座谈研讨、实验室参观等活动。同时，我院安排接收推荐免试研究生的选拔工作。</t>
  </si>
  <si>
    <t>网上注册报名从5月4日起开始，网上申报截止时间为6月1日，纸质邮寄材料接收截止时间为6月2日（以申请材料到达日期准）</t>
  </si>
  <si>
    <t>6月30日-7月3日在华中科技大学举行，报到时间为6月30日上午、下午</t>
  </si>
  <si>
    <t>拟招收营员30名</t>
  </si>
  <si>
    <t>1.华中科技大学同济药学院2017年优秀大学生学术夏令营申请表1份(系统报名后自动生成)
2.个人简历1份3.本科阶段成绩单(由院系教务部门盖章，并注明专业人数及成绩排名)1份。
4.获奖证书或参与科研项目证明复印件各1份。5.英语水平证明材料，家大学英语四、六级成绩，TOEFL成绩单或GRE/GMAT成绩证书的复印件。6.申请人还可提交体现自身学术水平的代表性学术论文、出版物或原创性工作成果
注意：
以上材料，建议统一用A4大小的纸张打印或复印，并按照申请表、个人简历、成绩单、获奖证书复印件、各类证书复印件、其它材料的顺序排列装入档案袋。较厚的论文及出版物可单附于最后。学生所申报的各种信息和申请材料必须真实，如有弄虚作假，一经查实，将取消申请人所获得的资格</t>
  </si>
  <si>
    <t>华中科技大学药学院将为营员提供夏令营期间在汉的食宿(武汉地区学校的学生不提供住宿，)以及异地学校学生往返硬座火车票费用补贴(需出示票根报销，限硬座或动车二等座)，将为参营人员购买夏令营活动期间的人身意外伤害保险。</t>
  </si>
  <si>
    <t>可在接收为华中科技大学2018年“推免生”或“直博生”中优先选择导师</t>
  </si>
  <si>
    <t>活动主要包括学院介绍、各专业导师介绍、知名学者学术报告、与导师及在校研究生面对面交流、实验室参观等活动</t>
  </si>
  <si>
    <t>网上申报截止时间为6月10日，纸质邮寄材料接收截止时间为6月10日（以申请材料到达日期准）</t>
  </si>
  <si>
    <t>7月12日-7月14日在华中科技大学举行，报到时间为7月12日上午、下午</t>
  </si>
  <si>
    <t>拟招收营员40名</t>
  </si>
  <si>
    <t>1.药学院2019年优秀大学生学术夏令营申请表1份；2.个人简历1份；3.本科阶段成绩单（由院系教务部门盖章，并注明专业人数及成绩排名）1份；4.获奖证书或参与科研项目证明扫描件各1份；5.英语水平证明材料，大学英语四、六级成绩，TOEFL成绩单或GRE/GMAT成绩证书的扫描件；6.申请人还可提交体现自身学术水平的代表性学术论文、出版物或原创性工作成果的扫描件；7.药学院2019年学术夏令营营员个人信息汇总表。
以上材料，建议统一用A4大小的纸张打印或复印，并按照申请表、个人简历、成绩单、获奖证书复印件、各类证书复印件、其它材料的顺序排列装入档案袋。并在档案袋正面写上姓名、所在学校及院系，并注明“药学院夏令营申请”。学生所申报的各种信息和申请材料必须真实，如有弄虚作假，一经查实，将取消申请人所获得的资格。</t>
  </si>
  <si>
    <t>将为营员提供夏令营期间在汉的食宿（武汉地区学校的学生不提供住宿）以及外地学校学生往返武汉火车硬座（含高铁二等座）标准费用(需出示票根报销)，将为参营人员购买夏令营活动期间的人身意外伤害保险。</t>
  </si>
  <si>
    <t>可在接收为药学院2020年“硕士生”或“直博生”中优先选择导师</t>
  </si>
  <si>
    <t>药学院各学科情况介绍、前沿讲坛、学院导师与营员分组交流等。</t>
  </si>
  <si>
    <t>网上报名截止时间为6月30日</t>
  </si>
  <si>
    <t>以电子邮件或电话形式于7月8日前直接通知到本人。</t>
  </si>
  <si>
    <t>拟招收营员60名</t>
  </si>
  <si>
    <t xml:space="preserve"> 1.药学院2020年优秀大学生学术夏令营申请表1份；2.个人简历1份；3.本科阶段成绩单（由院系教务部门盖章，并注明专业人数及成绩排名）1份； 4.获奖证书或参与科研项目证明扫描件各1份； 5.英语水平证明材料，大学英语四、六级成绩，TOEFL成绩单或GRE/GMAT成绩证书的扫描件； 6.申请人还可提交体现自身学术水平的代表性学术论文、出版物或原创性工作成果的扫描件；7.药学院2020年学术夏令营营员个人信息汇总表；</t>
  </si>
  <si>
    <t>可在接收为药学院2021年“硕士生”或“直博生”中优先选择导师。</t>
  </si>
  <si>
    <t>6月28日下午5点前</t>
  </si>
  <si>
    <t>2021年7月7日-8日</t>
  </si>
  <si>
    <t>1.药学院2021年优秀大学生学术夏令营申请书1份（附件1）；
  2.个人简历1份；
  3.本科阶段成绩单（由院系教务部门盖章，并注明专业人数及成绩排名）1份；
  4.获奖证书或参与科研项目证明扫描件各1份；
  5.英语水平证明材料，大学英语四、六级成绩，TOEFL成绩单或GRE/GMAT成绩证书的扫描件；
6.申请人还可提交体现自身学术水平的代表性学术论文、出版物或原创性工作成果的扫描件</t>
  </si>
  <si>
    <t>夏令营活动结束后，营员将获得我院颁发的“药学院优秀大学生暑期学术夏令营”活动结业证书；取得所在学校“推免资格”的优秀营员，可在接收为药学院2022年“硕士生”或“直博生”中优先选择导师。</t>
  </si>
  <si>
    <t>生物医学学院</t>
  </si>
  <si>
    <t>安排学院专业方向介绍、学术讲座，实验室参观等多种活动</t>
  </si>
  <si>
    <t>网上申报截止时间为6月28日，纸质邮寄材料接收截止时间为6月10日（以申请材料到达日期准）</t>
  </si>
  <si>
    <t>7月9日-7月12日在上海交通大学举行，报到时间为7月9日</t>
  </si>
  <si>
    <t>1.《上海交通大学生物医学工程学院(含Med-X研究院)研究生自主招生优才夏令营申请表》(签字盖章后的原件)2.网上报名后打印的申请表3.大学期间成绩单(原件、教务部门盖章)4.英语六级成绩单(复印件)或其他英语考试成绩证明：如托福，雅思，中、高级口译证书等(复印件)5.学生证、身份证(复印件)6.其他证明材料(如已发表论文的复印件、奖状复印件、各类证书等)</t>
  </si>
  <si>
    <t>统一安排住宿，并承担交通费用</t>
  </si>
  <si>
    <t>网上报名时间为2019年4月24日上午10:00-2019年6月10日上午10:00；于2019年6月10日上午10：00前将以下纸质材料寄送至人才培养办公室</t>
  </si>
  <si>
    <t>7月15日-7月17日在上海交通大学举行，报到时间为7月15日</t>
  </si>
  <si>
    <t>统一安排住宿，并承担单程交通费用</t>
  </si>
  <si>
    <t>线上结合线下</t>
  </si>
  <si>
    <t xml:space="preserve"> </t>
  </si>
  <si>
    <t>网上报名时间为2020年6月6日上午10:00-2020年6月28日上午10:00；</t>
  </si>
  <si>
    <t>7月15日-7月17日举行</t>
  </si>
  <si>
    <t>1.《上海交通大学生物医学工程学院（含Med-X研究院）研究生自主招生优才夏令营申请表.docx》（需签字盖章）；2.大学期间成绩单（教务部门盖章）；3.英语六级成绩单或其他英语考试成绩证明：如六级或新TOEFL或IELTS成绩单等；4.学生证、身份证扫描件；5.其他证明材料（如已发表论文、专利及奖状、各类证书扫描件）。</t>
  </si>
  <si>
    <t>CET6≥425或TOEFL≥90或IELTS≥6.0</t>
  </si>
  <si>
    <t>多种形式的学术系列活动及师生互动</t>
  </si>
  <si>
    <t>网上报名时间为2021年6月27日前</t>
  </si>
  <si>
    <t>1. 两封推荐信；2.本科成绩单；3.本科成绩排名证明；4.英语六级成绩单或其他英语考试成绩证明
；5.学生证；6.身份证；7.学籍认证报告；8.奖励证书（如有）；9.参与科研课题材料或发表文章（如有）</t>
  </si>
  <si>
    <t>“优秀营员”获得所在本科学校推荐免试研究生资格，并符合我校推免生招生要求，我院根据招生规模从高分到低分依次直接录取，额满为止（申请直博生优先）。</t>
  </si>
  <si>
    <t>开营仪式、学术讲座、参观实验室、附属医院、专业英语笔试、优秀学员面试考核、颁发优秀学员证书</t>
  </si>
  <si>
    <t>网上报名第 1 期暑期学校活动申请截止日期为 6 月 3 日，第 2 期暑期学校活动申请截止日期为 7月 1 日。</t>
  </si>
  <si>
    <t>同济大学医学院拟定于 2018 年 6 月 11-13 日、7 月 11-13 日举办“2018 年优秀大学生暑期学校”活动</t>
  </si>
  <si>
    <t>两期拟招收170人</t>
  </si>
  <si>
    <t>1、《同济大学优秀大学生暑期学校申请表》;2、本科成绩单(由教务处或院系盖章)与总评成绩排名证明;3、外语水平证明复印件(如：英语四、六级考试成绩，托福成绩或 GRE/GMAT 成绩等);4、专家书面推荐信 2 份(如有);5、其他材料(如:发表论文、专利，各类获奖或资格证书等)。</t>
  </si>
  <si>
    <t>1、具有2020年推免生资格的学生在推免工作中申请我院，学院将根据接收规模从高分到低分依次录取，额满为止，暑期学校的考核成绩可以视为研究生入学考试复试成绩。2、未获得推免资格的优秀学员若2020年报考我院硕士研究生，其统考初试成绩达到其所报考专业的复试成绩基本要求的，可直接拟录取，暑期学校的考核成绩可以视为研究生入学考试复试成绩。3、提供暑期学校在沪活动期间的食宿、保险及医学院统一安排的参观考察费等，凡报考我院推免或统考研究生的学员均按不高于动车二等座或硬卧的标准实额报销参加本次活动的往返路费。</t>
  </si>
  <si>
    <t>网上报名需将资料提交至邮箱（申请截止日期为7月1日）</t>
  </si>
  <si>
    <t>2019年7月14-16日</t>
  </si>
  <si>
    <t>拟招收100人</t>
  </si>
  <si>
    <t>1、《同济大学优秀大学生暑期学校申请表》；2、本科成绩单(由教务处或院系盖章)与总评成绩排名证明；3、外语水平证明复印件（如：英语四、六级考试成绩，托福成绩或GRE/GMAT成绩等）；4、专家书面推荐信2份（如有）；5、其他材料(如:发表论文、专利，各类获奖或资格证书等)。</t>
  </si>
  <si>
    <t>线上开营仪式、学术讲座、云参观实验室、师生交流及政策咨询、面试考核</t>
  </si>
  <si>
    <t>暂不收取纸质申请材料，将以上申请材料按照顺序压缩打包发送邮箱（截止日期为6月24日）</t>
  </si>
  <si>
    <t>2020年7月6-10日</t>
  </si>
  <si>
    <t>拟招收100名左右</t>
  </si>
  <si>
    <t>1. 《同济大学优秀学生暑期学校报名表》；2. 《同济大学医学院2020年优秀学生暑期学校报名汇总表》3. 本科成绩单（由教务处或院系盖章）与总评成绩排名证明（如因疫情原因，暂时无法获取盖章，应在成绩单、专业排名证明的空白处写上本人承诺并签名:本人保证提供的信息和材料真实、准确。如有弄虚作假，被取消营员资格，责任自负）；4.. 外语水平证明复印件(如：英语四、六级考试成绩，托福成绩或GRE/GMAT成绩等)；5.专家书面推荐信2份（如有）；6.其他材料（如：发表论文、授权专利、各类获奖或资格证书等）。
注意：申请材料如有虚假，将取消申请人由此获得的一切利益，并保留追究申请人责任的权力。</t>
  </si>
  <si>
    <t>1. 具有2021年推免生资格的优秀学员在推免工作中申请我院，学院将根据接收规模从高分到低分依次录取，额满为止，暑期学校的考核成绩可以视为研究生入学考试复试成绩。                                                2. 未获得推免资格的优秀学员若2021年报考我院硕士研究生，其统考初试成绩达到其所报考专业的复试成绩基本要求的，可直接拟录取，暑期学校的考核成绩可以视为研究生入学考试复试成绩。</t>
  </si>
  <si>
    <t>大学英语六级考试成绩≥425分</t>
  </si>
  <si>
    <t>面试考核</t>
  </si>
  <si>
    <t>9月18日8：00前发至我院邮箱：yxyyjszs@126.com</t>
  </si>
  <si>
    <t>2021年9月22-26日</t>
  </si>
  <si>
    <t>学术型和专业型硕士推荐免试研究生人数约240人，直接攻博研究生约60人</t>
  </si>
  <si>
    <t>1、《同济大学接收推荐免试研究生申请表》（请至同济大学研究生招生网下载，具体链接：https://yz.tongji.edu.cn/info/1018/2388.htm）；2、本科阶段成绩单1份，须加盖学校教务处公章；3、外语能力水平证明（如：国家英语四级或六级证书、雅思、托福、GMAT、GRE等）4、本科阶段获奖证书、体现自身学术水平的代表性学术论文、出版物或原创性工作成果等材料（限排名第一作者）；5、直接攻博生须提供2封由本学科领域或相近学科的副高级（含）以上专家签名的专家推荐信,其中一封须为所报考导师的推荐信；（推荐信请至同济大学研究生招生网下载，具体链接：https://yz.tongji.edu.cn/info/1018/2388.htm
注意：申请材料如有虚假，将取消申请人由此获得的一切利益，并保留追究申请人责任的权力。</t>
  </si>
  <si>
    <t>获得同济大学医学院2021年暑期学校优秀学员的学生，已在暑期学校活动期间参加过研究生复试，无需参加本次推免复试，但也必须按照上述第六
4条的要求，在09月28日12：00前，在“推免服务系统”中（http://yz.chsi.com.cn/tm）完成报名申请，学院将根据暑期学校考核成绩依次发送复试通知和待录取通知，考生应在通知规定时间内接受复试通知和待录取通知。如逾期未接受确认，视为放弃暑期学校优秀学员资格，学院有权撤回通知并取消其获得的招生优惠政策。</t>
  </si>
  <si>
    <t>参观华西科技园实验基地、招生宣传、研究生座谈会、小组讨论（华西初体验感受）、 参观华西医院、临床技能中心、 导师见面、导师考察、小组讨论（学术心得）、 外出参观</t>
  </si>
  <si>
    <t>网上报名时间截止日期2018年5月31日</t>
  </si>
  <si>
    <t>2018年7月3日—7月6日</t>
  </si>
  <si>
    <t>90人</t>
  </si>
  <si>
    <t>1、邮寄材料清单：申请表(报名成功后由系统自动生成)、成绩单及成绩排名证明(各1份，需加盖所在学校教务处公章)、身份证及学生证复印件、各类证书及科研原创性成果证明。将所有材料用订书机装订成册于截止日期前寄达我院，请不要使用文件夹/袋等文具，建议使用顺丰或邮政特快专递寄送。在快递信封外注明：夏令营报名材料。</t>
  </si>
  <si>
    <t>1、夏令营期间的住宿费和伙食费由我院免费安排;2、报销学校所在城市至成都的单程火车票价，报销标准参照学校相关规定执行(火车硬卧标准)，请妥善保管票据作为报销凭据。</t>
  </si>
  <si>
    <t>报名时间：2019年5月13日开始网上报名，截止日期2019年5月31日</t>
  </si>
  <si>
    <t>2019年7月2日—7月5日</t>
  </si>
  <si>
    <t>邮寄材料清单：申请表、成绩单及成绩排名证明(各1份，需加盖所在学校教务处公章)、身份证及学生证复印件、各类证书及科研原创性成果证明。将所有材料用订书机装订成册于截止日期前寄达我院，请不要使用文件夹/袋等文具，建议使用顺丰或邮政特快专递寄送。在快递信封外注明：夏令营报名材料。</t>
  </si>
  <si>
    <t>以学科和专业领域活动为主，其他活动为辅。形式为“云宣讲、云讲座、云参观”等，由各承办单位具体安排。</t>
  </si>
  <si>
    <t>六月下旬</t>
  </si>
  <si>
    <t>七月初，活动周期一般为3至5天。</t>
  </si>
  <si>
    <t xml:space="preserve">考核优秀的营员，获得推免资格且满足我校接收推免生条件者，届时在推免系统填报我校即可免复试予以录取，条件特别优秀者可直接申请我校直博生。
</t>
  </si>
  <si>
    <t>大学英语四级≥480分，六级考试成绩≥425分</t>
  </si>
  <si>
    <t>营员报到、开营仪式、参观医院、技能中心、学科介绍、科室参观导师见面与交流、优秀学长交流会、具体时间待入营复试考核后通知.</t>
  </si>
  <si>
    <t>2021.6.10-6.20</t>
  </si>
  <si>
    <t>2021年7月13日-14日</t>
  </si>
  <si>
    <t xml:space="preserve">1、申请表(报名成功后由系统自动生成) ;
2、本科成绩单和专业排名证明(各1份;需加盖所在学院教务处公章) ;
3、相关荣誉、比赛竞赛获奖证书复印件、学术成果复印件等。
特别提示:请只提交正式发表的第一作者文章(英文论文可包括共一-排第二的文章)、比赛竞赛获奖请提交校级及以上的获奖证书。
</t>
  </si>
  <si>
    <t>夏令营期间的住宿费和伙食费由我院免费安排(成都本地高校营员不提供住宿);
对成功推免到我院的校外推免生，报销夏令营活动期间学校所在城市至成都的往返火车票价，报销标准参照学校相关规定执行(火车硬卧或动车二二等座标准)，金额不超过1000元/人，需报销者请妥善保管票据，于10月10日--11月1日期间将票据邮寄至我院。</t>
  </si>
  <si>
    <t>参加夏令营复试考核合格的营员，如获得所在本科院校2022年推荐免试资格，夏令营填报专业与推免填报专业一-致者，可被我院直接录取为推荐免试研究生，特别优秀者可申请直接攻读博士学位。</t>
  </si>
  <si>
    <t>1. 开营典礼：主要包括学院介绍、导师介绍;2. 讲座与交流：主要包括聆听学术报告、与研究生导师面对面交流、与在读研究生座谈;3. 安排兰州大学2020年公共卫生学院接收统考研究生和校外推荐免试研究生的有关政策宣传;4. 文化活动：主要包括参观学校和学院等。</t>
  </si>
  <si>
    <t>网上报名：于2018年6月28日前将资料打包发送至邮箱</t>
  </si>
  <si>
    <t>2018年7月14日-16日期间进行，7月14日下午14:30-17:30为营员报到时间</t>
  </si>
  <si>
    <t>限额20名</t>
  </si>
  <si>
    <t>1.网上资料提交① 兰州大学公共卫生学院2019年优秀大学生暑期夏令营申请表(附件1);② 两封专家亲笔签名推荐信(附件2);③ 本科前5或7个学期成绩单(由教务部门盖章)，排名专业或班级前30%的证明(由教务部门或院系盖章);④ 身份证、学生证复印件;⑤ 英语四六级证书;⑥其它证明材料(如获奖证书、学术论文、 TOEFL/IELTS/GRE成绩单等复印件，非必须)。请将上述申请材料的扫描件于2019年6月28日前打包发送至邮箱zhaonj@lzu.edu.cn(邮件主题标明“XX大学-XX院系-姓名夏令营申请”)2.纸质材料提交：申请人通过营员资格审核后，入营报到时提交夏令营报名表、成绩单原件和其他要求的纸质材料。
注：网上申请、电子材料、纸质材料提交缺一不可。材料须真实有效，因信息填写错误、填报虚假信息造成的后果由申请人本人承担。</t>
  </si>
  <si>
    <t>兰州大学将为营员提供夏令营期间的食宿(本地学校学生不提供住宿)、人身保险费以及异地学校学生往返硬座火车票/汽车票(须有票据)。住宿提供双人标间，原则上要求双人入住。请自行提前预订往返车票，主办方不提供订票服务。营员务必保障自己的人身安全</t>
  </si>
  <si>
    <t>网上报名：于2019年6月28日前将资料打包发送至邮箱</t>
  </si>
  <si>
    <t>2019年7月14日-16日期间进行，7月14日下午14:30-17:30为营员报到时间</t>
  </si>
  <si>
    <t>兰州大学将为营员提供夏令营期间的食宿(本地学校学生不提供住宿)、人身保险费以及异地学校学生往返硬座火车票/汽车票(须有票据)。住宿提供双人标间，原则上要求双人入住。请自行提前预订往返车票，主办方不提供订票服务。营员务必保障自己的人身安全。</t>
  </si>
  <si>
    <t>开营典礼，讲座与交流、有关政策宣传；文化活动</t>
  </si>
  <si>
    <t>网上报名：在2020年6月30日前将申请材料打包发送至邮箱</t>
  </si>
  <si>
    <t>暂定于2020年7月中下旬</t>
  </si>
  <si>
    <t>1.电子材料                                                                                                      a. 兰州大学公共卫生学院2020年优秀大学生暑期夏令营申请表；b. 2封专家亲笔签名推荐信（附件2）；c. 本科前5或7个学期成绩单（由教务部门盖章），排名专业或班级前30％的证明（由教务部门或院系盖章）；d. 身份证、学生证复印件；e. 英语四六级证书复印件；f. 其它证明材料（如获奖证书、学术论文、TOEFL/IELTS/GRE成绩单等复印件，非必须）。                                                                                                       2.入营报到时需提交夏令营报名表、审查成绩单原件和其他要求的纸质材料。注：网上申请、电子材料、纸质材料提交缺一不可。材料须真实有效，因信息填写错误、填报虚假信息造成的后果由申请人本人承担。</t>
  </si>
  <si>
    <t>兰州大学将为营员提供夏令营期间的食宿（本地学校学生不提供住宿）、人身保险费以及异地学校学生往返硬座火车票/汽车票。住宿提供双人标间，原则上要求双人入住。请自行提前预订往返车票，主办方不提供订票服务。</t>
  </si>
  <si>
    <t>1.取得所在学校推免资格的优秀营员，经体检合格，可直接接收为兰州大学公共卫生学院2021年推荐免试硕士研究生；2.部分未取得所在学校推免资格的优秀营员，如第一志愿报考兰州大学，参加2021年全国硕士研究生统一入学考试，初试成绩达到我院报考专业“学院复试分数线”，参加复试且体检合格者，同等条件下优先录取。</t>
  </si>
  <si>
    <t>网上报名：在2020年6月5日前将申请材料打包发送至邮箱</t>
  </si>
  <si>
    <t>2021年6月26-27日</t>
  </si>
  <si>
    <t>（1）兰州大学公共卫生学院2021年优秀大学生暑期夏令营申请表（附件1）
（2）2封专家亲笔签名推荐信（附件2）
（3）本科前5或7个学期成绩单（由教务部门盖章），排名专业或班级前30％的证明（由教务部门或院系盖章）
（4）身份证、学生证复印件
（5）英语四六级证书复印件
（6）其他证明材料（如获奖证书、学术论文、TOEFL/IELTS/GRE成绩单等复印件，非必须）</t>
  </si>
  <si>
    <t>兰州大学将为营员提供夏令营期间的食宿（本地学校学生不提供住宿）、人身保险费以及异地学校学生往返硬座火车票/汽车票。住宿提供双人标间，原则上要求双人入住。</t>
  </si>
  <si>
    <t>（1）取得所在学校推免资格的优秀营员，可直接接收为兰州大学公共卫生学院2022年推荐免试硕士研究生；
（2）部分未取得所在学校推免资格的优秀营员，如第一志愿报考兰州大学，参加2022年全国硕士研究生统一入学考试，初试成绩达到我院报考专业“学院复试分数线”，参加复试且成绩合格者，同等条件下优先录取。</t>
  </si>
  <si>
    <t>2018年未举办</t>
  </si>
  <si>
    <t>2019年未举办</t>
  </si>
  <si>
    <t>拟通过线上宣讲和答疑形式对放射医学研究所的各研究方向、培养目标等进行全面介绍；通过线上面试平台对入营学生进行预选</t>
  </si>
  <si>
    <t>网上报名开始时间是2020年6月10日，截止时间为2019年7月9日；纸质材料提交截止日期为7月9日（以当地邮戳为准）特别提示：只在网上报名而未邮寄材料者或材料不全者，报名不予受理。</t>
  </si>
  <si>
    <t>20人以内</t>
  </si>
  <si>
    <t>1.网上申请需上传以下材料：a. 近期正面免冠彩色证件照b. 本科阶段成绩单（由教务部门盖章或院系盖章）c. 外语水平证明，如CET四、六级成绩等d. 有关获奖证书和学术科研成果（发表论文、出版物或原创性工作）     2.纸质材料提交得有a. “复旦大学2020年大学生夏令营申请表” 1份（报名系统中打印）；b. 副高级职称以上专家撰写的“申请复旦大学推荐免试研究生导师推荐信”2封；c. 本科阶段成绩单（由教务部门盖章或院系盖章）1份；d. 其他证明材料（如已发表论文、各类获奖或资格证书、CET四、六级等各类英语考试成绩单）复印件各1份。</t>
  </si>
  <si>
    <t>通过英语四级及以上考试</t>
  </si>
  <si>
    <t>拟通过线上宣讲和答疑形式对放射医学研究所的各研究方向、培养目标等进行全面介绍；通过线上面试平台对入营学生进行预选拔。</t>
  </si>
  <si>
    <t>2021年5月15日上午9点，截止时间为2021年6月15日下午5点邮寄纸质材料截至日期为6月20日（以当地邮戳为准），过期不再接受申请。建议以EMS等快递方式邮寄。特别提示：只在网上报名而未邮寄材料者或材料不全者，报名不予受理。</t>
  </si>
  <si>
    <t>2021年7月2日至10日</t>
  </si>
  <si>
    <t>计划营员人数约20</t>
  </si>
  <si>
    <t>网上申请：1. 近期正面免冠彩色证件照 2. 本科阶段成绩单（由教务部门盖章或院系盖章） 3. 外语水平证明，如CET四、六级成绩等 4. 有关获奖证书和学术科研成果（发表论文、出版物或原创性工作） 纸质材料：1. 近期正面免冠彩色证2. 本科阶段成绩单（由教务部门盖章或院系盖章）3. 外语水平证明，如CET四、六级成绩等 4. 有关获奖证书和学术科研成果（发表论文、出版物或原创性工作）</t>
  </si>
  <si>
    <t>华西临床学院</t>
  </si>
  <si>
    <t>参观医院、技能中心，学科介绍，科室参观，导师见面与交流，优秀学长在线交流会、云复试考核</t>
  </si>
  <si>
    <t>2020年6月10日开始网上报名，截止日期2020年6月21日。</t>
  </si>
  <si>
    <t>2020年7月7日—7月9日</t>
  </si>
  <si>
    <t>拟招收300人</t>
  </si>
  <si>
    <t>1. 申请表（报名成功后由系统自动生成）；2. 本科成绩单和专业排名证明（各1份；需加盖所在学校教务处公章）；
3. 相关获奖证书复印件、学术成果复印件等</t>
  </si>
  <si>
    <t>医学院临床医学类</t>
  </si>
  <si>
    <t>学术讲座，请营员云参观实验室及政策咨询，面试考核</t>
  </si>
  <si>
    <t>暂不接收纸质申请材料，网上报名截止时间为6月30日</t>
  </si>
  <si>
    <t>2020年7月13-17日</t>
  </si>
  <si>
    <t>1.《同济大学优秀学生暑期学校报名表》；2.《同济大学医学院2020年优秀学生暑期学校报名汇总表》；3.本科成绩单（由教务处或院系盖章）与总评成绩排名证明（如因疫情原因，暂时无法获取盖章，应在成绩单、专业排名证明的空白处写上本人承诺并签名：本人保证提供的信息和材料真实、准确。如有弄虚作假，被取消营员资格，责任自负）；4.外语水平证明复印件（如：英语四、六级考试成绩，托福成绩或GRE/GMAT成绩等）；5.专家书面推荐信2份（如有）；6.其他材料（如：发表论文、授权专利、各类获奖或资格证书等）。
注意：申请材料如有虚假，将取消申请人由此获得的一切利益，并保留追究申请人责任的权力。</t>
  </si>
  <si>
    <t>1. 具有2021年推免生资格的优秀学员在推免工作中申请我院，学院将根据接收规模从高分到低分依次录取，额满为止，暑期学校的考核成绩可以视为研究生入学考试复试成绩。
2. 未获得推免资格的优秀学员若2021年报考我院硕士研究生，其统考初试成绩达到其所报考专业的复试成绩基本要求的，可直接拟录取，暑期学校的考核成绩可以视为研究生入学考试复试成绩。</t>
  </si>
  <si>
    <t>2018年5月25日—6月15日进行网上报名，2018年6月21—24日，未进行网上报名的同学可填写附件，发送至xyyyxly@163.com进行报名。</t>
  </si>
  <si>
    <t>7月13日下午2:30开始学员报到。报到地点：湘雅医院留芳宾馆，7月15日下午，学员离营。</t>
  </si>
  <si>
    <t>1.本人有效二代身份证件和学生证及复印件（查看原件）；2.网上提交申请后，下载打印《申请表》一份，不需要加盖公章；3.个人简历及个人陈述，简要陈述参加本次夏令营的原因、目的和期望；4.在校历年学习成绩单及成绩排名证明一份，并由所在学校或院系的教务部门加盖公章；5.大学英语四级或六级考试成绩单复印件一份；6.有学术成果（包括公开发表论文、出版著作、获得专利、获得学术科技奖项、承担课题或者其他具有学术水平的工作成果）者，提供学术成果复印件一份（原件在面试时出具）；7.有获得各类荣誉、表彰、奖励证书者，提供复印件一份（原件在面试时出具）。申请人提供的材料必须真实，凡弄虚作假者，一经发现，即取消拟录取资格；录取后发现申请信息作假者，报请教育部取消研究生学籍。</t>
  </si>
  <si>
    <t>对于获得推免资格，且在9月的国家推免系统中被我院录取的同学，报销一定的住宿费用（请保留住宿发票）。外地院校学生请自行预定往返车票，对于获得推免资格，且在9月的国家推免系统中被我院录取的同学，给予一定的交通补助（请保留往返车票）。</t>
  </si>
  <si>
    <t>营员报到、参观学院、开营典礼、学院介绍、相关教研室师生专题交流、各专业组织推免生面试</t>
  </si>
  <si>
    <t>2018年5月25日-6月15日进行网上报名</t>
  </si>
  <si>
    <t>在6-8月份进行，活动时间为2天左右，</t>
  </si>
  <si>
    <t>2020年6月15日-6月30日进行网上报名</t>
  </si>
  <si>
    <t>全国大学外语四级水平考试成绩优良，或全国大学外语六级水平成绩合格（425分以上），或TOEFL、GRE等考试成绩优秀者。</t>
  </si>
  <si>
    <t>6月18日前</t>
  </si>
  <si>
    <t>2021年7月12-16日</t>
  </si>
  <si>
    <t>（1）本人有效二代身份证件和学生证；
（2）大学英语四级或六级考试成绩单复印件一份；
（3）在校历年学习成绩单及成绩排名证明，并由所在学校或院系教务部门加盖公章；
（4）有学术成果（包括公开发表论文、出版著作、获得专利、获得学术科技奖项、承担课题或者其他具有学术水平的工作成果）者，提供学术成果一份；
（5）获得各类荣誉、表彰、奖励证书；
（6）个人简历及个人陈述，简要陈述参加本次夏令营的原因、目的和期望。</t>
  </si>
  <si>
    <t>对获得我校优秀营员、取得其所在高校推荐免试资格且第一志愿报考我校的考生，特此提醒：
1.此类考生按我校接收推荐免试攻读硕士研究生办法进行报名和录取。
2.考生必须于教育部建立的“国家推免服务系统”（网址：http://yz.chsi.com.cn/tm）开通的第一天网上报名、学院会尽快按报名时间先后顺序发出待录取通知（额满为止）。考生应在24小时内通过“推免服务系统”确认待录取，否则视为放弃。</t>
  </si>
  <si>
    <t>网上报名时间：5月22日-6月19日</t>
  </si>
  <si>
    <t>2018年7月11日至7月14日</t>
  </si>
  <si>
    <t>1.需在报名系统提交的电子版材料：（1）本科在读期间成绩单（需学校教务部门签字及盖章，或学院签字及盖章（2）前五学期成绩排名（按照所在学校推免所需的排名方式进行排名，需学院签字及盖章）；（3）英语CET-4/6成绩单，或其他相应外语水平证明；（4）各类获奖证书、已发表论文等其它证明材料；（5）学生证（在读学期需注册完整）、学信网《教育部学籍在线验证报告》。以上材料需按照顺序排列，合并为一个pdf文件，然后按照报名系统要求提交。
2.报道时需携带的材料：（1）中国海洋大学2018年优秀大学生暑期夏令营申请表（网上报名后系统生成），应如实填写各项信息并由学校相关部门签字盖章；（2）《中国海洋大学硕士研究生复试思想政治审核表》（3）一寸免冠证件照3张。（4）已在报名系统中提交的所有电子版材料原件。</t>
  </si>
  <si>
    <t>1. 学校将为全程参加夏令营并且考核合格的营员发放城际交通补贴（需提供到青交通凭证如机票、火车票等），省外高校学生最高不超过800元/人（往返），省内高校学生最高不超过300元/人（往返，驻青高校学生除外）；2.学校将为营员统一办理饭卡，并发放补贴；3.学校将为营员提供统一住宿（驻青高校学生除外）；4.营员在校期间可免费上网；</t>
  </si>
  <si>
    <t>网上报名时间：5月23日-6月14日</t>
  </si>
  <si>
    <t>2019年7月10日至7月13日</t>
  </si>
  <si>
    <t>1.需在报名系统提交的电子版材料：(1)本科在读期间成绩单(需学校教务部门签字及盖章，或学院签字及盖章);(2)前五学期成绩排名(按照所在学校推免所需的排名方式进行排名，需学院签字及盖章);(3)英语CET-4/6成绩单，或其他相应外语水平证明;(4)各类获奖证书、已发表论文等其它证明材料;(5)学生证(在读学期需注册完整)、学信网《教育部学籍在线验证报告》。以上材料需按照顺序排列，合并为一个pdf文件，然后按照报名系统要求提交。
2.报道时需携带的材料：
(1)《中国海洋大学2019年优秀大学生暑期夏令营申请表》(网上报名后系统生成)，应如实填写各项信息并由学校相关部门签字盖章;
(2) 《中国海洋大学硕士研究生复试思想政治素质和品德考核表》 ;
(3)一寸免冠证件照3张;
(4)已在报名系统中提交的所有电子版材料原件。</t>
  </si>
  <si>
    <t>1.学校将为全程参加夏令营的营员发放城际交通补贴(需提供到青交通凭证如机票、火车票等)，省外高校学生最高不超过800元/人(往返)，省内高校学生最高不超过300元/人(往返，驻青高校学生除外);2.学校将为营员统一办理饭卡，并发放补贴;3.学校将为营员提供统一住宿;4.夏令营期间营员可免费使用校区内无线网络;</t>
  </si>
  <si>
    <t>活动包括开营仪式，学校、学院及学科介绍，与科学家座谈，线上参观医药学院、青岛海洋生物医药研究院、青岛海洋科学与技术国家实验室、综合考核等</t>
  </si>
  <si>
    <t>网上报名时间：6月20日-7月5日（8:00-17:00）</t>
  </si>
  <si>
    <t>2020年7月15日至7月17日</t>
  </si>
  <si>
    <t>1. 中国海洋大学2020年优秀大学生暑期夏令营申请表；2. 学信网的教育部学籍在线验证报告。3. 本科在读期间成绩单。4. 英语CET-4/6成绩单，或其他相应外语水平证明。5. 各类获奖证书、已发表论文等其他证明材料。
以上材料签名处均应手写，其他内容不限书写方式。
夏令营申请表、本科成绩单和成绩排名需有学校教务部门或学院签字、盖章，夏令营申请表还需本人签字。以上材料拍照或扫描，按上述顺序合并为一个pdf文件，命名为“本科学校-专业-姓名”，将该pdf文件压缩，再将压缩文件上传至报名系统。</t>
  </si>
  <si>
    <t>5月25日-6月21日</t>
  </si>
  <si>
    <t>2021年7月6日至7月8日。</t>
  </si>
  <si>
    <t>1.中国海洋大学2021年优秀大学生暑期夏令营申请表（附件2）。
2.本科在读期间成绩单。
3.英语CET-4/6成绩单，或其他相应外语水平证明。
4.各类获奖证书、已发表论文等其他证明材料。
5.学信网的教育部学籍在线验证报告。
以上材料签名处均应手写，其他内容不限书写方式，夏令营申请表、本科成绩单和成绩排名需有学校教务部门或学院签字、盖章，夏令营申请表还需本人签字。以上材料拍照或扫描为图片或pdf格式，按上述顺序合并为一个pdf文件，命名为“本科学校-专业-姓名”，将该pdf文件压缩，再将压缩文件上传至报名系统。</t>
  </si>
  <si>
    <t>网上报名截止日期2018年6月10日。电子邮件发送截止时间为2018年6月10日17:30。此次报名不需要寄送纸质材料。纸质材料需要在7月13日报到时出示。</t>
  </si>
  <si>
    <t>于2018年7月13日—7月18日在厦门大学翔安校区举办</t>
  </si>
  <si>
    <t>1．暑期夏令营申请表：请申请人如实填写附件1：《厦门大学医学院2017年全国优秀大学生暑期夏令营申请表》，按要求上传1寸彩色电子照片(免冠证件照)；2．本科成绩单和专业排名证明（均需加盖学校教务部门或院系公章；成绩单为所在学校教务部门或院系出具并加盖公章的大学本科前三年所修课程成绩单）、其他证明材料（如已发表论文的复印件、专利复印件、英语四/六级成绩单、各类证书等）；3．本单位2名副教授职称以上的教师的推荐信（附件2），一人一封，共两封；4．其他在校期间获奖和荣誉称号证明；5．将申请表、个人简历、成绩单、成绩排名、推荐信、证书等申请材料扫描合并成一个PDF格式发送到1052272670@qq.com，文件名格式：姓名_学校_所报专业.pdf，同时将本通知附件3的汇总表填写好一并发来（excel表格，无需pdf格式）。6.将所有电子版文件在一封邮件中发送，邮件名称为：2018暑期夏令营申请­_姓名_学校。</t>
  </si>
  <si>
    <t>学院负责提供夏令营营员同学从所在学校到厦门的往返火车票费用（硬座标准），以及夏令营期间的住宿，另有部分餐饮补贴。营员需自行购买往返火车票，如特殊原因需购买飞机票，学院将按照火车票硬座的标准予以报销，超出部分的费用由学生自行承担。参加夏令营的同学需妥善保管相关发票作为报销凭据。</t>
  </si>
  <si>
    <t>2019网上报名系统于6月13日开放，报名截止日将统一延迟到6月20日。</t>
  </si>
  <si>
    <t>于2019年7月12日—7月17日在厦门大学翔安校区举办</t>
  </si>
  <si>
    <t>1.夏令营申请表（厦门大学大学生夏令营网上报名系统自动生成）2.本人简历（注：请务必于简历中显眼位置注明1-2名意向导师姓名）；3.考生自述（主要包括考生本人的政治表现、外语水平、业务和科研能力、研究计划等方面内容）4.成绩单（申请之日所能提供的成绩单，须加盖所在学校教务部门公章）；5.成绩排名（所在学院出具）；6.专家（教授或副教授）推荐信2份；其他证明材料（获奖证书、国家英语四、六级证书和雅思、托福成绩单等证明材料的复印件）</t>
  </si>
  <si>
    <t>网上报名时间为2020年6月15日-6月30日（6月30日17：30报名截止，报名网站关闭）。</t>
  </si>
  <si>
    <t>2020年7月20日-7月23日举办</t>
  </si>
  <si>
    <t>1. 夏令营申请表：厦门大学大学生夏令营网上报名系统自动生成
2. 本人简历，注：请务必于简历首页的第一行注明1-2名意向导师姓名。
3. 考生自述：主要包括考生本人的政治表现、外语水平、业务和科研能力、研究计划等方面内容。
4. 成绩单：申请之日所能提供的成绩单，须加盖所在学校教务部门公章。
5. 成绩排名（所在学院出具）；6. 专家（教授或副教授）推荐信2份；7. 其他证明材料：获奖证书、国家英语四、六级证书和雅思、托福成绩单等证明材料的复印件。</t>
  </si>
  <si>
    <t>通过夏令营考核并且获得推荐免试研究生资格和名额的夏令营营员，可免予参加我校九月份或十月份的推荐免试研究生（含直博生）考试。</t>
  </si>
  <si>
    <t>学习成绩优秀，对本领域的科学研究有着浓厚兴趣，具有潜在的科研能力，学习成绩排名年级前20%，并能取得所在学校研究生推荐免试资格；</t>
  </si>
  <si>
    <t>2021年5月20日-6月10日</t>
  </si>
  <si>
    <t>2021年7月12日—7月15日</t>
  </si>
  <si>
    <t>1.夏令营申请表（厦门大学大学生夏令营网上报名系统自动生成，网址为：http://dxsxly.xmu.edu.cn）；
2.个人陈述（主要包括考生本人的政治表现、外语水平、业务和科研能力、研究计划等方面内容）；
3.成绩单（申请之日所能提供的成绩单，须加盖所在学校教务部门公章）；
4.成绩排名（所在学院出具）；
5.专家（教授或副教授）推荐信2份；
6.其他证明材料（获奖证书、国家英语四、六级证书和雅思、托福成绩单等证明材料的复印件）。</t>
  </si>
  <si>
    <t>通过我院夏令营考核并且获得推荐免试研究生资格和名额的夏令营营员，可免予参加我校九月份或十月份的推荐免试研究生（含直博生）考试，（详情以我校招生办网站上公布的《厦门大学2022年推荐免试研究生（含硕士生、直博生）招生简章》为准）；通过夏令营考核但未获得推荐免试研究生资格和名额的夏令营营员，如果选择以公开招考方式报考厦门大学2022年硕士研究生和2022年博士研究生，成绩达到相应标准，在同等条件下我校将给予优先录取。</t>
  </si>
  <si>
    <t>网上报名时间：5月15日至6月13日</t>
  </si>
  <si>
    <t>5月26日-6月16日在多地进行选拔</t>
  </si>
  <si>
    <t>1.系统打印并本人签名的报名表；2.在校成绩单，加盖院系教务部门公章；3.学籍认证报告：登录“高等教育学生信息咨询网”（www.chsi.com.cn），进入“学信档案”在线申请学籍验证；4.英语成绩证明复印件（如英语六级、托福、雅思等）；5.个人简历6.其他材料（如：已发表论文或专利、与科研相关的获奖证书等）。
注：申请者须认真、如实填写《申请表》中的各项内容，提供《申请表》中所涉及的所有证明材料，不能提供证明材料者视《申请表》相关内容无效，将取消自主招生优惠资格。</t>
  </si>
  <si>
    <t xml:space="preserve">若获得所在学校推免资格并申请我校，学院根据接收规模按照成绩从高分到低分录取，额满为止；申请直博生优先。
若参加全国统考报考我校，达到学院复试分数线则免再复试，学院根据招生规模从高分到低分确定入围名单，额满为止。
</t>
  </si>
  <si>
    <t>开营、课题组参观与导师见面会，笔试、面试</t>
  </si>
  <si>
    <t>网上报名时间至6月15日17点前</t>
  </si>
  <si>
    <t>拟于2019年7月16-19日举办研究生优才夏令营</t>
  </si>
  <si>
    <t>预计规模为80人</t>
  </si>
  <si>
    <t>1.系统打印并本人签名的报名表；2.在校成绩单并加盖院系教务部门公章，成绩单上应注明专业排名；3.学籍认证报告：登录“高等教育学生信息咨询网”（www.chsi.com.cn），进入“学信档案”在线申请学籍验证；4.英语成绩证明复印件（如英语六级、托福、雅思等）；5.个人简历6.其他材料（如：已发表论文或专利、与科研相关的获奖证书等）。
注：申请者在网上申请时，须认真、如实填写各项内容，一经发现材料有不实之处，将取消自主招生优惠资格。申请阶段只需完成网上申请，无需寄送纸质材料；获得入营资格的申请者方可打印夏令营申请表，并随同其他申请材料寄送至我院。</t>
  </si>
  <si>
    <t>为非本校营员提供夏令营活动期间在校食宿（住宿时间为7月16-18日，若开营时间调整，住宿时间也将相应调整）；以及异地往返上海的火车票费用（高铁二等座/硬座/硬卧，按学生票标准，实报实销）。</t>
  </si>
  <si>
    <t>若获得所在学校推免资格并申请我校，学院根据接收规模按照成绩从高分到低分录取，额满为止；申请直博生优先。
若参加全国统考报考我校，达到学院复试分数线则免再复试，学院根据招生规模从高分到低分确定入围名单，额满为止。</t>
  </si>
  <si>
    <t>网上申请时间截止到6月28日，不需要邮寄纸质材料</t>
  </si>
  <si>
    <t>1.上海交通大学药学院研究生优才夏令营活动申请表（需签字盖章）；2.身份证扫描件；3.学生证扫描件；4.学籍认证报告：登录“高等教育学生信息咨询网”（www.chsi.com.cn），进入“学信档案”在线申请学籍验证；5.本科阶段成绩单并加盖所在学校教务部门公章，成绩单上应标明专业排名，或直接提交专业排名证明（扫描件）；6.外语水平证明材料（如英语六级、托福、雅思等）；7.在学期间的科研成果（如：已发表论文或专利、与科研相关的获奖证书等）；8.博士阶段研究计划书（仅申请推免直博生需填写）。
注：申请者在网上申请时，须认真、如实填写各项内容，一经发现材料有不实之处，将取消自主招生优惠资格。</t>
  </si>
  <si>
    <t>全国大学英语六级成绩≥ 460分或新TOEFL≥ 90分或IELTS≥ 6.0分</t>
  </si>
  <si>
    <t>2021年7月15日-16日</t>
  </si>
  <si>
    <t>1.上海交通大学药学院研究生优才夏令营活动申请表（点击下载：上海交通大学药学院研究生优才夏令营申请表；打印后需签字盖章）
2.居民二代身份证（正反面扫描件）
3.学生证（扫描件）
4.教育部学籍在线验证报告（登录学信网：http://www.chsi.com.cn/进入“学信档案”在线申请学籍验证）
5.本科阶段成绩单并加盖所在学校教务部门公章，成绩单上应标明专业排名（扫描件）
6.外语水平证明材料（如英语六级、托福、雅思等成绩单原件扫描件）
7.个人简历
8.其他材料（如已发表的论文或专利、与科研相关的获奖证书等原件扫描件；非必须项）
9.博士阶段研究计划书（仅申请推免直博生需填写）。
注：申请者在网上申请时，须认真、如实填写各项内容，一经发现材料有不实之处，将取消自主招生优惠资格。</t>
  </si>
  <si>
    <t>如“优秀营员”获得所在学校推荐免试直升研究生资格，并在教育部“全国推荐优秀应届本科毕业生免试攻读研究生信息公开暨管理服务系统”（以下简称“推免服务系统”）中选报我院，我院将通过“推免服务系统”向其发送拟录取通知。</t>
  </si>
  <si>
    <t>全面介绍学院发展近况，请营员走进实验室，邀请专家学者开设专题讲座、组织校内外参观考察、导师见面会、优秀学长交流会等活动。</t>
  </si>
  <si>
    <t>网上报名6月22日截止</t>
  </si>
  <si>
    <t>2018年7月10日—12日。</t>
  </si>
  <si>
    <t>1.《天津大学2018年研究生招生夏令营申请表》中英文版(按表格要求签字，原件);2. 证明学习成绩及排名的成绩单或证明件，并加盖学校教务部门或学院公章;须提供中英文版，如所在学校不能提供英文版，请自行翻译并加盖公章;(原件)3. 英语水平证明(复印件);4. 学生证(复印件)5. 相关证明材料(各类奖励、学术成果材料，复印件)。
以上材料请用燕尾夹夹好，装入A4大信封，信封正面标注申报专业、姓名、所在学校，并注明“药学院夏令营申请”。另请准备英语水平及各类奖励、学术成果证明材料原件，学院将统一进行核查。</t>
  </si>
  <si>
    <t>网上报名6月15日截止。</t>
  </si>
  <si>
    <t>2019年7月2日—4日</t>
  </si>
  <si>
    <t>1.《天津大学2019年研究生招生夏令营申请表》中英文版(按表格要求签字，原件);2. 证明学习成绩及排名的成绩单或证明件，并加盖学校教务部门或学院公章;须提供中英文版，如所在学校不能提供英文版，请自行翻译并加盖公章;(原件)3. 英语水平证明(复印件);4. 学生证(复印件)5. 相关证明材料(各类奖励、学术成果材料，复印件)。
以上材料请用燕尾夹夹好，装入A4大信封，信封正面标注申报专业、姓名、所在学校，并注明“药学院夏令营申请”。另请准备英语水平及各类奖励、学术成果证明材料原件，学院将统一进行核查。</t>
  </si>
  <si>
    <t>全面介绍学院发展近况，请营员云参观实验室，邀请专家学者开设线上专题讲座、导师见面会、优秀学长交流会等活动</t>
  </si>
  <si>
    <t>申请时间为6月12日-7月2日</t>
  </si>
  <si>
    <t>2020年7月9日—10日</t>
  </si>
  <si>
    <t>1. 申请者须通过报名系统提交电子版照片，请下载药学院专用模板：“药学院2021级申请天津大学推荐免试硕士研究生证明材料”，并使用英文填写，完成后转成PDF上传至系统。同时电子版发送至hui.zhang@tju.edu.cn，邮件标题及附件名称格式为“2020夏令营申请-申请人姓名”</t>
  </si>
  <si>
    <t>全面介绍学院发展近况，请营员云参观实验室，邀请专家学者开设线上专题讲座、导师见面会、优秀学长交流会等活动。</t>
  </si>
  <si>
    <t>6月15日-7月4日</t>
  </si>
  <si>
    <t>2021年7月7日—8日</t>
  </si>
  <si>
    <t>申请者须通过报名系统提交电子版照片，请下载药学院专用模板：“药学院2022级申请天津大学推荐免试硕士研究生证明材料”，并使用英文填写，完成后转成PDF上传至系统。同时电子版发送至hui.zhang@tju.edu.cn，邮件标题及附件名称格式为“2021年夏令营申请-申请人姓名”</t>
  </si>
  <si>
    <t>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
A-档  合格营员如获得所在学校的研究生推荐免试资格，并选报天津大学，同等条件下优先录取。
如未获得所在学校的研究生推荐免试资格，但报考我校2022级硕士研究生的合格营员，可享受B档优惠政策。</t>
  </si>
  <si>
    <t>医学工程与转化医学研究院</t>
  </si>
  <si>
    <t>网页丢失</t>
  </si>
  <si>
    <t>学习成绩优秀，
一流大学建设高校和研究生院高校学生学习成绩排名须在班级或专业前30％；
一流学科建设高校或所在专业为国家重点学科院校的学生学习成绩排名在班级或专业前10％；
或有突出成果、论文或特殊专业特长者；或在全国重大竞赛中获奖者；或具备推荐免试攻读研究生优先。</t>
  </si>
  <si>
    <t>活动举办期间，学校将全面介绍院系和学科发展近况，请营员走进实验室，邀请相关领域专家学者开设专题讲座、学术论坛、设计创作，组织校内外参观考察、导师见面会、优秀学长交流会等活动。营员按要求全程参加夏令营活动并表现合格者均可获得天津大学研究生院颁发的“夏令营活动”结业证书。合格营员将有机会被我校提前面试录取为2020级研究生。</t>
  </si>
  <si>
    <t>5月24日-6月20日</t>
  </si>
  <si>
    <t>7月12日-14日</t>
  </si>
  <si>
    <t>1. 证明学习成绩及排名的成绩单或证明件；
2. 相关证明材料（英语四、六级成绩单；学生证；各类奖励材料）。</t>
  </si>
  <si>
    <t>本次夏令营不收取任何费用，学校提供所有营员的餐食费用，并为外地营员提供在夏令营期间的住宿以及一定的交通补贴（本校及天津地区高校除外）。</t>
  </si>
  <si>
    <t>（1）A档：合格营员如获得所在学校的研究生推荐免试资格，并按学校规定时间内通过教育部“全国推荐优秀应届本科毕业生免试攻读研究生信息公开暨管理服务系统”（网址:http://yz.chsi.com.cn/tm)，完成所有规定流程后，可直接拟录取；如未获得所在学校的研究生推荐免试资格，但报考我校2020级硕士研究生的合格营员，可享受B档优惠政策。
（2）B档：合格营员报考我校2020级硕士学位研究生，考试成绩达到我校的相应学科门类复试基本分数线（即学校线，含总分、单科分数）后，可直接参加复试，不受学院分数线限制，表现优异者可优先拟录取。
此外，我校录取的学术型推荐免试硕士研究生，可直接录取为直接攻读博士学位研究生（直博生），或在学期间表现优秀者，可申请硕博连读。</t>
  </si>
  <si>
    <t>学习成绩优秀：
一流大学建设高校和研究生院高校学生学习成绩排名须在班级或专业前30％；
一流学科建设高校或所在专业为国家重点学科院校的学生学习成绩排名在班级或专业前10％；
或有突出成果、论文或特殊专业特长者；或在全国重大竞赛中获奖者；或具备推荐免试攻读研究生优先。</t>
  </si>
  <si>
    <t>英语六级水平（成绩≥425分）或四级成绩优秀（成绩≥550分）。</t>
  </si>
  <si>
    <t>1. 政策宣讲、专家讲座；2. 联谊座谈、营员汇报；3. 研究院参观、直播体验。</t>
  </si>
  <si>
    <t>6月12日-6月30日</t>
  </si>
  <si>
    <t>1.证明学习成绩及排名的成绩单或证明件，并加盖学校教务部门或学院公章；
2.相关证明材料（英语四、六级成绩单；学生证；各类奖励材料）。</t>
  </si>
  <si>
    <t>1. A档：合格营员如获得所在学校的研究生推荐免试资格，并按学校规定时间内通过教育部“全国推荐优秀应届本科毕业生免试攻读研究生信息公开暨管理服务系统”（网址:http://yz.chsi.com.cn/tm），完成所有规定流程后，可直接拟录取；
2. B档：如未获得所在学校的研究生推荐免试资格，但报考我校2021级硕士研究生的合格营员，可享受B档优惠政策。合格营员报考我校2021级硕士学位研究生，考试成绩达到我校的相应学科门类复试基本分数线（即学校线，含总分、单科分数）后，可直接参加复试，不受研究院分数线限制，表现优异者可优先拟录取。
此外，我校录取的学术型推荐免试硕士研究生，可直接录取为直接攻读博士学位研究生（直博生），或在学期间表现优秀者，可申请硕博连读。</t>
  </si>
  <si>
    <t>学习成绩优秀，一流大学建设高校和研究生院高校学生学习成绩排名须在班级或专业前30％；一流学科建设高校或所在专业为国家重点学科院校的学生学习成绩排名在班级或专业前10％；或有突出成果、论文或特殊专业特长者；或在全国重大竞赛中获奖者；或具备推荐免试攻读研究生资格者优先。入营考生所学专业所类属的学科在最新一轮全国高校学科评估结果中列B-档及以上。</t>
  </si>
  <si>
    <t>英语水平良好，达到英语六级水平（成绩≥425分）或四级成绩优秀（成绩≥550分）</t>
  </si>
  <si>
    <t>①政策宣讲、专家讲座；
②校园“云”游、“云”观师兄姐做实验；
③联谊座谈、营员汇报。</t>
  </si>
  <si>
    <t>6月15日-6月30日</t>
  </si>
  <si>
    <t>7月9日-11日</t>
  </si>
  <si>
    <t>1.证明学习成绩及排名的成绩单或证明件；
2.相关证明材料（英语四、六级成绩单；学生证；各类奖励材料）。</t>
  </si>
  <si>
    <t>（1）A档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
A-档  合格营员如获得所在学校的研究生推荐免试资格，并选报天津大学，同等条件下优先录取。
未获得所在学校的研究生推荐免试资格，但报考我校2022级硕士研究生的合格营员，可享受B档优惠政策。
（2）B档
B档 合格营员报考我校2022级硕士学位研究生，考试成绩达到我校的相应学科门类复试基本分数线（即学校线，含总分、单科分数）后，可直接参加复试，不受学院分数线限制，表现优异者可优先拟录取。
此外，我校录取的学术型推荐免试硕士研究生，在学期间表现优秀者，可申请硕博连读。</t>
  </si>
  <si>
    <t>官方网站维护中，暂无法查看</t>
  </si>
  <si>
    <t>总成绩排名在该校同年级同专业中名列前茅（在其它方面有突出表现者可适当放宽要求）</t>
  </si>
  <si>
    <t>英语水平良好，达到所在高校推荐免试生要求；</t>
  </si>
  <si>
    <t>7月1日报到入营，开营仪式、学术报告、招生咨询；
7月2日系室学科交流；
7月3日系室学科交流；
7月4日闭幕、离营、招生咨询。</t>
  </si>
  <si>
    <t>6月1日-6月14日</t>
  </si>
  <si>
    <t>7月1日-7月4日</t>
  </si>
  <si>
    <t>百余位</t>
  </si>
  <si>
    <t>1. 活动申请表1份；近期正面免冠彩色证件照片，电子版JPG格式，150×200像素，大小500K以内；
2. 本科阶段历年成绩单（须加盖教务处或院系公章），JPG或PDF格式；本科阶段成绩单及同年级总成绩排名（由教务部门或院系盖章）1 份；
3. 正高级职称专家撰写的“申请复旦大学优秀大学生夏令营导师推荐信”2份；
4. 其他证明材料：
 a. 外语水平证明，如CET四级、CET六级、雅思、托福、专业外语成绩等；
 b. 有关获奖证书和学术科研成果，如发表论文、专利、出版物或其他原创性工作；
 c.各类获奖或资格证书等的扫描件。</t>
  </si>
  <si>
    <t>本科阶段前4（或3）年总成绩排名在该校同年级本专业名列前茅（在其它方面有突出表现者可适当放宽要求）</t>
  </si>
  <si>
    <t>未说明，7月2日前公布筛选结果</t>
  </si>
  <si>
    <t>150-200名</t>
  </si>
  <si>
    <t>1.近期正面免冠彩色证件照片，电子版JPG格式，150×200像素，大小500K以内。
2.本科阶段历年成绩单（须加盖教务处或院系公章），JPG或PDF格式。
3.外语水平证明，如CET四级、CET六级、雅思、托福、专业外语成绩等。
4.有关获奖或资格证书和学术科研成果，如发表论文、专利、出版物或其他原创性工作。
5.院系要求上传的其他材料。正高级职称专家撰写的“申请复旦大学优秀大学生夏令营导师推荐信”2份。
6. 申请人应保证填报信息、提交材料的真实性和准确性。凡提供虚假信息的，一经查实即取消申请资格。</t>
  </si>
  <si>
    <t>系统神经与认知科学研究所</t>
  </si>
  <si>
    <t>学业成绩优秀，预期可获得母校外推名额。本科期间成绩总排名“985”院校在本专业25%以内，“211”院校在前15%以内，对有出色科研成果或特长学生学习成绩标准可适当放宽。</t>
  </si>
  <si>
    <t>英语水平良好。要求国家英语六级水平考试480分以上（460分-480分之间，在其他方面有突出表现的，也可予以考虑）或有较好的TOEFL（80分以上）或雅思（6.0分以上）成绩。</t>
  </si>
  <si>
    <t xml:space="preserve">本次活动为期四天，内容包括专家讲座、实验室参观与操作、师生座谈等精彩活动。
</t>
  </si>
  <si>
    <t>6月6日-6月25日</t>
  </si>
  <si>
    <t>7月8-11日</t>
  </si>
  <si>
    <t>凡参加夏令营者，须随身携带以下材料：
1）身份证及身份证复印件；
2）申请表中所涉及的相关证书证明材料的原件及复印件；
3）英语六级成绩或其他外语成绩的复印件；
4）本科学习成绩总表原件。</t>
  </si>
  <si>
    <t>1、参加暑期夏令营的学生必须遵守浙江大学的相关规定，按照统一的安排参加活动。
2、夏令营不收注册费。浙江大学求是高等研究院将为营员免费提供交通、住宿、保险以及相关活动的资助，包括营员来杭州的交通费（按浙大本科生实习费用规则报销，车票信息与学校或家庭所在地乘车区间相符者有效）
3、夏令营活动以外的时间由营员自行安排，所产生的费用由营员自理。</t>
  </si>
  <si>
    <t>2.2020届本科毕业生，学业成绩优秀，满足母校“免试推荐”研究生标准，或有志参加全国研究生招生考试报考我所的三年级本科生。</t>
  </si>
  <si>
    <t>英语良好，要求国家六级水平考试480分及以上（460分-480分之间，在其他方面有突出表现的，也可予以考虑）或有较好的托福（80分及以上）或雅思（5.5分及以上）成绩。</t>
  </si>
  <si>
    <t>7月10日下午（13:30后）：学员报道登记、安排住宿；
7月11日-7月12日：专家讲座、实验室参观与实验操作、师生座谈、营员报告与优秀营员选拔。</t>
  </si>
  <si>
    <t>5月31日-6月23日</t>
  </si>
  <si>
    <t>7月10日至7月12日</t>
  </si>
  <si>
    <t>1.由于实验室属于高洁净环境，确认参加者须进行结核菌测试，可经由胸片、皮测或血液等不同方法取得，须于7月2日前寄回电子版结核菌测试结果（fengxinwei@zju.edu.cn）。
2.凡参加夏令营者，报到时须携带以下材料：
  1）身份证及复印件；
  2）申请表中所涉及的相关证书证明材料的原件；
  3）英语六级成绩或其他外语成绩；
  4）本科学习成绩总表原件。</t>
  </si>
  <si>
    <t>1.营员的食宿由研究所承担并统一安排，并为入选营员报销来杭单程车票（高铁二等座、火车硬座、汽车票），营员请自行预定车票，报销时须提供来程车票。
2.保险：研究所统一购买在浙大活动期间的团体意外保险。</t>
  </si>
  <si>
    <t>满足母校“免试推荐”研究生标准，或有志参加全国研究生招生考试报考我所的2021届本科毕业生。</t>
  </si>
  <si>
    <t>1. 研究所多位知名教授和近年国外引进青年教授开设学科前沿讲座。
2. 学习内容：专家学术报告、实验室参观、与专家交流互动、面试。</t>
  </si>
  <si>
    <t>6月10日-6月25日</t>
  </si>
  <si>
    <t>满足母校“免试推荐”研究生标准，或有志参加全国研究生招生考试报考我所的2022届本科毕业生。</t>
  </si>
  <si>
    <t>5月27日至6月20日23：59</t>
  </si>
  <si>
    <t>华西公共卫生学院</t>
  </si>
  <si>
    <t>学习成绩优秀，本科期间综合成绩年级排名前30%；重点考虑双一流建设高校和一流学科建设高校，及第四轮学科评估中公共卫生与预防医学学科排名B类及以上的院校）；</t>
  </si>
  <si>
    <t>7月9日学员报到
7月10至12日学员正式活动
7月13日学员离营</t>
  </si>
  <si>
    <t>5月21日-6月5日</t>
  </si>
  <si>
    <t>70名</t>
  </si>
  <si>
    <t>1. 四川大学华西公共卫生学院2018年优秀大学生暑期夏令营申请表
2. 加盖所在学校或院系教务部门公章本科成绩单和专业排名证明原件
3. 国家英语四、六级考试成绩或TOEFL、IELTS、GRE成绩证明
4. 其他有关能力的证明材料（如发表论文、专利，各类获奖等）</t>
  </si>
  <si>
    <t>1.对招收的正式学员免收费用。
2.在活动期间，夏令营学校提供免费食宿（本院学生不提供住宿）
3.外地学员路费由夏令营学校承担（凭车票报销火车硬卧及长途汽车费用，对随意缺席不参加活动的营员，学校将不予以报销车费）。</t>
  </si>
  <si>
    <t>学习成绩优秀，本科期间综合成绩年级排名前30%；重点考虑双一流建设高校和一流学科建设高校，及第四轮学科评估中公共卫生与预防医学学科排名B类及以上的院校；</t>
  </si>
  <si>
    <t>英语达到国家四/六级水平（425分以上）或TOEFL、GRE等考试成绩优秀者。</t>
  </si>
  <si>
    <t>7月9日学员报到
7月10至11日学员正式活动
7月12日学员离营</t>
  </si>
  <si>
    <t>5月15日-6月13日</t>
  </si>
  <si>
    <t>7月9日-7月12日</t>
  </si>
  <si>
    <t>1、申请表（报名成功后由系统自动生成）；
2、本科成绩单和专业排名证明（各1份；需加盖所在教务处公章）；
3、相关获奖证书复印件、学术成果复印件等。</t>
  </si>
  <si>
    <t>1、暑期夏令营期间由我院安排免费食宿，一卡通不得自行充值或转交他人使用，离营前必须交回我院。
2、报销交通费不高于学校所在城市至成都的单程火车票价，报销标准参照学校相关规定执行。</t>
  </si>
  <si>
    <t>【第一天】
上午：
开营仪式、学术讲座；
下午：
学术讲座、学长沙龙；
【第二天】
全天：学科、导师线上见面会；
【第三天】
上午：云参观
下午：闭营仪式</t>
  </si>
  <si>
    <t>6月12日-6月28日</t>
  </si>
  <si>
    <t>7月13日至15日</t>
  </si>
  <si>
    <t>1. 申请表（报名成功后由系统自动生成）；
2. 本科成绩单和专业排名证明（各1份；需加盖所在教务处或学院公章）（若因疫情原因未返校无法加盖公章，请如实提供成绩单和排名证明，并在返校后及时补交材料即可）；
3. 相关获奖证书复印件、学术成果复印件等。</t>
  </si>
  <si>
    <t>1.世界一流大学建设高校年级成绩排名前40%者；
2.世界一流学科建设高校年级成绩排名前20%者；
3.第四轮学科评估结果为B类及以上的学科年级成绩排名前10%者（营员本科专业与报考硕士学科一致）；
4.已经获得或即将获得免试推荐资格者优先</t>
  </si>
  <si>
    <t>英语四级480分以上，或六级425分以上，或GRE、TOEFL成绩较好者</t>
  </si>
  <si>
    <t xml:space="preserve">7月15日
上午
1. 开营仪式
2. 云参观
3. 学术讲座
下午
学术讲座
7月16日
上午
学科、导师线上见面会
下午
1.优秀学长交流会
2.闭营仪式
</t>
  </si>
  <si>
    <t>2021年6月11日-6月28日。</t>
  </si>
  <si>
    <t>2021年7月15日至16日</t>
  </si>
  <si>
    <t>1. 申请表（报名成功后由系统自动生成）；
2. 本科成绩单和专业排名证明（各1份；需加盖所在教务处或学院公章）；
3. 相关获奖证书复印件、学术成果复印件等。</t>
  </si>
  <si>
    <t xml:space="preserve">学习成绩优秀，本科期间总评成绩排名年级前20%；
</t>
  </si>
  <si>
    <t>夏令营期间将安排学科介绍、专家讲坛、与导师面对面沟通、了解推免与考研政策、推免生预面试、参观实验室、游览校区风景等活动。</t>
  </si>
  <si>
    <t>5月15日-6月8日</t>
  </si>
  <si>
    <t>1、夏令营申请表（见附件）；
2、本科成绩单（须加盖所在学校教务部门公章）；
3、大学英语四、六级成绩单等英语成绩证明材料；
4、其他有关能力的证明材料（如：发表论文、专利，各类获奖等）。</t>
  </si>
  <si>
    <t>夏令营期间由我院安排免费食宿，报销营员学校所在城市至成都的往返交通费，交通工具仅限于普通火车硬座/硬卧、动车高铁二等座、长途汽车（需提供票据方能报销）。</t>
  </si>
  <si>
    <t>学习成绩优秀，本科期间总评成绩排名年级前20%；重点考虑双一流建设高校、一流学科建设高校以及第四轮学科评估药学学科排名B级及以上的院校；</t>
  </si>
  <si>
    <t>英语四级成绩优良，或六级成绩425分及以上,或TOEFL、GRE等考试成绩优良。</t>
  </si>
  <si>
    <t>夏令营期间将安排学科介绍、专家讲坛、营员与导师交流、推免与考研政策、推免生预面试、学长沙龙、参观实验室等活动。</t>
  </si>
  <si>
    <t>5月14日-6月7日</t>
  </si>
  <si>
    <t>7月11日至13日</t>
  </si>
  <si>
    <t>1、夏令营申请表（报名成功后由系统自动生成）；
2、本科成绩单和专业排名证明（各1份；需加盖所在教务处公章）；
3、大学英语四/六级成绩单、TOEFL、GRE成绩单等英语成绩证明材料；
4、其他有关能力的证明材料（如发表论文、专利、相关获奖证书等的复印件）；
5、华西药学院2019年夏令营申请人信息汇总表-本科高校名称-拟报专业-学生姓名（见附件）。</t>
  </si>
  <si>
    <t>1、夏令营期间由我院安排免费食宿，一卡通不得自行充值或转交他人使用，离营前必须交回我院；
2、报销营员学校所在城市至成都的单程交通费，报销费用不高于学校所在城市至成都的单程火车票价，交通工具原则上仅限普通火车硬座/硬卧、动车高铁二等座、长途汽车，且须提供票据方能报销，报销标准参照学校相关规定执行。</t>
  </si>
  <si>
    <t>英语四级成绩优良，或六级成绩 425分及以上,或TOEFL、GRE等考试成绩优良；</t>
  </si>
  <si>
    <t>令营期间将进行一系列云活动，如学院宣传与学科介绍、学生活动和奖学金与就业介绍、推免与考研政策介绍、优秀学长云沙龙、营员与导师交流、推免生预面试、实验室参观等活动。</t>
  </si>
  <si>
    <t>6月11日-6月28日</t>
  </si>
  <si>
    <t>1. 申请表（报名成功后由系统自动生成）；
2. 本科成绩单和专业排名证明（各1份；院、校两级教务部门盖章均可）；
3. 大学英语四/六级成绩单、TOEFL、GRE成绩单等英语成绩证明材料；
4. 其他有关能力的证明材料（如发表论文、专利、相关获奖证书等的复印件）。</t>
  </si>
  <si>
    <t>世界一流大学建设高校年级成绩排名前40%者；或者世界一流学科建设高校年级成绩排名前20%者；或者第四轮学科评估结果为B类及以上的学科年级成绩排名前10%者（营员本科专业与报考硕士学科一致）</t>
  </si>
  <si>
    <t>英语四级成绩优良，或六级成绩 425分及以上,或TOEFL、GRE等考试成绩优良</t>
  </si>
  <si>
    <t>学院宣传、学科介绍、学生活动和奖学金与就业介绍、推免与考研政策介绍、优秀学长云沙龙、营员与导师交流、推免生预面试、实验室参观等活动。</t>
  </si>
  <si>
    <t>6月7日-6月27日</t>
  </si>
  <si>
    <t>2021年7月13日至14日</t>
  </si>
  <si>
    <t>1、申请表（报名成功后由系统自动生成）；
2、本科成绩单和专业排名证明（各1份；院、校两级教务部门盖章均可）；
3、大学英语四/六级成绩单、TOEFL、GRE成绩单等英语成绩证明材料；
4、相关获奖证书复印件、学术成果复印件等有关能力的证明材料（如获奖证书、发表论文、专利等）。</t>
  </si>
  <si>
    <t>上海交通大学医学院</t>
  </si>
  <si>
    <t>7月15-18日</t>
  </si>
  <si>
    <t>28名</t>
  </si>
  <si>
    <t>双一流顶尖高校优秀本科生</t>
  </si>
  <si>
    <t>暑期学校将邀请来自耶鲁大学、杜克大学、哥伦比亚大学等国际顶尖院所的免疫学专家授课。</t>
  </si>
  <si>
    <t>6月3日-6月15日</t>
  </si>
  <si>
    <t>7月29日-8月7日</t>
  </si>
  <si>
    <t>费用全免，包括交通费、食宿费、教材费等。</t>
  </si>
  <si>
    <t>具有学术志向、创新精神，对生命科学有浓厚兴趣，有志于从事生命科学领域基础研究工作，来自全国各高校生物学、基础医学、药学等相关专业的2021年应届本科毕业生。</t>
  </si>
  <si>
    <t>14:00-14:10：苏冰所长致欢迎辞
14:10-14:30：免疫所介绍
14:30-15:00：学生与导师代表交流
15:00-16:00：互动交流</t>
  </si>
  <si>
    <t>无</t>
  </si>
  <si>
    <t>6月22日</t>
  </si>
  <si>
    <t>无（招生线上宣讲会）</t>
  </si>
  <si>
    <t>重点高校拟获得推荐免试资格的2022年优秀应届本科毕业生</t>
  </si>
  <si>
    <t>外语水平达到CET6≥440或TOEFL≥90或IELTS≥6.0</t>
  </si>
  <si>
    <t>7月15日下午，营员们在参加完笔试考核后聚集在免疫所，苏冰所长致欢迎辞，并向营员们介绍了免疫所招生、培养、发展、研究团队等情况。随后，营员们参观了免疫所平台和实验室，并分小组与导师深入交流。
7月16日全天，营员们参加了面试考核，积极展示科研能力和专业水平。</t>
  </si>
  <si>
    <t>2021年6月29日到2021年7月4日</t>
  </si>
  <si>
    <t>2021年7月14日-17日</t>
  </si>
  <si>
    <t xml:space="preserve"> 全国双一流建设高校的医学、药学、生物学、农学、林学及生物医学工程专业的2019年应届本科毕业生。学习成绩优秀，满足所在院校的“免试推荐”研究生标准，或有志参加全国研究生招生考试报考我院的学生</t>
  </si>
  <si>
    <t>英语水平良好，通过国家英语六级水平考试，学习成绩特别优秀者可放宽至英语四级水平。其他高校毕业生需满足所在院校的“免试推荐”研究生标准。</t>
  </si>
  <si>
    <t>此次暑期夏令营期间，将举办专业介绍、研究生座谈、实验室参观以及部分专业组织专家导师进行座谈等相关日程。</t>
  </si>
  <si>
    <t>5月21日-6月20日</t>
  </si>
  <si>
    <t>7月17日-7月19日</t>
  </si>
  <si>
    <t>1、夏令营申请表（点击下载）.doc。
   2、本科阶段成绩单、本科生在读期间年级专业成绩排名证明（由学校教务部门或所在院系盖章）；
   3、其他支持材料（如获奖证书复印件1份，国家英语四、六级考试成绩或TOEFL、GRE成绩等体现自身英语水平的证明1份，还可提交已发表的学术论文或原创性工作成果）。</t>
  </si>
  <si>
    <t>1.食宿：我院将为入选的外地营员提供夏令营期间的食宿。
2.我院为来自外地学校的参营学生报销往返车票（高铁二等座及以下或汽车票；飞机票不予报销）且有额度限制；根据山东大学财务部要求，报销火车票的时间必须为夏令营期间，由所在学校至我校往返的，每位参加夏令营的学生需要在报到时登记车票，并且在9月12-17日快递寄回车票并且注明银行卡信息，统一进行财务报销。 (回寄车票时，请同时附上相关说明：包括姓名、银行卡号、开户行名称、身份证正反面复印件、联系方式。)
路费：报销一定额度！</t>
  </si>
  <si>
    <t>学习成绩优秀，满足所在院校的“免试推荐”研究生标准，或有志参加全国研究生招生考试报考我院的学生</t>
  </si>
  <si>
    <t>英语水平良好，通过国家英语六级水平考试，学习成绩优秀者可放宽至英语四级水平。</t>
  </si>
  <si>
    <t>5月11日-6月15日</t>
  </si>
  <si>
    <t>1） 基础医学院夏令营申请表.doc 一份（学院审核签字盖章）
2）本科阶段成绩单、年级专业成绩排名证明（需由学校教务部门或所在院系盖章）；
3）语言成绩证明，如国家英语四、六级考试成绩，TOEFL成绩，IELTS成绩，GRE等能体现外语水平的证明。
4）科研成果、奖励等证明材料，申请人可提交体现自身学术水平的代表性学术论文、出版物或原创性工作成果及获奖证书。
将上述材料的扫描件合并成一个PDF文档上传报名系统，原件报到时提交审核。</t>
  </si>
  <si>
    <t>食宿及路费：我院将为入选的外地营员提供夏令营期间的食宿，报销往返车票（高铁二等座及以下或汽车票；飞机、卧铺票不予报销）；根据山东大学财务部要求，报销火车票的时间必须为夏令营期间，由所在学校至我校往返的，每位参加夏令营的学生需要在报到时登记车票，规定时间内快递寄回回程车票。</t>
  </si>
  <si>
    <t xml:space="preserve"> 学习成绩优秀，满足所在院校的“推荐免试”研究生标准，或有意向参加全国研究生招生考试报考我院的学生；</t>
  </si>
  <si>
    <t>将举办学科专业介绍、专家学术讲座、研究生座谈等多种活动。</t>
  </si>
  <si>
    <t>6月13日-6月30日</t>
  </si>
  <si>
    <t>150名(最终人数视报名情况适当调整，择优录取)</t>
  </si>
  <si>
    <t>1. 基础医学院夏令营申请表；
2. 本科阶段成绩单、年级专业成绩排名证明（需由学校教务部门或所在院系盖章）；
3. 语言成绩证明，如国家英语四、六级考试成绩，TOEFL成绩，IELTS成绩，GRE等能体现外语水平的证明；
4. 科研成果、奖励等证明材料，申请人可提交体现自身学术水平的代表性学术论文、出版物或原创性工作成果及获奖证书。
请将上述材料的扫描件合并成一个PDF文档以附件形式上传报名系统。</t>
  </si>
  <si>
    <t>山东大学全国优秀大学生暑期夏令营属于非盈利性质的文化交流活动，不收取任何费用。基础医学院不承担参加者活动期间所产生的任何法律和经济责任。</t>
  </si>
  <si>
    <t>语言成绩证明，如国家英语四、六级考试成绩，TOEFL成绩，IELTS成绩，GRE等能体现外语水平的证明</t>
  </si>
  <si>
    <t>结合当前实际此次夏令营拟采取网络形式进行，将举办学科专业介绍、专家学术讲座、研究生座谈等多种活动</t>
  </si>
  <si>
    <t>6月30日16：00</t>
  </si>
  <si>
    <t>2021年7月中旬</t>
  </si>
  <si>
    <t>学习成绩优秀，本科期间综合成绩达到年级排名前20%;</t>
  </si>
  <si>
    <t>英语达到国家六级水平(425分以上)或TOEFL、GRE等考试成绩优秀者。</t>
  </si>
  <si>
    <t>7月16日：报到入营；
7月17日：开营仪式、参观学院（医院）、博物馆、口腔疾病研究国家重点实验室；
7月18日：学术讲座、大学生创新论坛；
7月19日：口腔技能比赛，学科情况介绍；
7月20日：离营</t>
  </si>
  <si>
    <t>5月4日-6月10日</t>
  </si>
  <si>
    <t>7月16日至20日</t>
  </si>
  <si>
    <t>65名</t>
  </si>
  <si>
    <t>⒈ 申请表的纸质材料和电子材料（word文档）；
⒉ 本科成绩单和专业排名证明（各1份）；
⒊ 英语水平佐证材料。
以上1、2项纸质材料需加盖所在学校教务处公章。</t>
  </si>
  <si>
    <t>夏令营期间由我院安排免费食宿，报销营员学校所在城市至成都的往返交通费，交通工具仅限于普通火车硬卧、动车高铁的二等座、长途汽车（需出示票根报销）。</t>
  </si>
  <si>
    <t>7月8日 报到入营；
7月9日 开营仪式、参观学院（医院）、博物馆、口腔疾病研究国家重点实验室；
7月10日 学术讲座、大学生创新论坛；
7月11日 口腔技能比赛，学科情况介绍；
7月12日 离营</t>
  </si>
  <si>
    <t>5月14日-6月10日</t>
  </si>
  <si>
    <t>7月8日至12日</t>
  </si>
  <si>
    <t>1、申请表(报名成功后由系统自动生成);
2、本科成绩单和专业排名证明(各1份;需加盖所在教务处公章);
3、英语水平佐证材料、相关获奖证书复印件、学术成果复印件等。
以上1、2项纸质材料需加盖所在学校教务处公章。</t>
  </si>
  <si>
    <t>报销营员学校所在城市至成都的单程车票。交通工具仅限于普通火车硬卧、高铁动车二等座、长途汽车(需出示票根报销)。</t>
  </si>
  <si>
    <t>学习成绩优秀，本科期间综合成绩优秀，达到年级排名前20%；</t>
  </si>
  <si>
    <t>7月7日开营仪式，云参观学院（医院）、博物馆、口腔疾病研究国家重点实验室，云专题讲座；
7月8日大学生创新云论坛、导师交流等</t>
  </si>
  <si>
    <t>6月16日-6月24日</t>
  </si>
  <si>
    <t>1. 报名办法；
2. 申请表(报名成功后由系统自动生成)；
3. 本科成绩单和专业排名证明(各1份）；需加盖所在教务处公章)；
4. 英语水平佐证材料、相关获奖证书复印件、学术成果复印件等。
以上1、2项纸质材料需加盖所在学校教务处公章。</t>
  </si>
  <si>
    <t>学习成绩优秀，本科期间成绩达到本专业年级排名前20%(双一流大学且学科评估B+以上的高校可放宽至前40%);</t>
  </si>
  <si>
    <t>全国大学英语四级考试成绩优良(480分及以上)，或全国大学英语六级达到425分，或TOEFL、GRE等考试成绩优秀者。</t>
  </si>
  <si>
    <t>7月11日 营员报到
7月12日 开营仪式，参观学院（医院）、博物馆、口腔疾病研究国家重点实验室、专题讲座
7月13日 临床技能比赛、大学生创新论坛
7月14日 各学系分系交流活动、预推免考核
7月15日 营员离营</t>
  </si>
  <si>
    <t>6月16日-6月28日</t>
  </si>
  <si>
    <t>7月12日至14日</t>
  </si>
  <si>
    <t>夏令营期间由我院安排免费食宿，报销营员学校所在城市至成都的往返交通费，报销标准参照学校相关规定执行(火车硬卧、动车高铁二等座、长途汽车)，需报销者请妥善保管票据待统一收取。录取营员需遵守疫情防控要求，低风险地区的营员凭借健康码(四川天府健康通或微信“国务院客户端”小程序“防疫行程卡”)来蓉参加相关活动;中高风险地区的营员按国家疫情防控要求参加相关活动。</t>
  </si>
  <si>
    <t xml:space="preserve">1. 本科阶段历年成绩单（须加盖教务处或院系公章），JPG、PDF或ZIP格式，文件大小不超过1M；
2. 外语水平证明，如CET四级、CET六级、TOEFL、GRE、GMAT、IELTS成绩等，JPG、PDF或ZIP格式，文件大小不超过1M；
3. 获奖证书，JPG、PDF或ZIP格式，可选择相对重要证书，文件大小不超过1M；
4. 学术科研成果，JPG、PDF或ZIP格式，可选择代表作，文件大小不超过2M；
5. 近期正面免冠彩色证件照片，背景为白色或浅色，JPG格式，150×200像素，大小100K以内；
6. 通过“服务平台”可下载打印《武汉大学2020年优秀大学生夏令营申请表》，申请人通过营员资格审核后，入营前提交《申请表》和举办单位要求的其他纸质材料原件。 </t>
  </si>
  <si>
    <t>详见各举办单位公布的《夏令营活动通知》</t>
  </si>
  <si>
    <t>灵活确定</t>
  </si>
  <si>
    <t>1.本科阶段历年成绩单（须加盖教务处或院系公章），JPG、PDF或ZIP格式，文件大小不超过1M；
2.外语水平证明，如CET四级、CET六级、TOEFL、GRE、GMAT、IELTS成绩等，JPG、PDF或ZIP格式，文件大小不超过1M；
3.获奖证书，JPG、PDF或ZIP格式，可选择相对重要证书，文件大小不超过1M；
4.学术科研成果，JPG、PDF或ZIP格式，可选择代表作，文件大小不超过2M；
5.近期正面免冠彩色证件照片，背景为白色或浅色，JPG格式，150×200像素，大小100K以内；
6.通过“服务平台”可下载打印《武汉大学2021年优秀大学生夏令营申请表》，申请人通过营员资格审核后，入营前提交《申请表》和举办单位要求的其他纸质材料原件。</t>
  </si>
  <si>
    <t>学习成绩优秀，对本领域的科学研究有着浓厚兴趣，具有潜在的科研能力。</t>
  </si>
  <si>
    <t>有较高的外语应用水平和能力。全国大学英语四级成绩达500分以上（含500分），或六级成绩达425分以上（含425分）。</t>
  </si>
  <si>
    <t>7月9日 9:00-17:00：报到
7月10日 9:00-11:00：笔试
7月10日 11:10-11:40：夏令营开营仪式
7月10日 14:30-17:30：实验操作
7月11日 9:00-17:30：分组面试
7月12日 9:00-11:30：学术报告、PI说明会
7月12日 14:30-17:30：“直博生”考核
7月13日—7月20日：厦门市内参观学习、各PI实验室体验式学习（学生自行决定是否参加）</t>
  </si>
  <si>
    <t>7月9日-7月12日（12日夏令营结束后活动学生可自行选择参加与否）</t>
  </si>
  <si>
    <t>1.夏令营申请表（见附件）；
2.个人陈述;
3.成绩单１份（大一以来各学年已有成绩，须加盖所在学院公章）；
4.获奖（资格）证书复印件或个人代表作品提交（须加盖就读学院公章）；
5.英语六级水平证书或相关成绩证明（须加盖就读学院公章）；
6.两位副教授及其以上专家的推荐信。
7.邮寄要求：将所有申报材料装入A4大信封，信封正面注明姓名、所在学校及院系。为提高邮件接收效率，请务必使用EMS或顺丰快递邮寄。</t>
  </si>
  <si>
    <t>学院负责提供夏令营营员同学从所在学校到厦门的往返火车票费用（硬座标准、动车二等座标准），以及夏令营期间的食宿费用。营员需自行购买往返火车票，如特殊原因需购买飞机票，学院将按照火车票费用标准予以报销，超出部分的费用由学生自行承担。</t>
  </si>
  <si>
    <t>学生可与意向导师保持联系，双向选择，如录取后约11月确定导师</t>
  </si>
  <si>
    <t>学习成绩优秀，专业成绩和综合成绩均名列本专业或年段前茅,对本领域的科学研究有着浓厚兴趣，具有潜在的科研能力；</t>
  </si>
  <si>
    <t>7月16日 9:00-17:00：报到
7月17日 9:00-11:00：笔试
7月17日 11:10-11:40：夏令营开营仪式
7月17日 14:30-17:30：实验操作
7月18日 9:00-17:30：分组面试
7月19日 9:00-11:30：学术报告、PI说明会、美国辛辛那提大学“1+1”硕士留学项目说明会
7月19日 14:30-17:30：“直博生”考核
7月20日—7月26日：厦门市内参观学习、各PI实验室体验式学习（学生自行决定是否参加）</t>
  </si>
  <si>
    <t>5月16日-6月15日</t>
  </si>
  <si>
    <t>7月16日-7月20日（20日夏令营结束后活动学生可自行选择参加与否）</t>
  </si>
  <si>
    <t>1.夏令营申请表（见附件）；
2.本科正式成绩单1份（须加盖所在学校教务部门或所在院系公章）；
3.英语四、六级水平证书复印件或其他外语成绩证明；
4.能够体现自身学术水平、科研能力的代表性学术论文、出版物或原创性工作成果等其它材料。有学术科研成果（发表的论文、出版的专著或承担的课题等）和获奖证书者，请提供复印件。
邮寄要求：将所有申报材料装入A4大信封，信封正面注明姓名、所在学校及院系。为提高邮件接收效率，请务必使用EMS或顺丰快递邮寄。</t>
  </si>
  <si>
    <t>全国大学英语四级成绩达500分以上（含500分），或六级成绩达425分以上（含425分）；若申请者无法提供全国大学英语四、六级成绩或成绩不达标，TOEFL、GMAT、GRE或雅思考试成绩达到总分的60%及以上亦可。第一外语为其它语种的，需提供等同全国大学英语四、六级、TOEFL、GMAT、GRE或雅思考试的成绩证明。申请者的本科专业为外语类专业的，其外语水平达到相应的专业外语等级即可；</t>
  </si>
  <si>
    <t>活动内容包括学院介绍、学术讲座、与导师沟通、了解推免与考研政策等。届时将邀请学院各研究方向优秀教师，线上与同学们进行面对面交流，增加大家对药学院的了解。</t>
  </si>
  <si>
    <t>6月16日-6月26日</t>
  </si>
  <si>
    <t>7月8日-7月10日</t>
  </si>
  <si>
    <t xml:space="preserve">1. 厦门大学药学院2020年全国优秀大学生夏令营申请表（见附件，须加盖就读学院公章）；
2. 个人陈述（见附件）；
3. 本科正式成绩单1份（大一、二、三年级阶段成绩，须加盖所在学校教务部门公章）；
4. 英语四、六级水平证书或相关成绩证明（须加盖就读学院公章）；
5. 获奖（资格）证书复印件或个人代表作品、论文等（须加盖就读学院公章）；
6. 两位副教授及其以上专家的推荐信（可以使用电子签名）。
</t>
  </si>
  <si>
    <t>通过此次考核并且获得推荐免试研究生资格和名额的夏令营营员，可免予参加我校九月份或十月份的推荐免试研究生（含直博生）考试；通过夏令营考核但未获得推荐免试研究生资格和名额的夏令营营员，如果选择以公开招考方式报考厦门大学2021年硕士研究生和2021年博士研究生，成绩达到相应标准，在同等条件下我校将给予优先录取。</t>
  </si>
  <si>
    <t>学习成绩优秀，专业成绩和综合成绩均名列本专业或年段前茅,对本领域的科学研究有着浓厚兴趣，具有潜在的科研能力。</t>
  </si>
  <si>
    <t>5月20日-6月14日17:30</t>
  </si>
  <si>
    <t>7月12日-7月15日</t>
  </si>
  <si>
    <t xml:space="preserve">1.厦门大学药学院2021年全国优秀大学生夏令营申请表（见附件，须加盖就读学院公章）；          2.个人陈述（见附件）；                                                                 3.本科正式成绩单1份（大一、二、三年级阶段成绩，须加盖所在学校教务部门公章）；             4.英语四、六级水平证书或相关成绩证明（须加盖就读学院公章）；                             5.获奖（资格）证书复印件或个人代表作品、论文等（须加盖就读学院公章）；                       6.两位副教授及其以上专家的推荐信。
</t>
  </si>
  <si>
    <t>通过此次考核并且获得推荐免试研究生资格和名额的夏令营营员，可免予参加我校九月份或十月份的推荐免试研究生（含直博生）考试；通过夏令营考核但未获得推荐免试研究生资格和名额的夏令营营员，如果选择以公开招考方式报考厦门大学2022年硕士研究生和2022年博士研究生，成绩达到相应标准，在同等条件下我校将给予优先录取。</t>
  </si>
  <si>
    <t>学习成绩优秀，本科期间总评成绩排名在该校同年级本专业前列（在其他方面有突出表现的学生除外）；</t>
  </si>
  <si>
    <t>7月14日：开营仪式；
7月15-16日：学科组交流；
7月16日：闭幕</t>
  </si>
  <si>
    <t>6月16日至7月2日</t>
  </si>
  <si>
    <t>7月14日-7月16日</t>
  </si>
  <si>
    <t>1. 本科阶段成绩单和专业排名证明（均须由教务部门盖章）各1份；
　　2. 个人陈述1份；
　　3. 学校老师书面推荐信1-2封；
　　4. 其他相关材料：外语水平证明（如CET四级、CET六级、雅思、托福、专业外语成绩等）、有关获奖证书和学术科研成果，如发表论文、专利、出版物或其他原创性工作；各类获奖或资格证书等的扫描件。</t>
  </si>
  <si>
    <t>夏令营具体活动安排将另行通知</t>
  </si>
  <si>
    <t>7月5日-2021年7月7日</t>
  </si>
  <si>
    <t>计划营员人数约250名，实际入营人数将根据报名情况适当调整</t>
  </si>
  <si>
    <t>1.近期正面免冠彩色证件照片，电子版JPG格式，150×200像素，大小500K以内。
2.个人简历及陈述1份。
3.专家推荐信2份。
4.本科阶段成绩单和专业排名证明（均须由教务部门盖章）各1份。
5.外语水平证明，如CET四级、CET六级、雅思、托福、专业外语成绩等;
6.有关获奖证书和学术科研成果，如发表论文、出版物或其他原创性工作;</t>
  </si>
  <si>
    <t>夏令营优秀营员评选其他相关要求，参照《复旦大学2021年硕士研究生招生复试录取办法》执行</t>
  </si>
  <si>
    <t>同济生殖健康研究所</t>
  </si>
  <si>
    <t>本科阶段学习成绩优秀的同学</t>
  </si>
  <si>
    <t>7月11日报道；
7月12日开营仪式、学术讲座、导师交流座谈、参观同济医学院及附属医院、结营；
7月13日营员返校</t>
  </si>
  <si>
    <t>5月31日-6月20日</t>
  </si>
  <si>
    <t>拟招收30名，实际入营35名</t>
  </si>
  <si>
    <t>1、夏令营申请表1份和营员信息汇总表（见附件1和附件2）；
2、本科阶段成绩单及同年级总成绩排名（由教务系统或院系盖章）1份；
3、体现自身英语水平的证明（如国家英语四、六级考试成绩，TOEFL成绩或GRE成绩等）；
4、其他证明材料（如体现自身学术水平的代表性学术论文或其他原创性工作成果复印件、获奖证书复印件等）。
5、个人简历1份。</t>
  </si>
  <si>
    <t>华中科技大学同济医学院生殖健康研究所为营员提供暑期夏令营期间在汉的食宿以及异地学校学生往返硬座、硬卧、高铁二等座等火车票费用，我所将为参营人员购买夏令营活动期间的人身意外伤害保险。</t>
  </si>
  <si>
    <t>夏令营活动结束后，营员将获得华中科技大学同济医学院生殖健康研究所颁发的“生殖健康研究所学术夏令营”活动结业证书。</t>
  </si>
  <si>
    <t>主要内容包括：生殖健康研究所发展历程及各研究方向介绍、前沿讲坛、在籍研究生分享研究生生活，导师与营员交流等</t>
  </si>
  <si>
    <t>6月16日-7月15日</t>
  </si>
  <si>
    <t>1. 夏令营申请表1份和营员信息汇总表（见文末）；
2. 本科阶段成绩单及同年级总成绩排名（由教务系统或院系盖章）1份；
3. 体现自身英语水平的证明（如国家英语四、六级考试成绩，TOEFL成绩或GRE成绩等）；
4. 个人简历1份；
5. 其他证明材料（如体现自身学术水平的代表性学术论文或其他原创性工作成果、获奖证书等）。</t>
  </si>
  <si>
    <t>本次夏令营不收报名费</t>
  </si>
  <si>
    <t>（1）生殖健康研究所发展历程及各研究方向介绍，在读研究生分享研究生生活，导师与营员交流等
（2）生殖健康研究所第一届“1+X”研究生学术论坛；</t>
  </si>
  <si>
    <t>6月7日-6月28日</t>
  </si>
  <si>
    <t>1、夏令营申请表1份和营员信息汇总表；
2、本科阶段成绩单及同年级总成绩排名（由教务系统或院系盖章）1份；
3、体现自身英语水平的证明（如国家英语四、六级考试成绩，TOEFL成绩或GRE成绩等）；
4、个人简历1份；
5、其他证明材料（如体现自身学术水平的代表性学术论文或其他原创性工作成果、获奖证书等）。</t>
  </si>
  <si>
    <t>参加夏令营的学子按要求完成各项学习和活动可获得华中科技大学同济医学院生殖健康研究所颁发的“生殖健康研究所学术夏令营”活动结业证书，部分同学将获得“优秀营员”证书。此次夏令营活动情况将作为接收2022级免试研究生的重要根据。</t>
  </si>
  <si>
    <t>活动内容：1. 开营仪式2. 研究院和学科介绍3. 导师面对面4. 前沿讲座5. 推免政策讲解6. 学生综合素质考察7. 闭营仪式</t>
  </si>
  <si>
    <t>网上申报截止时间为6月28日16：00；研究院将于7月1日之前进行系统审核；7月5日17时之前及时登录系统定是否参加夏令营；</t>
  </si>
  <si>
    <t>2020年7月8日-9日</t>
  </si>
  <si>
    <t>1. 夏令营申请表（附件1，见文末）；
2. 截至当前本科阶段成绩单原件（教务部门盖章）；
3. 截至当前总评成绩排名证明（教务部门盖章），如暂未有成绩排名，可在九月份补交；
4. 国家英语四、六级考试成绩等体现自身英语水平的证明材料；
5. 其他证明材料：如能体现自身学术水平的代表性学术论文、本科阶段重要获奖证书等（请将上述材料的扫描件合并成一个PDF文档以附件形式上传报名系统）</t>
  </si>
  <si>
    <t>2021年研究生招生过程中，同等条件下，优秀营员优先录取</t>
  </si>
  <si>
    <t>学习成绩优秀，综合成绩排名前列，预计能够在2021年9月取得所在院系推荐免试资格。诚实守信，无不及格课程，无学术不端记录；</t>
  </si>
  <si>
    <t>通过国家英语六级水平考试，学习成绩优秀者可放宽至英语四级水平。TOEFL或GRE成绩优秀者亦可。</t>
  </si>
  <si>
    <t>⑴ 开营仪式
⑵ 研究院和学科介绍
⑶ 导师面对面
⑷ 前沿讲座
⑸ 线上实验室参观
⑹ 学生综合素质考察
⑺ 闭营仪式</t>
  </si>
  <si>
    <t>网上报名系统报名截止时间为6月28日16：00，研究院将于6月30日之前进行系统审核，系统内入营申请显示“已通过”的同学，请于7月3日17时之前及时登录系统确定是否参加夏令营，逾期未确认视为放弃入营资格，学院不再单独通知。</t>
  </si>
  <si>
    <t>7月6日-10日周内两天</t>
  </si>
  <si>
    <t>1.夏令营申请表
2.截至当前本科阶段成绩单原件（教务部门盖章）；
3.截至当前总评成绩排名证明（教务部门盖章），如暂未有成绩排名，可在九月份补交；
4.国家英语四、六级考试成绩等体现自身英语水平的证明材料；
5.其他证明材料：如能体现自身学术水平的代表性学术论文、本科阶段重要获奖证书等。</t>
  </si>
  <si>
    <t>根据综合素质考察结果，评选一定比例的优秀营员，并在高等医学研究院官网公示，提供纸质版证书。
2022年研究生招生过程中，同等条件下，优秀营员优先录取。</t>
  </si>
  <si>
    <t>⑴ 本科阶段成绩单、总评成绩排名如因疫情影响，暂时无法签字、盖章，请申请人在成绩单、总评成绩排名证明空白处标注“本人保证提供所有信息及材料真实、准确”并签名；
⑵ 请申请人自行对所提交材料的真实性负责，如有不实一经发现，取消参营资格并追究后续责任。</t>
  </si>
  <si>
    <t>英文水平良好，达到国家六级通过或相当水平</t>
  </si>
  <si>
    <t>学科简介、名师讲座与交流、营员交流展示及优秀营员评选等内容，具体安排以邀请通知为准</t>
  </si>
  <si>
    <t>2018年7月5~7日</t>
  </si>
  <si>
    <t>（1）附件《北京大学护理学院优秀大学生暑期夏令营申请表》，证件照为1寸白底或蓝底免冠近照，学校或院系负责人签字盖章有效；
（2）个人陈述1份，格式不限，简述个人学习与科研经历、英语能力、未来学习计划、兴趣方向和特长爱好等；
（3）个人简历1份，格式不限；
（4）副教授级或以上专家推荐信2封；
（5）本科阶段截止到目前的成绩单1份，学校或院系负责人签字盖章有效；
（6）体现自身英语水平的证明复印件1份（如国家英语六级考试、TOEFL、IELTS、GRE成绩等）；
（7）可以体现自身学术水平的材料复印件1份（如发表论文、专利，各类获奖等）</t>
  </si>
  <si>
    <t>1.线上报名截止日期为2019年6月14日17:00，并寄达或送达申请材料，逾期未网上报名或未提交纸质材料者视为报名不成功。
2．学院于2019年6月28日前完成资料审核并确定接收名单，并通过电子邮件和短信通知获邀同学本人，请注意查看并及时回复。</t>
  </si>
  <si>
    <t>2019年7月4日（周四）下午13:30-2019年7月6日</t>
  </si>
  <si>
    <t>提交纸质申请材料，内容包括：
（1）《北京大学护理学院优秀大学生暑期夏令营申请表》（附件1），证件照为1寸白底或蓝底免冠近照，学校或院系负责人签字盖章有效；
（2）个人陈述1份（附件2），简述个人学习与科研经历、英语能力、未来学习计划、兴趣方向和特长爱好等；
（3）副教授级或以上专家推荐信2封（附件3）； 
（4）个人简历1份，格式不限；
（5）本科阶段截止到目前的成绩单1份，学校或院系负责人签字盖章有效；
（6）体现自身英语水平的证明复印件1份（如国家英语六级考试、TOEFL、 IELTS、 GRE成绩等）；
（7）可以体现自身学术水平的材料复印件1份（如发表论文、专利，各类获奖等）。</t>
  </si>
  <si>
    <t>校外营员提供学校食堂餐卡（活动期间每人补助餐费30元/天，不包括本校学生）；为京外营员提供住宿（两天）和优秀营员报销往返交通费用（不超过高铁二等座）</t>
  </si>
  <si>
    <t>线上报名截止日期为2020年6月30日17:00；学院于2020年7月中上旬完成资料审核并确定接收名单，并通过电子邮件和短信通知获邀同学本人，请注意查看并及时回复。如果营员因故不能参加夏令营活动，请于7月15日前回复邮件</t>
  </si>
  <si>
    <t>2020年7月下旬</t>
  </si>
  <si>
    <t>a. 《北京大学护理学院优秀大学生暑期夏令营申请表》（附件1），证件照为1寸白底或蓝底免冠近照，学校或院系负责人签字盖章有效；
b. 个人陈述1份（附件2），简述个人学习与科研经历、英语能力、未来学习计划、兴趣方向和特长爱好等；
c. 副教授级或以上专家推荐信2封（附件3）； 
d. 个人简历1份，格式不限；
e. 本科阶段截止到目前的成绩单1份，学校或院系负责人签字盖章有效；
f. 体现自身英语水平的证明复印件1份（如国家英语六级考试、TOEFL、 IELTS、 GRE成绩等）；
g. 可以体现自身学术水平的材料复印件1份（如发表论文、专利，各类获奖等）。</t>
  </si>
  <si>
    <t>学习成绩名列前茅，能取得所在学校推免资格者优先。</t>
  </si>
  <si>
    <t>英文水平良好，达到国家六级通过或相当水平，科研潜力突出者可适当放宽。</t>
  </si>
  <si>
    <t>网上报名系统开放时间6月8日8:00-6月25日24:00</t>
  </si>
  <si>
    <t>a. 《北京大学护理学院优秀大学生暑期夏令营申请表》（附件1），证件照为1寸白底或蓝底免冠近照，学校或院系负责人签字盖章有效；
b. 个人陈述1份（附件2），简述个人学习与科研经历、英语能力、未来学习计划、兴趣方向和特长爱好等；
c. 副教授级或以上专家推荐信2封（附件3）； 
d. 个人简历1份，格式不限；
e. 本科阶段截止到目前的成绩单1份，学校或院系负责人签字盖章有效；
f. 体现自身英语水平的证明复印件1份（如国家英语六级考试、TOEFL、 IELTS、 GRE成绩等）；
g. 可以体现自身学术水平的材料复印件2份（如发表论文、专利，各类获奖等）。</t>
  </si>
  <si>
    <t>PI对课题组进行介绍；营员对课题组进行参观；面试</t>
  </si>
  <si>
    <t>1.网上报名：5月9日至6月10日 2.营员入围名单将于2018年6月15日前在复旦大学生物医学研究院的主页上公布</t>
  </si>
  <si>
    <t>2018年6月22日—6月24日</t>
  </si>
  <si>
    <t>1.活动申请表1份(夏令营时携带至学院);
2.本科阶段成绩单及同年级总成绩排名(由教务部门或院系盖章)1份(电子版上传);
3.副高级职称以上专家撰写的“申请复旦大学推荐面试研究生导师推荐信”2份(夏令营时携带至学院);
4.其它证明材料(体现个人学术水平的有代表性的学术论文的复印件，各类获奖证书复印件，英语四、六级证书复印件等，需院系盖章)。</t>
  </si>
  <si>
    <t>入选夏令营的正式营员食宿费用原则上由复旦大学生物医学研究院承担,同时来自外地学校学生凭票报销往返普通硬座火车票</t>
  </si>
  <si>
    <t>本科学习成绩在全年级排名居前20％，必修课成绩均为及格以上</t>
  </si>
  <si>
    <t>英语水平良好（原则上要通过六级考试）</t>
  </si>
  <si>
    <t>课题组介绍及实验室参观；面试</t>
  </si>
  <si>
    <t>1.网上申请：5月10日至6月10日（请材料纸质版无需寄送，待收到入营通知后，在参加夏令营时携带提交即可） 2.营员入围名单将于2019年6月14日前在复旦大学生物医学研究院的主页上公布</t>
  </si>
  <si>
    <t>2019年6月26日—6月28日</t>
  </si>
  <si>
    <t>1. 活动申请表1份（夏令营时携带至学院）；
2. 本科阶段成绩单及同年级总成绩排名（由教务部门或院系盖章）1 份（电子版上传）；
3. 副高级职称以上专家撰写的“申请复旦大学推荐面试研究生导师推荐信”2份（夏令营时携带至学院）；
4. 其它证明材料（体现个人学术水平的有代表性的学术论文的复印件，各类获奖证书复印件，英语四、六级证书复印件等，需院系盖章）</t>
  </si>
  <si>
    <t>入选夏令营的正式营员食宿费用原则上由复旦大学生物医学研究院承担,同时来自外地学校学生凭票报销往返普通硬座火车票。</t>
  </si>
  <si>
    <t>线上、线下活动相结合</t>
  </si>
  <si>
    <t>网上申报截止：6月30日；营员入围名单将于7月1日后在复旦大学生物医学研究院的主页上公布</t>
  </si>
  <si>
    <t>2020年7月初</t>
  </si>
  <si>
    <t>根据报考服务系统要求填写报名信息，并上传电子版材料证明</t>
  </si>
  <si>
    <t>本次夏令营的优秀营员可获得成为各专业推荐免试硕士生和直博生候选人的机会。</t>
  </si>
  <si>
    <t>本科学习成绩优秀，总成绩排名在学校同年级同专业中名列前茅；</t>
  </si>
  <si>
    <t>未说明，营员遴选结果将在6月30日前通过邮件或电话方式告知</t>
  </si>
  <si>
    <t>约100名</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</si>
  <si>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5、副高级职称以上专家撰写《专家推荐书》2封。</t>
  </si>
  <si>
    <t>全国优秀大学生夏令营是我院预选拔推免生的渠道之一，本年度除夏令营活动外，将根据实际情况再决定下半年是否举办推免生预选拔活动，届时将另行通知。夏令营优秀营员评选其他相关要求，参照《复旦大学2021年硕士研究生招生复试录取办法》执行。</t>
  </si>
  <si>
    <t>国家高水平大学本科期间总评成绩排名在年级前50%，国家重点大学或知名医科院校本科期间总评成绩排名在年级前20%</t>
  </si>
  <si>
    <t>英语水平良好，原则上CET6≥425分或CET4≥500分</t>
  </si>
  <si>
    <t>参观思明校区；英语笔试，实验室轮转，研究生沙龙；实验室轮转；面试</t>
  </si>
  <si>
    <t>1.网上报名：时间5月15至6月15日。 6 月 15 日 17：30报名截止，报名网站关闭。
2.将申请表、成绩单、证书复印件等申请材料合并成一个PDF格式发送到xmusphzs@xmu.edu.cn，文件名格式：姓名_学校.pdf，截止日期为 2018 年 6 月 16 日  3.录取的夏令营营员名单将于 2018 年 6 月 20 日 之前电话或email通知申请人，并公布在学院主页</t>
  </si>
  <si>
    <t>2018 年 7 月 13 日 至 7 月 19 日</t>
  </si>
  <si>
    <t>25-30名</t>
  </si>
  <si>
    <t>1.夏令营申请表（网上报名系统自动生成，网址为：http://ssyjsbm.xmu.edu.cn/
2. 个人陈述；
3. 成绩单１份（大学生为大一、二、三年级阶段成绩，须加盖所在学校教务部门公章）；
4. 获奖（资格）证书复印件或个人代表作品提交（须加盖就读学院公章）；
5. 英语四、六级水平证书或相关成绩证明；
6. 两位副教授及以上专家的推荐信；
7.其它（相关学科特殊要求的材料）</t>
  </si>
  <si>
    <t>学院负责提供夏令营营员同学从所在学校到厦门的往返火车票费用（硬座标准），提供夏令营期间免费入住学生公寓和蚊帐、草席、线毯、枕头、床垫五件套寝室用具，另有部分餐饮补贴。营员需自行购买往返火车票，如特殊原因需购买飞机票，学院将按照火车票硬座的标准予以报销，超出部分的费用由学生自行承担</t>
  </si>
  <si>
    <t>参加本次夏令营活动的所有营员经考核合格后颁发结业证书。对于在夏令营活动中综合表现特别优秀的营员，我院将颁发“优秀营员”称号。获得“优秀营员”的夏令营营员，可免予参加我校九月份或十月份的推荐免试研究生（含直博生）考试；获得“优秀营员”但未获得推荐免试研究生资格和名额的夏令营营员，如果选择以公开招考方式报考厦门大学2020年硕士研究生，成绩达到相应标准，在同等条件下我校将给予优先录取。</t>
  </si>
  <si>
    <t>学习成绩优秀，国家高水平大学本科期间总评成绩排名在年级前50%，国家重点大学或知名医科院校本科期间总评成绩排名在年级前20%；</t>
  </si>
  <si>
    <t>学科前沿讲座（课题组海报展）；实验室考察和科研训练；参加学校有关活动；参观思明校区；面试</t>
  </si>
  <si>
    <t>1．网上报名：时间5月15至6月20日。6月20日17：30报名截止，报名网站关闭。
2．将申请表、成绩单、证书复印件等申请材料合并成一个PDF格式发送到xmusphzs@xmu.edu.cn，文件名格式：姓名_专业_学校.pdf，截止日期为2019年6月21日 3.录取的夏令营营员名单将于2019年6月25日公布在学院主页</t>
  </si>
  <si>
    <t>2019年7月9日至7月15日</t>
  </si>
  <si>
    <t>25人</t>
  </si>
  <si>
    <t>学院负责提供夏令营营员同学从所在学校到厦门的往返火车票费用（硬座标准），提供夏令营期间免费入住学生公寓和蚊帐、草席、线毯、枕头、床垫五件套寝室用具，另有部分餐饮补贴。营员需自行购买往返火车票，如特殊原因需购买飞机票，学院将按照火车票硬座的标准予以报销，超出部分的费用由学生自行承担。</t>
  </si>
  <si>
    <t>学习成绩优秀，国家高水平大学本科期间总评成绩排名在年级前50%，国家重点大学或知名医科院校本科期间总评成绩排名在年级前20%</t>
  </si>
  <si>
    <t>1.线上报名：6月15日-6月30日 17：30 2.录取的夏令营营员名单将于2020年7月15日公布在学院主页上</t>
  </si>
  <si>
    <t>1. 夏令营申请表（可通过报名系统生成）；
2. 个人简历；
3. 考生自述；
4. 成绩单１份（须加盖所在学校教务部门公章）；
5. 成绩排名（所在学院出具并盖章）；
6. 两位副教授及其以上专家的推荐信；
7. 其他证明材料（获奖证书、国家英语四、六级证书和雅思、托福成绩单、科研成果等证明材料的复印件</t>
  </si>
  <si>
    <r>
      <t>1.通过我院夏令营考核并且获得推荐免试研究生资格和名额的夏令营营员，可免予参加我校九月份或十月份的推荐免试研究生（含直博生）考试，（详情以我校招生办网站上公布的《厦门大学2021年推荐免试研究生（含硕士生、直博生）招生简章》为准）； 2.通过夏令营考核但未获得推荐免试研究生资格和名额的夏令营营员，如果选择以公开招考方式报考厦门大学2021年硕士研究生和2021年博士研究生，成绩达到相应标准，在同等条件下我校将给予</t>
    </r>
    <r>
      <rPr>
        <b/>
        <sz val="12"/>
        <color theme="1"/>
        <rFont val="等线"/>
        <family val="3"/>
        <charset val="134"/>
        <scheme val="minor"/>
      </rPr>
      <t>优先录取</t>
    </r>
  </si>
  <si>
    <t>英语水平良好，原则上CET6≥425分或CET4≥500分。</t>
  </si>
  <si>
    <t>2021年5月20日-6月15日。6月15日17：30报名系统关闭</t>
  </si>
  <si>
    <t>（1）夏令营申请表（可通过报名系统生成）；
（2）个人简历；
（3）考生自述；
（4）成绩单１份（须加盖所在学校教务部门公章）；
（5）成绩排名（所在学院出具并盖章）；
（6）两位副教授及其以上专家的推荐信。
（7）其他证明材料（获奖证书、国家英语四、六级证书和雅思、托福成绩单、科研成果等证明材料的扫描件）；</t>
  </si>
  <si>
    <t>通过我院夏令营考核并且获得推荐免试研究生资格和名额的夏令营优秀，可免参加我校九月份或十月份的推荐免试研究生（含直博生）考试，（详情以我校招生办网站上公布的《厦门大学2022年推荐免试研究生（含硕士生、直博生）招生简章》为准）；通过夏令营考核但未获得推荐免试研究生资格和名额的夏令营优秀，如果选择以公开招考方式报考厦门大学2022年硕士研究生和2022年博士研究生，成绩达到相应标准，在同等条件下我校将给予优先录取。</t>
  </si>
  <si>
    <t>学院介绍、讲座、参观及与在读研究生交流等（具体安排将视实际情况进行一定调整）</t>
  </si>
  <si>
    <t>1.网上报名：2018年5月21日-2018年6月20日 2.录取工作拟于2018年6月底至7月初左右完成，详情请关注公共卫生学院网站</t>
  </si>
  <si>
    <t>2018年7月16日-7月19日</t>
  </si>
  <si>
    <t>40-50人</t>
  </si>
  <si>
    <t>（1）网上提交申请；
（2）上传相关证明材料（如已发表论文、所获奖励证书复印件等）【提醒；因系统容量限制，请选取比较有代表性的证书或文件1-2份，建议可以手机拍照的形式，以便上传成功】；
（3）授课教师推荐信1-2封；
（4）其他个人材料及有效信息</t>
  </si>
  <si>
    <t>1.夏令营期间本院将为学员提供活动期间的食宿（统一住宿和就餐）和单程（来程）汽车或火车硬座路费。
2、为学员统一购买夏令营期间保险</t>
  </si>
  <si>
    <t xml:space="preserve"> 全国“211”及“985”高校</t>
  </si>
  <si>
    <t>1.请申请者按要求填写报名信息，并在2020年6月28日前将如下材料电子版/扫描件发至zjusph@zju.edu.cn  2.并于7月初在学院网上公布结果</t>
  </si>
  <si>
    <t>2020年7月8-9日</t>
  </si>
  <si>
    <t>a. 《浙江大学公共卫生学院2020年夏令营申请表》1份；
b. 本人学生证扫描件1份；
c. 本科成绩单扫描件1份（须加盖学校教务处或院系公章）；
d. 各类英语考试成绩单扫描件；
e. 已发表论文、各类证书或其他获奖材料；
f. 授课教师推荐信1-2封。</t>
  </si>
  <si>
    <t>1.全国“双一流”高校预防医学、卫生事业管理、临床医学等相关专业优秀本科生（2022年夏季毕业）；
2.综合素质突出，学习成绩优异，可获得推荐免试研究生资格或计划参加全国研究生招考的优秀学生</t>
  </si>
  <si>
    <t>熟练掌握英语并提供托福、雅思、GRE或英语六级考试成绩单者优先考虑</t>
  </si>
  <si>
    <t>1.本次夏令营根据疫情防控需要，安排线上进行。
7月23-24日:活动内容：学院介绍、讲座、参观及与在读研究生交流等（具体安排将视实际情况进行一定调整）。
7月24日:结束，离营。
活动时间、内容等届时可能会根据具体工作安排稍作调整，具体信息请关注公共卫生学院网站通知。</t>
  </si>
  <si>
    <t>申请者须于2021年7月11日前登录浙江大学公共卫生学院2021年优秀大学生夏令营网报入口进行网上报名</t>
  </si>
  <si>
    <t>2021年7月22-24日</t>
  </si>
  <si>
    <t>（1）《浙江大学公共卫生学院2021年夏令营申请表》1份；
（2）个人身份证（正反面）复印件1份；
（3）本科成绩单1份（须加盖学校教务处或院系公章）；
（4）各类英语考试成绩单；
（5）已发表论文、各类证书或其他获奖材料；
（6）专家推荐信1-2封.</t>
  </si>
  <si>
    <t>大连理工大学</t>
  </si>
  <si>
    <t>生命科学与药学学院</t>
  </si>
  <si>
    <t>1. 大连理工大学生命科学与药学学院整体情况介绍暨开营仪式；
2. 向营员介绍本学院的历史、现状与发展趋势，并回答营员提出的相关问题；
3. 组织营员与我院优秀师生座谈、交流；
4. 进行2020年夏令营优秀营员的评选</t>
  </si>
  <si>
    <t>1.网上报名：即日起至2020年6月25日24时 2.审核通过的营员须于2020年6月26日14点前在夏令营网报系统中点击“确认参营”</t>
  </si>
  <si>
    <t>2020年6月28日至6月29日</t>
  </si>
  <si>
    <t>a. 加盖教务处公章的本科成绩单；
b. 成绩排名证明材料，需要加盖教务或学生工作办公室公章；
c. 英语四、六级成绩证明；
d. 发表论文、专利、科技创新类奖项证明、资格证书等</t>
  </si>
  <si>
    <t>1. 考核合格且获得所在学校推荐免试研究生资格的营员，在规定时间内通过在“全国推荐免试服务系统”中报考生命科学与药学学院，可录取为我校2021年硕士研究生或直博生，其中特别优异者可获得优秀推免生国家奖学金；
2. 考核合格但未获得所在学校推荐免试研究生资格的营员，在全国硕士研究生招生考试中一志愿报考生命科学与药学学院各专业时，初试分数达到我校公布的2021年各学科门类复试基本分数线（含总分、单科分数）标准，可进入我校复试，按照排序规则，同等条件下优先录取。</t>
  </si>
  <si>
    <t>大学期间学业及综合评价优秀(须提供证明材料);</t>
  </si>
  <si>
    <t>1、大连理工大学生命科学与药学学院整体情况介绍暨开营仪式;
2、向营员介绍本学院的历史、现状与发展趋势，并回答营员提出的相关问题;
3、教授讲座、课题组介绍、师生交流等;
4、进行2022年夏令营优秀营员的评选。</t>
  </si>
  <si>
    <t>1.报名截止时间：7月14日24时。2.审核通过的营员须于2021年7月16日11:00前在夏令营网报系统中点击“确认参营”</t>
  </si>
  <si>
    <t>本届夏令营于2021年7月20日举办</t>
  </si>
  <si>
    <t>(1)本科学习期间成绩证明;
(2)本科学习期间排名证明材料;
(3)其他材料(四六级成绩单、其他科技创新类奖项获奖证明等)</t>
  </si>
  <si>
    <t>1.考核合格且获得所在学校推荐免试研究生资格的营员，在规定时间内通过在“全国推荐免试服务系统”中报考我学院任一专业时，可录取为我校2022年硕士研究生，其中特别优异者可获得优秀推免生国家奖学金，并有机会入选学院推免生英才计划，获得优秀推免生国家奖学金及学院科研奖学金、学术活动交流基金等;
2.考核合格但未获得所在学校推荐免试研究生资格的营员，在全国硕士研究生招生考试中一志愿报考我学院任一专业时，初试分数达到我校公布的2022年各学科门类复试基本分数线(含总分、单科分数)标准，可进入我校复试，按照排序规则，同等条件下优先录取。</t>
  </si>
  <si>
    <t>英语水平良好。优先考虑满足以下一项条件：国家英语六级考试成绩422分以上;雅思成绩5.5分及以上;TOEFL成绩80分及以上</t>
  </si>
  <si>
    <t>1.举办专业讲座，由知名专家学者主讲；2.进入我院教师的实验室进行科研实践；
3.开展优秀生源的选拔工作；
4.参观武汉大学校园，感受“求知在武大，成才在珞珈”优美的校园环境和深厚的人文底蕴。</t>
  </si>
  <si>
    <t>网上申请：即日起至6月17日</t>
  </si>
  <si>
    <t>7月9日－7月11日</t>
  </si>
  <si>
    <t>100人左右，其中校外营员不少于40%</t>
  </si>
  <si>
    <t>1.“武汉大学药学院2018年优秀大学生暑期夏令营”申请表1份（附件1）；
2.个人陈述1份（附件2）；
3.专家推荐书1份；
4.其他证明材料（包括：前两年半学习成绩单；获奖证书复印件；各类证书复印件；国家英语四、六级考试成绩或TOEFL/GRE/GMAT/雅思成绩等体现自身英语水平的证明复印件；体现自身学术水平的代表性学术论文、出版物或原创性成果复印件等）</t>
  </si>
  <si>
    <t>（一）给予所有参营人员适当伙食费补助。
（二）为武汉市外高校参营人员安排住宿。
（三）为武汉市外高校的参营人员报销往返硬卧火车票或汽车票费用（须凭票据报销）。
（四）为参营人员购买“夏令营”活动期间人身意外伤害保险</t>
  </si>
  <si>
    <t>“优秀营员”所占比例一般为70%左右。获得优秀营员者，可自行在系统中下载、打印《武汉大学2018年优秀大学生夏令营优秀营员证书》，并可享受以下优惠政策：1.取得所在学校“推免资格”的优秀营员，且服从专业调剂，可直接接收为我校2019年推免生。2.部分未取得所在学校“推免资格”的优秀营员，第一志愿报考武汉大学，参加2019年硕士研究生招生考试，初试成绩达到药学院“学院复试分数线”，经体检合格，且服从专业调剂，可申请免复试录取。</t>
  </si>
  <si>
    <t>以武汉大学医学部发布为准</t>
  </si>
  <si>
    <t>1.网上申请：即日起至6月17日  2.审核于6月24日17：00前结束，已被选拔入围的营员要在6月27日17：00前通过“夏令营报名系统”确认是否参加</t>
  </si>
  <si>
    <t>7月8日报到，晚上开营，7月10日下午闭营</t>
  </si>
  <si>
    <t>药学院100人左右，其中校外营员不少于40%</t>
  </si>
  <si>
    <t>以武汉大学医学部发布为准,申请药学专业的考生另须提交专家推荐书1份</t>
  </si>
  <si>
    <t>（一）夏令营活动期间提供营员在汉食宿（武汉市本地学校学生不提供住宿）。
（二）提供来自外地高校的营员往返硬卧火车票或汽车票资助（凭票）。
（三）为营员购买夏令营活动期间人身意外伤害保险，保险期为：报到后至闭营仪式结束。</t>
  </si>
  <si>
    <t>“优秀营员”所占比例一般为70%左右。获得优秀营员者，可自行在系统中下载、打印《武汉大学2019年优秀大学生夏令营优秀营员证书》，并可享受以下优惠政策：1.取得所在学校“推免资格”的优秀营员，在规定时间内进入教育部推免系统报名我院的推免生，可免复试接收为我院2020年推免生。2.部分未取得所在学校“推免资格”的优秀营员，第一志愿报考武汉大学，参加2020年硕士研究生招生考试，初试成绩达到药学院“相应复试分数线”，经体检合格，可申请免复试录取。</t>
  </si>
  <si>
    <t>1.网上报名：即日起至6月30日  2.审核于7月3日17：00前结束，已被选拔入围的营员要在7月6日17：00前通过“夏令营系统”确认是否参加</t>
  </si>
  <si>
    <t>7月13日报到开营，7月14日下午闭营</t>
  </si>
  <si>
    <t>药学院150人左右，其中校外营员不少于50%</t>
  </si>
  <si>
    <t>1.“武汉大学2020年优秀大学生线上夏令营”申请表1份（附件1）；
2.个人陈述1份（附件2）；
3.其他证明材料（包括：前两年半学习成绩单；获奖证书复印件；各类证书复印件；国家英语四、六级考试成绩或TOEFL/GRE/GMAT/雅思成绩等体现自身英语水平的证明复印件；体现自身学术水平的代表性学术论文、出版物或原创性成果复印件等）</t>
  </si>
  <si>
    <t>优秀营员”所占比例一般为70%左右。获得优秀营员者，可自行在系统中下载、打印《武汉大学2020年优秀大学生夏令营优秀营员证书》，并可享受以下优惠政策：1.取得所在学校“推免资格”的优秀营员，在规定时间内进入教育部推免系统报考我校推免生，且服从专业调剂，可免复试接收为我校2021年推免生。2.部分未取得所在学校“推免资格”的优秀营员，第一志愿报考武汉大学，参加2021年硕士研究生招生考试，初试成绩达到药学院“相应复试分数线”，经体检合格，可申请免复试录取，额满为止。</t>
  </si>
  <si>
    <t>国内外高水平大学、全国重点大学的本科三年级在校生（2022届毕业生，含境外高校当年毕业学生），或所在学科为国家双一流学科、双万计划学科、重点学科，在最新一轮学科水平评估中排名靠前的本科三年级在校生（2022届毕业生），个别有突出成果或特殊专业特长的其他高校的本科三年级在校生（2022届毕业生）也可申请（占参营人数比例不超过5%），学习成绩优秀，本科前两年半学习成绩在所在专业年级排名居前。</t>
  </si>
  <si>
    <t>结合学院学科特点和实际情况确定活动内容，突出特色，增强活动的内涵和吸引力。
1.举办专业介绍和学术讲座，由知名专家学者主讲；
2.开展优秀生源的选拔工作。</t>
  </si>
  <si>
    <t>网上报名时间6月1日至6月21日，审核于6月25日12：00前结束，已被选拔入围的营员要在6月28日17：00前通过“夏令营系统”确认是否参加，逾期未确认视为放弃此资格。入围并通过“夏令营系统”确认参加武汉大学医学部2021年优秀大学生夏令营活动的人员名单将于6月30日在学院网站公布。</t>
  </si>
  <si>
    <t>7月8日－7月9日。7月8日报到开营，7月9日下午闭营（如有变化，另行通知）</t>
  </si>
  <si>
    <t>110人左右，其中校外营员不少于60%</t>
  </si>
  <si>
    <t>1.“武汉大学2021年优秀大学生夏令营”申请表1份（附件1），申请表须有本人所在学校院系推荐意见和教务部门盖章；
2.个人陈述1份（附件2）；
3.其他证明材料（包括：前两年半学习成绩单；获奖证书复印件；各类证书复印件；国家英语四、六级考试成绩或TOEFL/GRE/GMAT/雅思成绩等体现自身英语水平的证明复印件；体现自身学术水平的代表性学术论文、出版物或原创性成果复印件等）。</t>
  </si>
  <si>
    <t>根据选拔考核综合成绩排名情况，确定优秀营员名单，并在“武汉大学研究生招生服务系统”中记载、留存。“优秀营员”所占比例一般为70%左右。获得优秀营员者，可自行在系统中下载、打印《武汉大学2021年优秀大学生夏令营优秀营员证书》，并可享受以下优惠政策：
取得所在学校“推免资格”的优秀营员，在规定时间内进入教育部推免系统报考我校推免生，且服从专业调剂，可优先接收为我校2022年推免生。</t>
  </si>
  <si>
    <t>官网无</t>
  </si>
  <si>
    <t>1.国际知名高校(US News或QS世界大学排名前300名)当年毕业的中国籍学生、全国重点大学、省部级重点大学，或所学学科为全国重点学科、第四轮学科水平评估结果B以上学校2020届本科毕业生；有突出成果、论文或特殊专业特长的其他高校2020届本科毕业生（占参营人数比例不超过5%）</t>
  </si>
  <si>
    <t>1.网上报名：6月17日23：59前 2.审核于6月24日17：00前结束，已被选拔入围的营员要在6月27日17：00前通过“夏令营报名系统”确认是否参加</t>
  </si>
  <si>
    <t>7月8日－7月10日</t>
  </si>
  <si>
    <t>校内参营人数60人左右</t>
  </si>
  <si>
    <t>，选择“优秀大学生暑期夏令营申请选拔”报名项目，根据系统要求在线填写申请表和个人陈述，并上传照片和其他证明材料</t>
  </si>
  <si>
    <t>1．夏令营活动期间提供营员在汉食宿（武汉市本地学校学生不提供住宿）。
2. 提供来自外地高校的营员往返硬卧火车票或汽车票资助（凭票）。
3. 为营员购买夏令营活动期间人身意外伤害保险，保险期为：报到后至闭营仪式结束</t>
  </si>
  <si>
    <t>“优秀营员”所占比例一般为70%左右。获得优秀营员者，可自行在系统中下载、打印《武汉大学2019年优秀大学生夏令营优秀营员证书》，并可享受以下优惠政策：1.取得所在学校“推免资格”的优秀营员，在规定时间内进入教育部推免系统报名我院的推免生，可免复试接收为我院2020年推免生。（以学院推免工作细则为准）；2.部分未取得所在学校“推免资格”的优秀营员，第一志愿报考武汉大学基础医学院，参加2020年硕士研究生招生考试，初试成绩达到基础医学院“相应复试分数线”，经体检合格，可申请免复试录取。（以学院复试录取工作实施细则为准）</t>
  </si>
  <si>
    <t>国内外高水平大学、全国重点大学，或所学学科为国家双一流学科、双万计划学科、重点学科，在全国第四轮学科水平评估结果B以上学校2021届本科毕业生；个别有突出成果或特殊专业特长的其他高校2021届本科毕业生（占参营人数比例不超过5%）</t>
  </si>
  <si>
    <t>1.网上报名：6月30日24:00前 2.审核于7月3日17：00前结束，已被选拔入围的申请人要在7月6日17：00前通过“夏令营报名系统”确认是否参加</t>
  </si>
  <si>
    <t>7月14－15日。</t>
  </si>
  <si>
    <t>100人左右。</t>
  </si>
  <si>
    <t>选择“优秀大学生夏令营申请选拔”进入，根据系统要求在线填写申请表和个人陈述，并上传照片和其他证明材料</t>
  </si>
  <si>
    <t>“优秀营员”所占比例为前70%左右。获得优秀营员者，可自行在系统中下载、打印《武汉大学2020年优秀大学生夏令营优秀营员证书》。
1. 取得所在学校“推免资格”的优秀营员，在规定时间内进入教育部推免系统报名我院的推免生，可免复试接收为我院2021年推免生。（以学院推免工作细则为准）
2. 部分未取得所在学校“推免资格”的优秀营员，第一志愿报考武汉大学基础医学院，参加2021年硕士研究生招生考试，初试成绩达到基础医学院“相应复试分数线”，经体检合格，可申请免复试录取。（以学院复试录取工作实施细则为准）</t>
  </si>
  <si>
    <t>1.国内外高水平大学、全国重点大学，或所学学科为国家双一流学科、双万计划学科、重点学科，在全国第四轮学科水平评估结果B以上学校2022届本科毕业生；个别有突出成果或特殊专业特长的其他高校2022届本科毕业生（占参营人数比例不超过5%）；
2.学习成绩优异，本科学习成绩在所在专业年级排名居前列；</t>
  </si>
  <si>
    <t>1.举办专业介绍、学术讲座、招生政策宣讲及与导师交流；
2.开展优秀生源的选拔工作。</t>
  </si>
  <si>
    <t>网上报名：6月16日起至6月22日24:00前，审核于6月25日12：00前结束，选拔入围的营员要在6月28日17：00前通过“夏令营系统”确认是否参加，逾期未确认视为放弃此资格。入围并通过“夏令营系统”确认参加武汉大学基础医学院2021年优秀大学生夏令营活动的人员名单将于6月30日在学院网站公布。</t>
  </si>
  <si>
    <t>7月8-9日（具体活动日程安排另行通知）</t>
  </si>
  <si>
    <t>取得所在学校“推免资格”的优秀营员，在规定时间内进入教育部推免系统报名我院的推免生，且服从专业调剂，可优先接收为我院2022年推免生（以学院推免工作细则为准）。</t>
  </si>
  <si>
    <t>全国“双一流”建设高校、原“985”或“211”高校临床医学专业的2020届本科毕业生</t>
  </si>
  <si>
    <t>7月18日下午（13:30 后，地点：浙大紫金港校区白沙综合楼服务大厅）学员报到登记，安排住宿；
7月19日-7月21日主题讲座，导师、学长见面交流会，附属医院参观等；
7月22日自由行、离杭</t>
  </si>
  <si>
    <t>网上报名：2018年6月25日24:00前 2.7月5日前，录取学员登录夏令营报名系统，在收到“同意参加”的信息后，请确认是否参加</t>
  </si>
  <si>
    <t>2018年7月18-22日</t>
  </si>
  <si>
    <t>请者须网上填写并提交《浙江大学2018年夏令营申请》，要求将加盖教务处公章的四学年（四年制为三学年）学习成绩单和综合成绩排名证明、四六级成绩（申请直博必须要有六级）、其他证明材料（如已发表论文、各类获奖或资格证书等）</t>
  </si>
  <si>
    <t>我院将承担学员活动期间的食宿费用、相关讲义及资料、单程火车票（普通硬座或动车、高铁二等座）或汽车票</t>
  </si>
  <si>
    <t>7月21日下午（13:30 后，地点：浙大紫金港校区白沙综合楼服务大厅）学员报到登记，安排住宿；
7月22日-7月24日主题讲座，导师、学长见面交流会，附属医院参观等；
7月25日自由行、离杭</t>
  </si>
  <si>
    <t>网上报名：2019年6月24日24:00  2.7月4日前，录取学员登录夏令营报名系统，在收到“同意参加”的信息后，请确认是否参加</t>
  </si>
  <si>
    <t>2019年7月21-25日</t>
  </si>
  <si>
    <t>申请者须网上填写并提交《浙江大学2019年夏令营申请》，要求将加盖教务处公章的四学年（四年制为三学年）学习成绩单和综合成绩排名证明、四六级成绩（申请直博必须要有六级）、其他证明材料（如已发表论文、各类获奖或资格证书等）</t>
  </si>
  <si>
    <t>全国“双一流”建设高校、原“985”或“211”高校临床医学专业的2020届本科毕业生；学习成绩优秀</t>
  </si>
  <si>
    <t>开营仪式；学院介绍；导师介绍</t>
  </si>
  <si>
    <t>网上报名：2020年7月5日24:00前 2.录取学员名单可在7月10日前在浙江大学医学院网站和报名系统公布</t>
  </si>
  <si>
    <t>2020年7月23、24日</t>
  </si>
  <si>
    <t>申请者须网上填写并提交《浙江大学2020年夏令营申请》，要求将加盖教务处公章的四学年（四年制为三学年）学习成绩单和综合成绩排名证明、四六级成绩（申请直博必须要有六级）、其他证明材料（如已发表论文、各类获奖或资格证书等）</t>
  </si>
  <si>
    <t>临床医学相关专业的2022届本科毕业生（2022年6月毕业）学习成绩优秀</t>
  </si>
  <si>
    <t>本次夏令营将安排学院介绍、各临床医学院领航、学术讲座、推免与考研政策等活动内容，增加学生对我院临床学科的了解，感受我院临床医学研究领域的优势和特色。</t>
  </si>
  <si>
    <t>申请材料于2021年6月24日中午12:00前一起上传至报名系统，对申请者进行评审并于6月28日前确定录取学员名单，录取学员名单可在6月28日前在浙江大学医学院网站：（http://www.cmm.zju.edu.cn/38716/list.htm）和报名系统公布</t>
  </si>
  <si>
    <t>2021年7月6日-7月7日</t>
  </si>
  <si>
    <t>申请者须网上（http://grs.zju.edu.cn/ssszs/nocontrol/student_login/student_login.htm）选择夏令营申请系统进行报名，要求将加盖教务处公章的四学年（四年制为三学年）学习成绩单和综合成绩排名证明、四六级成绩（申请直博必须要有六级）、其他证明材料（如已发表论文、各类获奖或资格证书等）扫描件制作成一个PDF文件</t>
  </si>
  <si>
    <t>1.网上报名：截止时间未说明 2、7月10日前公布夏令营营员名单</t>
  </si>
  <si>
    <t>2018年7月15日-19日</t>
  </si>
  <si>
    <t>1）在线填写报名表，并提交个人简历等材料。在线申报网址：https://www.wjx.top/jq/23873294.aspx
2）夏令营同学于7月15日报到，携带学生证、截止报名为止的成绩单（加盖公章）、成绩排名证明（加盖公章）、四六级成绩书、个人获奖证书等材料进行报到注册</t>
  </si>
  <si>
    <t>免费安排食宿（北京高校同学不提供住宿），并报销单程交通费（火车硬卧、硬座标准）</t>
  </si>
  <si>
    <t>1.网上报名截止时间为2019年6月16日 2.并于7月5日前公布夏令营营员名单</t>
  </si>
  <si>
    <t>2019年7月14日-18日</t>
  </si>
  <si>
    <t>1.在线填写报名表。在线申报网址：http://ibms.xly.allstudy.com/
2.夏令营同学于7月14日报到，携带学生证、截止报名为止的成绩单（加盖公章）、成绩排名证明（加盖公章）、四六级成绩书、个人获奖证书、个人简历等材料进行报到注册</t>
  </si>
  <si>
    <t>免费安排食宿（学校或家庭所在地为北京的原则上不安排住宿），并报销单程交通费（火车硬卧、硬座标准）</t>
  </si>
  <si>
    <t>1.网上报名：报名截止时间为2020年7月5日 2.于7月15日前公布夏令营营员名单</t>
  </si>
  <si>
    <t>1. 在线填写报名表
2. 发送个人简历</t>
  </si>
  <si>
    <t>详细日程将通过夏令营微信群通知</t>
  </si>
  <si>
    <t>2021年5月25日-6月15日</t>
  </si>
  <si>
    <t>2021年7月12日-15日</t>
  </si>
  <si>
    <t>（1）在线填写报名表。申请时间：2021年5月25日-6月15日
在线申报网址：http://ibms.xly.allstudy.com
（2）学院审核、遴选营员。6月底公布夏令营录取名单。录取通知将发送至填报邮箱。
录取营员名单同时公布在基础学院网站及研究生会微信公众号。</t>
  </si>
  <si>
    <t>（1）请务必准确填写夏令营申报表，信息提供有误将取消资格，本次夏令营营员信息将作保密处理。
（2）请关注研究生会公众号，名称“医科院基础所研究生会”，夏令营详细活动安排将同时公布在基础学院网站及研究生会微信公众号。</t>
  </si>
  <si>
    <t>具有推免权高校（含本校深圳大学）的有意推免或报考我校硕士研究生的2021届优秀本科毕业生</t>
  </si>
  <si>
    <t>云宣讲+云导师互动交流+云在校研究生互动交流（腾讯会议）；选拔优秀学员为2020年推荐免试入学硕士生</t>
  </si>
  <si>
    <t>即日起至2020年6月30日</t>
  </si>
  <si>
    <t>1. 个人简介；
2. 有效期内的身份证和学生证（每学期加盖有注册章）；
3. 前两年半成绩单（有学校教务部门或所在院系公章，如有不实，取消资格）与总评成绩排名证明（有学校教务部门或所在院系公章）；
4. 获奖证书；
5. 大学英语四、六级考试成绩、或TOEFL成绩、或GRE/GMAT成绩等体现自身英语水平的证明；
6. 申请人还可提交体现自身学术水平的代表性学术论文、出版物或原创性工作成果</t>
  </si>
  <si>
    <t>具有推免权高校（含本校深圳大学）的有意推免或报考我校硕士研究生的2022届优秀本科毕业生。</t>
  </si>
  <si>
    <t>云宣讲+云导师互动交流+云在校研究生互动交流（腾讯会议）；选拔优秀学员为2022年推荐免试入学硕士生。
（1）  学科点介绍：学科点概况，专业介绍，招生政策，导师介绍，课程介绍等。
（2）  学术讲座：各研究方向的研究生导师做专题学术讲座：包括该研究方向的简介，国内外最新研究进展，研究生导师主持的科研项目，课题研究内容以及研究成果，课题组主要成员简介等。
（3） 师生交流与研究生生活体验：学员自愿选择导师进行交流。</t>
  </si>
  <si>
    <t>2021年7月5日至2021年7月13日中午12:00</t>
  </si>
  <si>
    <t>（1）  个人简介；
（2）  有效期内的身份证和学生证（每学期加盖有注册章）；
（3）  前两年半成绩单（有学校教务部门或所在院系公章，如有不实，取消资格）与总评成绩排名证明（有学校教务部门或所在院系公章）；
（4）  获奖证书；
（5）  大学英语四、六级考试成绩、或TOEFL成绩、或GRE/GMAT成绩等体现自身英语水平的证明；
（6）  申请人还可提交体现自身学术水平的代表性学术论文、出版物或原创性工作成果。</t>
  </si>
  <si>
    <t>国内高水平大学相关专业优秀三年级本科生，本科平均成绩应在本专业排名前40%</t>
  </si>
  <si>
    <t>专业介绍、名师交流、研究生座谈、专业知识面试</t>
  </si>
  <si>
    <t xml:space="preserve">网上报名截止时间：2019年6月15日 </t>
  </si>
  <si>
    <t>2018年7月13～15日</t>
  </si>
  <si>
    <t>1.“华东理工大学药学院2018年大学生暑期夏令营申请表”1份(见附件)。
2.学校教务处盖章的成绩单原件(本科两年半成绩)。
3.推荐信2封，需要两名本科学校教师分别推荐，装入信封密封并在封口骑缝处签名。(推荐信模板见附件)。
4.其他证明材料(学生证复印件、身份证复印件、已发表论文的复印件、获奖证书复印件、英语4/6级成绩单复印件等)</t>
  </si>
  <si>
    <t>我院将提供夏令营学生的往返交通费（汽车或火车硬座）（上交来沪单程车票原件及返程车票复印件报销）、负责夏令营期间的住宿费用（在沪高校学生不提供住宿）</t>
  </si>
  <si>
    <t>2019年7月12～14日</t>
  </si>
  <si>
    <t>1.“华东理工大学药学院2019年大学生暑期夏令营申请表”1份(见附件)华东理工大学药学院2019年大学生暑期夏令营活动申请表.doc。
2.学校教务处盖章的成绩单原件(本科两年半成绩)。
3.推荐信2封，需要两名本科学校教师分别推荐，装入信封密封并在封口骑缝处签名。(推荐信模板见附件)药学院2019年暑期夏令营教师推荐表.doc。
4.其他证明材料(学生证复印件、身份证复印件、已发表论文的复印件、获奖证书复印件、英语4/6级成绩单复印件等)</t>
  </si>
  <si>
    <t>1.教育部“双一流建设”高校专业排名前40%大三本科生；
2.非“双一流建设”但“具有推免资格”高校专业排名前10%以内大三本科生；</t>
  </si>
  <si>
    <t>网上报名截止时间：2020年7月5日 2.2020年7月10日左右在药学院网站公布入围夏令营学生名单</t>
  </si>
  <si>
    <t>2020年7月16～17日</t>
  </si>
  <si>
    <t>1.身份证正反面扫描件/照片。
2.教育部学籍在线验证报告：登录“高等教育学生信息咨询网”，进入“学信档案”在线申请学籍验证。
3.学校盖章的申请表扫描件1份，申请表在报名系统内生成。
4.学校教务处盖章的成绩单扫描原件(本科两年半成绩)。
5.国家英语四、六级考试成绩扫描件1份。
6.两名本科学校教师书面推荐信</t>
  </si>
  <si>
    <t>我院将根据申请材料、面试综合考核等方面对夏令营学员进行全面考核，对通过考核的夏令营学员在报考我院相关专业时提供相应的研究生招生优惠政策。
1. 通过考核的夏令营学员获得所在学校2021年推荐免试研究生资格，并报考我院相关专业，学院将根据接收规模依次录取，额满为止，复试成绩以夏令营考核成绩为准。
2. 通过考核的夏令营学员如未获得所在学校推荐免试研究生资格，并在2021年硕士研究生招生考试中以第一志愿报考我院相关专业时，将享受相应的优惠政策</t>
  </si>
  <si>
    <t>1.教育部“双一流建设”高校专业排名前40%大三本科生；
2.非“双一流建设”但“具有推免资格”高校专业排名前10%以内大三本科生；
3.有两名本科学校教师书面推荐；</t>
  </si>
  <si>
    <t>国家大学英语四级480分或六级425分以上。</t>
  </si>
  <si>
    <t>本次夏令营活动采取线上形式，使用腾讯会议平台。暑期夏令营期间，学院将举办专业介绍、名师交流、研究生座谈、专业知识面试等活动。</t>
  </si>
  <si>
    <t>报名截止时间：2021年6月30日。2021年7月5日左右在药学院网站公布入围夏令营学生名单、详细日程安排、相关通知，不再另行通知。</t>
  </si>
  <si>
    <t>2021年7月13～14日</t>
  </si>
  <si>
    <t>1.身份证正反面扫描件/照片。
2.教育部学籍在线验证报告：登录“高等教育学生信息咨询网”（www.chsi.com.cn），进入“学信档案”在线申请学籍验证。
3.学校盖章的申请表扫描件1份，申请表在报名系统内生成。
4.学校教务处盖章的成绩单扫描原件(本科两年半成绩)。
5. 国家英语四、六级考试成绩扫描件1份。
6.两名本科学校教师书面推荐信</t>
  </si>
  <si>
    <t>1、通过考核的夏令营学员获得所在学校2022年推荐免试研究生资格，并报考我院相关专业，学院将根据接收规模依次录取，额满为止，复试成绩以夏令营考核成绩为准。
2、通过考核的夏令营学员如未获得所在学校推荐免试研究生资格，并在2022年硕士研究生招生考试中以第一志愿报考我院相关专业时，将享受相应的优惠政策。</t>
  </si>
  <si>
    <t>1、全国名牌大学（985、211、C9高校）、全国排名前20的独立医科大学，以及国家重点学科、特色专业的生命科学、医学相关专业优秀应届本科毕业生，有希望取得所在学校推荐免试生资格。
2、大学本科前三学年（学制四年）或前四学年（学制五年）总评成绩在专业名列前茅（平均学分绩排名在本专业前10%将优先考虑进入营员名单）</t>
  </si>
  <si>
    <t>英语成绩按南京大学研究生院要求六级达到426分或四级达到497分。</t>
  </si>
  <si>
    <t>南大医学院总体介绍及各学科介绍；参观校园及各学科实验室；参观南大医学院附属医院及各个科室；与研究生导师就具体科研方向等进行沟通、互动；夏令营优秀营员的面试选拔</t>
  </si>
  <si>
    <t>1.网上报名：6月15日前 2.我院将于6月22日前在医学院网站上公布获得营员资格的名单</t>
  </si>
  <si>
    <t>7月13日—14日</t>
  </si>
  <si>
    <t>1）夏令营申请表；2）本科阶段成绩单原件；3）英语六级或四级成绩证明复印件；4）获奖或其他考试证书复印件；5）在公开发行的刊物或全国会议上发表的学术论文、出版物复印件；6）个人信息汇总表</t>
  </si>
  <si>
    <t>食宿及费用：提供夏令营期间的往返车费（限普快、动车或高铁二等座及以下）报销，及午餐、晚餐，其他费用自理（外地学生需自行安排住宿）</t>
  </si>
  <si>
    <t>我院将根据营员的设计成绩和综合表现，评定“优秀营员”并颁发证书。获得“优秀营员”证书者，可享受以下优惠政策（证书后期通过邮件发送）：
 “优秀营员”如获得所在学校推荐免试研究生资格，只要在教育部推免生系统中申报我校我院，将予以免复试预录取。
其他营员如获得所在学校免试推荐研究生资格，经我院复试并通过的，将优先预录取</t>
  </si>
  <si>
    <t>1.网上报名：6月14日前 2.我院将于6月21日前在医学院网站上公布获得营员资格的名单</t>
  </si>
  <si>
    <t>7月12日—14日</t>
  </si>
  <si>
    <t>提供非南京学生夏令营期间的统一住宿，往返车费（限普快、动车或高铁二等座及以下，机票无法报销）报销，及午餐、晚餐，其他费用自理。南京当地学生，住宿需自理。</t>
  </si>
  <si>
    <t>我院将根据营员的设计成绩和综合表现，评定“优秀营员”并颁发证书。获得“优秀营员”证书者，可享受以下优惠政策（证书后期通过邮件发送）：
 “优秀营员”如获得所在学校推荐免试研究生资格，只要在教育部推免生系统中申报我校我院，可优先进入选拔名单，无需再次参加推免研究生复试。
其他营员如获得所在学校推荐免试研究生资格，经我院复试并通过的，也将优先进入选拔名单</t>
  </si>
  <si>
    <t>1. 全国一流高校、一流学科、全国排名前20的独立医科大学，以及国家重点学科、特色专业的生命科学、医学相关专业具有推免资格的优秀应届本科毕业生。
2. 大学本科前三学年（学制四年）或前四学年（学制五年）总评成绩在专业名列前茅（平均学分绩排名在本专业前10%将优先考虑进入营员名单），</t>
  </si>
  <si>
    <t>医学院以及各附属医院介绍、重点科室宣讲、名师讲堂、推免面试</t>
  </si>
  <si>
    <t>1.网上报名：7月8日前 2.7月15日前在医学院网站上公布获得营员资格的名单</t>
  </si>
  <si>
    <t>2020年7月7月24-25日</t>
  </si>
  <si>
    <t>a. 夏令营申请表电子版；
b. 本科阶段成绩单原件扫描件；
c. 英语六级或四级成绩证明扫描件；
d. 获奖或其他考试证书扫描件；
e. 在公开发行的刊物或全国会议上发表的学术论文、出版物扫描件；
f. 个人信息汇总表。</t>
  </si>
  <si>
    <t>我院将根据营员的面试成绩和综合表现，评定“优秀营员”并颁发证书。获得“优秀营员”证书者，可享受以下优惠政策：
1. “优秀营员”可获得精美纪念品一份；
2. “优秀营员”如获得所在学校推荐免试研究生资格，只要在教育部推免生系统中申报我校我院，可第一批次进入选拔名单，无需再次参加推免研究生复试</t>
  </si>
  <si>
    <t>1.全国一流高校、一流学科、全国排名前20的独立医科大学，以及国家重点学科、特色专业的生命科学、医学相关专业具有推免资格的优秀应届本科毕业生。
2．大学本科前三学年（学制四年）或前四学年（学制五年）总评成绩在专业名列前茅（平均学分绩排名在本专业前10%将优先考虑进入营员名单）</t>
  </si>
  <si>
    <t xml:space="preserve">具体日程（预计包括医学院以及各附属医院介绍、重点科室宣讲、名师讲堂、推免面试等）请关注后续通知。
</t>
  </si>
  <si>
    <t>报名时间：6月2日起至6月25日</t>
  </si>
  <si>
    <t>2021年7月6日-7月9日</t>
  </si>
  <si>
    <t>1）夏令营申请表电子版；
2）身份证、学生证扫描件（身份证正反面在一张A4纸上）；
3）本科阶段成绩单原件扫描件；
4）英语六级或四级成绩证明扫描件；
5）获奖或其他考试证书扫描件；
6）在公开发行的刊物或全国会议上发表的学术论文、出版物扫描件；</t>
  </si>
  <si>
    <t>我院将根据营员的面试成绩和综合表现，评定“优秀营员”并颁发证书。获得“优秀营员”证书者，可享受以下优惠政策：
1．“优秀营员”可获得精美纪念品一份；
2．“优秀营员”如获得所在学校推荐免试研究生资格，只要在教育部推免生系统中申报我校我院，可第一批次进入选拔名单，无需再次参加推免研究生复试。</t>
  </si>
  <si>
    <t>中山医学院生物医学</t>
  </si>
  <si>
    <t>网申6月30日前</t>
  </si>
  <si>
    <t>7月22日-26日</t>
  </si>
  <si>
    <t>1、夏令营申请表(阅读原文下载)
2、本科阶段成绩单及同年级总成绩排名原件(由教务部门或院系盖章)1份
3、学生证复印件1份
4、教育部学籍在线验证报告1份
5、二代居民身份证复印件2份，正反面复印在同一张A4纸内，一式2份，考生须在其中1份的空白处抄录“授权中山大学代本人申领工商银行灵通卡，并从本人指定账户扣收学杂费”并签名
6、其他相关证明材料：英语水平及获奖证书复印件等。</t>
  </si>
  <si>
    <t>本项目将为营员提供食宿（广州本地高校营员只提供伙食、不提供住宿），并为异地高校学生补助学校所在地到广州的城市间往返交通费用（按硬座火车票标准）。</t>
  </si>
  <si>
    <t>成绩优秀，同等条件下211/985学生优先录取。</t>
  </si>
  <si>
    <t>开营仪式、参观校史、参观实验室、专业导师见面交流会</t>
  </si>
  <si>
    <t>网申6 月 25 日前；收取纸质材料截止日期为6月28日。</t>
  </si>
  <si>
    <t>7月13-17日</t>
  </si>
  <si>
    <t>1、夏令营申请表
2、本科阶段成绩单及同年级总成绩排名（由教务部门或院系盖章）1份
3、学生证复印件
4、教育部学籍在线验证报告
5、二代居民身份证2份复印件，正反面复印在同一张A4纸内，一式2份，考生须在其中1份的空白处抄录“授权中山大学代本人申领工商银行灵通卡，并从本人指定账户扣收学杂费。”并签名
6、其他相关证明材料：英语水平及获奖证书复印件等</t>
  </si>
  <si>
    <t>7月13日上午：营员网上报到，开营仪式，导师讲座；
7月13日下午-7月16日： 研究生导师与营员互动交流、面试；
7月16日：离营，颁发营员证书。</t>
  </si>
  <si>
    <t>7 月 5日之前</t>
  </si>
  <si>
    <t>7月13-16日</t>
  </si>
  <si>
    <t>材料1：请将申请表（附件1）签字盖章后，与其他申请材料（二、申请材料2-6项）的扫描件一同按顺序合并成一个PDF文件（命名：姓名-夏令营报名材料）；
材料2：请填写夏令营报名信息表excel文件（附件2，命名：姓名-夏令营报名信息表）。
请将以上2个文件发至邮箱yxyky@mail.sysu.edu.cn，邮件命名：姓名-夏令营报名。请务必确认材料信息无误后再提交。报名截止日期：2020年7月5日。</t>
  </si>
  <si>
    <t>成绩优秀，具有较好英语应用能力，达到所在高校推荐免试生资格的条件，且有意攻读中山医学院研究生；同等条件下211/985高校学生优先录取。</t>
  </si>
  <si>
    <t>具有较好英语应用能力。</t>
  </si>
  <si>
    <t>（一）7月16日9:00—11:00：开营仪式（线上，具体安排另行通知）；
（二）7月17、18日：参观科研平台、师生沟通、面试（线上）；
（三）7月19—30日：完成录取意向，提交《中山大学免试硕士研究生复试录取表》或《中山大学免试直博生复试录取表》（请在“复试小组对考生的综合评语”中注明导师姓名、拟录取专业）。
备注：最终录取结果以“全国推荐优秀应届本科毕业生免试攻读研究生信息公开暨管理服务系统”（网址:http://yz.chsi.com.cn/tm，以下简称“推免服务系统”）确认录取为准。</t>
  </si>
  <si>
    <t>报名：请于2021年6月23日17:30前登录https://www.wjx.top/vj/tU4AbvB.aspx报名，并上传“申请材料”中要求的材料。
将在2021年6月28日前通过网站公布获得参加本次夏令营资格的学生名单</t>
  </si>
  <si>
    <t>2021年7月14日-7月17日</t>
  </si>
  <si>
    <t>1.中山大学2021年优秀大学生夏令营申请表（附件）。
2.本科阶段成绩单及同年级总成绩排名（由教务部门或院系盖章）1份。
3.学生证复印件。
4.教育部学籍在线验证报告。
5.二代居民身份证复印件2份，正反面复印在同一张A4纸内。
6.其他相关证明材料：英语水平及获奖证书复印件等。</t>
  </si>
  <si>
    <t>1.“双一流”院校、所学专业在全国学科评估中排名A类的三年级在校本科生；2.其他院校的三年级在校本科生总评成绩排名在专业前10%；招生学科：药学（1007）；生物与医药（0860）</t>
  </si>
  <si>
    <t>7月10日前</t>
  </si>
  <si>
    <t>7月（具体时间未说明</t>
  </si>
  <si>
    <t>1)《西北工业大学2020年全国优秀大学生暑期夏令营申请表》（申请人网上下载）；
2)本科前三年成绩单、综合测评成绩单；
3)其他证明材料（已发表论文、获奖证书或其它考试证书的复印件）；
请申请人将以上材料扫描后整合为一个PDF文件，文件命名为“2020年暑期夏令营-所在学校-姓名-报考专业”，邮件主题为“2020年暑期夏令营-所在学校-姓名-报考专业”，并发送至指定邮箱：yxyjy@nwpu.edu.cn 。</t>
  </si>
  <si>
    <t>全国高校综合表现优异的2022 届本科生</t>
  </si>
  <si>
    <t>报名截止时间：2021年7月1日，暑期夏令营的考核结果将在2021年7月结束</t>
  </si>
  <si>
    <t>（1）《西北工业大学2021 年全国优秀大学生暑期夏令营申请表》（附件1）；
（2）本科前三年成绩单、综合测评成绩单（加盖学校或院系教务部门公章）；
（3）其他证明材料（已发表论文、获奖证书或其它考试证书的复印件）；
（4）申请人将以上材料扫描（或拍照）后整合为一个PDF 文件，上传至报名系统，文件命名为“报名编号-考生姓名-报考专业”。</t>
  </si>
  <si>
    <t>活动期间各学院将对学员进行综合考核，考核通过学员享受下列政策：
1.获得所在院校2022 年推免生资格的学员，报考我校可被我校直接录取为推荐免试研究生。
2.未获得所在院校2022 年推免生资格的学员，如报考我校2022 年硕士研究生且初试成绩达到报考学院报考专业的复试分数线，同等条件下优先录取。</t>
  </si>
  <si>
    <t>1. 2019年应届本科毕业生；
2．具有良好的品德，身体健康；
3．学习成绩优秀，平均成绩80分以上或者GPA3.0以上，排名在年级前20%；
4．具有生物学、医学等相关专业背景，对生命科学和医学有浓厚的兴趣，有科研相关经历、发表论文者或申请专利者优先考虑。</t>
  </si>
  <si>
    <t>英语水平优良：CET6≥500分。</t>
  </si>
  <si>
    <t>8月1日下午报到；8月2日上午开营仪式；8月2日下午-3日全天活动</t>
  </si>
  <si>
    <t>7月26日12:00点前</t>
  </si>
  <si>
    <t>8月2日-3日</t>
  </si>
  <si>
    <t>1.个人简历，点击请下载模板；
2. 大学期间成绩单（截至2018年6月）和专业排名，须由教务部门盖章；
3. 英语六级考试成绩；
4．其他证明材料（如体现自身学术水平的代表性学术论文或其他原创性工作成果复印件、获奖证书复印件等）。</t>
  </si>
  <si>
    <t>医院提供8月1-2日晚上的住宿，以及夏令营期间的餐饮和保险。往返路费等请自理。</t>
  </si>
  <si>
    <t>学习成绩优秀，以下条件满足其一即可：
（1）能获得推免资格
（2）平均成绩80分以上（GPA3.0以上），排名在年级前20%
具有临床医学、口腔医学、药学、公共卫生、中西医结合临床、医学技术、护理学、生物学、物理学、计算机科学等相关专业背景，对生命科学和医学有浓厚的兴趣的学生均可报名；有科研相关经历、发表论文者或申请专利者优先考虑。</t>
  </si>
  <si>
    <t xml:space="preserve">8月7日上午：报到
8月7日下午：见面会、夏令营测试
8月8日上午：开营仪式
8月8日下午-9日：科室活动、导师见面会
8月9日16:00：闭营
</t>
  </si>
  <si>
    <t>7月10日17点至7月14日23点59分进行网上报名，每人限报一个志愿。报名网址：http://degree.pumch.cn/pumch.web。</t>
  </si>
  <si>
    <t>8月7日-9日</t>
  </si>
  <si>
    <t>1.个人简历，点击请下载模板；
2. 推免资格证明；
3. 大学期间成绩单（截至2019年6月）和专业排名，须由教务部门盖章；
4. 英语六级考试成绩；
5．其他证明材料（如体现自身学术水平的代表性学术论文或其他原创性工作成果复印件、获奖证书复印件等）。</t>
  </si>
  <si>
    <t>医院提供8月7日-9日两个晚上的住宿，以及夏令营期间的餐饮和保险。往返路费等请自理。</t>
  </si>
  <si>
    <t>优秀营员将颁发证书；优秀营员优先推荐参加我院2020年推免研究生入学考试。</t>
  </si>
  <si>
    <t>成绩优秀，能够获得推免资格</t>
  </si>
  <si>
    <t>英语水平优良：CET6≥500分；</t>
  </si>
  <si>
    <t>7月21日下午15:00
开营仪式
7月22-26日
科室活动</t>
  </si>
  <si>
    <t>申请时间：2020年6月25日——2020年7月12日；报名网址：http://degree.pumch.cn/pumch.web；每人可报3个专业志愿，具体填报方式可登录系统查看。</t>
  </si>
  <si>
    <t>7月21日-26日</t>
  </si>
  <si>
    <t>1.个人简历，点击下载模板/Uploads/Picture/2020/06/28/u5ef7e3fbbe242.doc；
2. 推免资格证明；
3. 大学期间成绩单（截至2020年6月）和专业排名，须由教务部门盖章；
4. 英语六级考试成绩证明；
5．其他证明材料（如体现自身学术水平的代表性学术论文或其他原创性工作成果复印件、获奖证书复印件等）。
注：由于疫情原因，部分学生未能返校，成绩单及排名证明等其他材料若无法按时提供，可在上传材料中备注说明，入营后补充提交。各申请人务必保证所提交申请材料的真实性和准确性，若有虚报、谎报等不端行为，一经查实，将取消入营资格。
后续夏令营活动通知请关注北京协和医院官网-学术版-教育-研究生教育，网址：http://www.pumch.cn/postgraduate.html</t>
  </si>
  <si>
    <t>1.学习成绩优秀，在学期间无不及格科目，提供教务部门审核的成绩单；
2.能够获得推免资格证明或是年级排名证明；          3.双一流大学或所在学科为教育部第四轮学科评估B+及以上高校优先。</t>
  </si>
  <si>
    <t>英语水平优良，CET6≥500分或托福≥90分或雅思≥6.5分；</t>
  </si>
  <si>
    <t>7月29日（周四）考试系统测试
8月1日（周日）上午9:00-10:00身份核验、线上理论考试
8月3日（周二）上午9:00-10:00 线上开营仪式
8月3日下午——8月5日线上科室活动与面试
线上科室活动与面试后续夏令营活动通知请关注北京协和医院官网-学术版-教育-研究生教育，网址：http://www.pumch.cn/postgraduate.html</t>
  </si>
  <si>
    <t>2021年7月8日至2021年7月18日20:00之前</t>
  </si>
  <si>
    <t>7月29日-8月5日</t>
  </si>
  <si>
    <t>200-300人</t>
  </si>
  <si>
    <t xml:space="preserve">1.个人简历；
2. 推免资格证明；
3. 大学期间成绩单和专业排名（截至2021年6月30日），须由教务部门盖章；
4. 英语相关考试成绩证明；
5．其他证明材料（如体现自身学术水平的代表性学术论文或其他原创性工作成果复印件、获奖证书复印件等）。
 </t>
  </si>
  <si>
    <t>此次活动表现出色的营员，将颁发“优秀营员”证书，如符合北京协和医学院推荐免试研究生条件，优先推荐。</t>
  </si>
  <si>
    <t>国际知名高校(US News或QS世界大学排名前300名)当年毕业的中国籍学生、全国重点大学、省部级重点大学，或所学学科为全国重点学科、第四轮学科水平评估结果B以上学校本科毕业生；有突出成果、论文或特殊专业特长的其他高校的在校大学生（占参营人数比例不超过5%）；
学习成绩优异，本科前三年半学习成绩在所在专业年级排名居前列；</t>
  </si>
  <si>
    <t>英语水平良好；</t>
  </si>
  <si>
    <t>7月9日报到，7月10日开营，7月11日闭营。</t>
  </si>
  <si>
    <t>1.网上申请
6月17日24：00前，申请人登录“武汉大学研究生招生考试服务系统”（http://gsrecruit.whu.edu.cn/loginentry.action）（以下简称“夏令营报名系统”），选择“优秀大学生暑期夏令营申请选拔”报名项目，根据系统要求在线填写申请表和个人陈述，并上传照片和其他证明材料。
2.材料审核
对照申请条件，依据公布的参营人数和校内外参营比例，医学部组织培养单位对申请人资格初审，确定夏令营参营名单并报武汉大学研究生院审核。经审核通过的夏令营参营名单在医学部网站上公布（申请人通过“夏令营报名系统”可查询）。审核将于6月22日17：00结束，并于6月23日上网公布。已被选拔的营员要在6月26日24：00前通过“夏令营报名系统”确认是否参加，逾期未确认视为放弃此资格。经审核通过的申请人，须下载打印申请表和个人陈述。
3.纸质材料提交
申请人通过营员资格审核后，入营报到时提交申请表、个人陈述和其他纸质证明材料原件，申请表上须有本人所在学校院系推荐意见和教务部门盖章。</t>
  </si>
  <si>
    <t>7月9日－11日</t>
  </si>
  <si>
    <t>医学院总和250人左右，口腔医学院最终入营113人。</t>
  </si>
  <si>
    <t>1.“武汉大学医学部2018年优秀大学生暑期夏令营”申请表1份；
2.个人陈述1份；
3.其他证明材料（如：本科学习成绩单；获奖证书复印件；各类证书；国家英语四、六级考试成绩或TOEFL/GRE/GMAT/IELTS成绩等体现自身外语水平的证明；体现自身学术水平的代表性学术论文、出版物或原创性成果等）。</t>
  </si>
  <si>
    <t>（一）夏令营活动期间提供营员在汉食宿（武汉市本地学校学生不提供住宿）。
（二）提供来自外地高校的营员往返硬卧火车票或汽车票资助（凭票）。
（三）为参营人员购买夏令营活动期间人身意外伤害保险，保险期为：报到后至闭营仪式结束。</t>
  </si>
  <si>
    <t>部分未取得所在学校“推免资格”的优秀营员，第一志愿报考武汉大学，参加2019年硕士研究生招生考试，初试成绩达到医学部相关学院的“复试分数线”，经体检合格，且服从专业调剂，即可录取免复试。</t>
  </si>
  <si>
    <t>1.国际知名高校(US News或QS世界大学排名前300名)当年毕业的中国籍学生、全国重点大学、省部级重点大学、或所学学科为全国重点学科、第四轮学科水平评估结果B以上学校2020届本科毕业生；有突出成果、论文或特殊专业特长的其他高校2020届本科毕业生（占参营人数比例不超过5%）；
2.学习成绩优异，本科学习成绩在所在专业年级排名居前列；</t>
  </si>
  <si>
    <t>7月8日武汉大学口腔医院报到，晚上举行开营仪式，7月9日-10日开展夏令营活动。活动内容：学术讲座、专业介绍、招生政策宣讲、重点实验室及临床科室参观、优秀营员考核选拔。具体活动日程表以报到日通知为准。</t>
  </si>
  <si>
    <t>1.网上申请
 5月29日-6月17日23：59前，申请人登录“武汉大学研究生招生服务平台”（http://ehall.whu.edu.cn/gsapp/sys/wdyjsbm/entrance.do）（以下简称“夏令营报名系统”），选择“优秀大学生暑期夏令营申请选拔”报名项目，根据系统要求在线填写申请表和个人陈述，并上传照片和其他证明材料。
 2.材料审核及营员选拔
 对照申请条件和总体参营规模，我院对申请人进行资格初审，择优确定夏令营入围名单并报武汉大学研究生院审核。经审核通过的申请人，须下载打印申请表和个人陈述。
6月24日17：00前 审核结束，已入围的营员须在6月27日17：00前通过“夏令营报名系统”确认是否参加，逾期未确认视为放弃此资格。入围并通过“夏令营报名系统”确认参加武汉大学口腔医学院2019年优秀大学生暑期夏令营活动的人员名单将于6月28日在医学部和口腔医学院网站上公布（申请人通过“夏令营报名系统”可查询）。
 3.纸质材料提交
 申请人通过营员资格审核后，入营报到时提交申请表、个人陈述和其他纸质证明材料原件，申请表上须有本人所在学校院系推荐意见和教务部门盖章。</t>
  </si>
  <si>
    <t>1.“武汉大学医学部2019年优秀大学生暑期夏令营”申请表1份；
  2.个人陈述1份；
 3.其他证明材料（如：本科学习成绩单；获奖证书复印件；各类证书；国家英语四、六级考试成绩或TOEFL/GRE/GMAT/IELTS成绩等体现自身外语水平的证明；体现自身学术水平的代表性学术论文、出版物或原创性成果等）。</t>
  </si>
  <si>
    <t>1、取得所在学校“推免资格”的优秀营员，在规定时间内进入教育部推免系统报名我院的推免生，报考专业及方向与暑期夏令营报考的专业及方向一致，可免复试接收为我校2020年推免生。
2、部分未取得所在学校“推免资格”的优秀营员，第一志愿报考我院，且报考专业及方向与暑期夏令营专业方向一致，参加2020年硕士研究生招生考试，初试成绩达到“我院相应复试分数线”，体检合格，可录取免复试。</t>
  </si>
  <si>
    <t>1.国际知名高校(US News或QS世界大学排名前300名)当年毕业的中国籍学生、全国重点大学、省部级重点大学、或所学学科为全国重点学科、第四轮学科水平评估结果B以上学校2020届本科毕业生；有突出成果、论文或特殊专业特长的其他高校2020届本科毕业生（占参营人数比例不超过5%）；</t>
  </si>
  <si>
    <t>1.网上申请
6月30日24:00前，申请人登录“武汉大学研究生招生服务平台（http://yz.whu.edu.cn）”（以下简称“夏令营系统”，请使用Google Chrome浏览器），选择“优秀大学生夏令营申请选拔”报名项目，根据系统要求在线填写申请表和个人陈述，并上传照片和其他证明材料。
注意：请务必如实、准确提交夏令营相关信息和各项证明材料。如提供虚假信息或材料，将取消申请人资格。
2.材料审核及营员选拔
对照申请条件和参营规模，择优确定夏令营入围名单并报武汉大学研究生院审核。审核通过的申请人（申请人通过“夏令营系统”可查询），可下载打印申请表和个人陈述。
审核于7月3日17：00前结束，已被选拔入围的营员要在7月6日17：00前通过“夏令营系统”确认是否参加，逾期未确认视为放弃此资格。</t>
  </si>
  <si>
    <t>7月13日-15日</t>
  </si>
  <si>
    <t>1.“武汉大学2020年优秀大学生线上夏令营”申请表1份；
2.个人陈述1份；
3.其他证明材料（如：本科学习成绩单；获奖证书；国家英语四、六级考试成绩或TOEFL/GRE/GMAT/IELTS成绩等体现自身外语水平的证明；体现自身学术水平的代表性学术论文、出版物或原创性成果等）；其他各类证书等。
材料要求：
（1）本科阶段历年成绩单：须加盖教务处或院系公章，JPG、PDF或ZIP格式，文件大小不超过1M；
（2）外语水平证明：JPG、PDF或ZIP格式，文件大小不超过1M；
（3）获奖证书：JPG、PDF或ZIP格式，可选择相对重要证书，文件大小不超过1M；
（4）学术科研成果：JPG、PDF或ZIP格式，可选择代表作，文件大小不超过2M。</t>
  </si>
  <si>
    <t xml:space="preserve">1.取得所在学校“推免资格”的优秀营员，在规定时间内进入教育部推免系统报考我院推免生，报考专业及方向与暑期夏令营报考的专业及方向一致，且服从专业方向调剂，可免复试接收为我院2021年推免生。
2.部分未取得所在学校“推免资格”的优秀营员，第一志愿报考我院，且报考专业及方向与暑期夏令营专业方向一致，参加2021年全国硕士研究生招生考试，初试成绩达到我院“报考专业复试分数线”，且服从专业方向调剂，经体检合格，可录取免复试。 </t>
  </si>
  <si>
    <t>1. 国内外高水平大学、全国重点大学，或所学学科为国家双一流学科、双万计划学科、重点学科，在全国第四轮学科水平评估结果B以上学校2022届本科毕业生（含境外高校当年毕业学生）；个别有突出成果或特殊专业特长的其他高校2022届本科毕业生（占参营人数比例不超过5%）；
2.学习成绩优异，本科学习成绩在所在专业年级排名居前列；</t>
  </si>
  <si>
    <t>1.举办学科介绍会、学术讲座；
2.开展优秀生源的选拔工作。具体活动安排后续通知。</t>
  </si>
  <si>
    <t>1.网上申请
     6月22日24：00前，申请人登录“武汉大学研究生招生服务平台（http://yz.whu.edu.cn）”（以下简称“夏令营系统”，请使用Google Chrome浏览器），选择“优秀大学生夏令营申请选拔”报名项目，根据系统要求在线填写申请表和个人陈述，并上传照片和其他证明材料。
    注意：请务必如实、准确提交夏令营相关信息和各项证明材料。如提供虚假信息或材料，将取消申请人由此获得的一切利益。
2.材料审核及营员选拔
    我院将根据申请人提交的申请材料，将对照申请条件和参营规模，择优确定夏令营入围名单并报武汉大学研究生院审核。审核通过的申请人（申请人通过“夏令营系统”可查询），可下载打印申请表和个人陈述。
    审核于6月25日12：00前结束，已被选拔入围的营员要在6月28日17：00前通过“夏令营系统”确认是否参加，逾期未确认视为放弃此资格。入围并通过“夏令营系统”确认参加武汉大学医学部2021年优秀大学生夏令营活动的人员名单将于6月30日12:00前在医学部网站公布。</t>
  </si>
  <si>
    <t>7月5日-7月7日</t>
  </si>
  <si>
    <r>
      <t>110</t>
    </r>
    <r>
      <rPr>
        <sz val="12"/>
        <color rgb="FF636B6F"/>
        <rFont val="仿宋"/>
        <family val="3"/>
        <charset val="134"/>
      </rPr>
      <t>人左右</t>
    </r>
  </si>
  <si>
    <t>1.“武汉大学2021年优秀大学生夏令营”申请表1份；
2.个人陈述1份；
3.其他证明材料（如：本科学习成绩单；获奖证书；国家英语四、六级考试成绩或TOEFL/GRE/GMAT/IELTS成绩等体现自身外语水平的证明；体现自身学术水平的代表性学术论文、出版物或原创性成果等）；其他各类证书，等
材料要求：（1）本科阶段历年成绩单：须加盖教务处或院系公章，JPG、PDF或ZIP格式，文件大小不超过1M；
（2）外语水平证明：JPG、PDF或ZIP格式，文件大小不超过1M；
（3）获奖证书：JPG、PDF或ZIP格式，可选择相对重要证书，文件大小不超过1M；
（4）学术科研成果：JPG、PDF或ZIP格式，可选择代表作，文件大小不超过2M。
（5）近期正面免冠彩色证件照片，背景为白色或浅色，JPG格式，150×200像素，大小100K以内；
（6）通过“服务平台”可下载打印《武汉大学2021年优秀大学生夏令营申请表》，申请人通过营员资格审核后，入营前提交《申请表》和其他纸质材料原件。</t>
  </si>
  <si>
    <t>取得所在学校“推免资格”的优秀营员，在规定时间内进入教育部推免系统报考我院推免生，报考专业及方向与暑期夏令营报考的专业及方向一致，且服从专业方向调剂，可优先接收为我院2022年推免生 。</t>
  </si>
  <si>
    <t>华中科技大学同济医学院</t>
  </si>
  <si>
    <t>6月12日-22日</t>
  </si>
  <si>
    <t>7月5日-6日</t>
  </si>
  <si>
    <t>1、华中科技大学优秀大学生学术夏令营申请表（见附件）；
2、成绩单（由院系教务部门盖章），成绩排名证明；
3、获奖证书或参与科研项目证明复印件；
4、国家大学英语四级、六级成绩，或其他体现自身英语水平的成绩证明。
5、申请人还可提交体现自身学术水平的代表性学术论文、出版物或原创性工作成果。</t>
  </si>
  <si>
    <t>我院将为营员提供暑期夏令营期间在汉的食宿（武汉地区学校的学生不提供住宿）以及异地学校学生往返武汉的交通补贴（需出示票根报销，往返补贴400元为上线，限硬座或动车二等座），以及活动期间的意外保险。</t>
  </si>
  <si>
    <t>夏令营活动结束后，营员将获得华中科技大学公共卫生学院颁发的“公卫学院优秀大学生学术夏令营”活动结业证书。取得所在学校“推免资格”的优秀营员，可以在2019年推荐免试生以及直接攻读博士学位研究生的接收中优先选择导师。</t>
  </si>
  <si>
    <t>6月3日-6月18日</t>
  </si>
  <si>
    <t>7月2日-3日</t>
  </si>
  <si>
    <t>1、华中科技大学优秀大学生学术夏令营申请书（见附件）；
2、成绩单（由院系教务部门盖章），成绩排名证明；
3、获奖证书或参与科研项目证明复印件；
4、国家大学英语四级、六级成绩，或其他体现自身英语水平的成绩证明。
5、申请人还可提交体现自身学术水平的代表性学术论文、出版物或原创性工作成果。</t>
  </si>
  <si>
    <t>夏令营活动结束后，营员将获得华中科技大学公共卫生学院颁发的“公卫学院优秀大学生学术夏令营”活动结业证书。取得所在学校“推免资格”的优秀营员，可以在2020年推荐免试生以及直接攻读博士学位研究生的接收中优先选择导师。</t>
  </si>
  <si>
    <t>本科总成绩排名年级前20%</t>
  </si>
  <si>
    <t>未说明时间，主要的内容包括：公共卫生学院各专业研究方向情况介绍、前沿讲坛、学院导师与营员分组交流等。</t>
  </si>
  <si>
    <t>6月24日-7月3日</t>
  </si>
  <si>
    <t>1、华中科技大学优秀大学生学术夏令营申请书（见附件）；
2、本科成绩单（由院系教务部门盖章），成绩排名证明；
3、获奖证书或参与科研项目证明复印件；
4、国家大学英语四级、六级成绩，或其他体现自身英语水平的成绩证明。
5、申请人还可提交体现自身学术水平的代表性学术论文、出版物或原创性工作成果。</t>
  </si>
  <si>
    <t>夏令营活动结束后，营员将获得我院颁发的“公共卫生学院优秀大学生暑期学术夏令营”活动结业证书；取得所在学校“推免资格”的优秀营员，可在接收为公共卫生学院2021年“硕士生”或“直博生”中优先选择导师。</t>
  </si>
  <si>
    <t>6月10日-7月2日</t>
  </si>
  <si>
    <t>夏令营活动结束后，营员将获得我院颁发的“公共卫生学院优秀大学生暑期学术夏令营”活动结业证书；取得所在学校“推免资格”的优秀营员，可在接收为公共卫生学院2022年“硕士生”或“直博生”中优先选择导师。</t>
  </si>
  <si>
    <t>US News或QS世界大学排名前300名高校、全国重点大学、省部级重点大学，或所学学科为全国重点学科、在最新一轮学科水平评估中排名靠前的本科三年级或四年级(医学类)在校生(2018届毕业生，含境外高校当年毕业学生)个别有突出成果、论文或特殊专业特长的其他高校的大学三年级或四年级(医学类)学生也可申请(占参营人数比例不超过10%)学习成绩优异，本科前两年半或三年半(医学类)学习成绩在所在专业年级排名前50%。</t>
  </si>
  <si>
    <t>在夏令营活动期间，学院按一级学科开展优秀营员的选拔考核工作。优秀营员选拔考核分三个部分进行，即：背景评估、专业笔试和综合面试；选拔考核综合成绩、背景评估成绩及综合面试成绩均为百分制，计算公式为：选拔考核综合成绩＝背景评估×20%＋外语能力×25%＋科研能力×30%＋笔试×25%。选拔考核综合成绩由学院作为复试综合成绩留存。</t>
  </si>
  <si>
    <t>1.网上申请：即日起，申请人可以登录“武汉大学研究生招生考试服务系统（http://gsrecruit.whu.edu.cn/loginentry.action）”（以下简称“夏令营报名系统”），选择“优秀大学生暑期夏令营申请选拔”报名项目，根据系统要求在线填写申请表和个人陈述，并上传照片。学院按照申请条件对申请人资格进行初审。经审核通过的申请人，可下载打印申请表和个人陈述。网报截止时间为： 2018年 6月20日 24:00。
2.电子版申请材料提交：请申请人将系统中下载打印的申请表、个人陈述、本科成绩单、本科成绩排名证明、外语成绩证明及其他证明材料（均可为扫描件），合并成一个PDF文档，以“学校-专业-姓名.pdf”命名，于 2018年6月20日 24:00前发送到公共邮箱wdgwyjs@163.com（邮箱仅作为接收材料用，咨询请拨打咨询电话）。未提交电子版申请材料视为无效申请。
3.纸质材料提交;申请人获得参营资格后，入营报到时提交申请表、个人陈述、本科成绩单、本科成绩排名证明、外语成绩证明及其他证明材料。申请表上须有本人所在学校院系推荐意见和教务部门盖章。</t>
  </si>
  <si>
    <t>60人，其中校外营员比例不少于30%。</t>
  </si>
  <si>
    <t>学生申请参加夏令营活动需提供以下材料：
1.“武汉大学健康学院2018年优秀大学生暑期夏令营”申请表（以下简称“申请表”，附件1）1份，要求双面打印；
2.个人陈述（附件2）1份，要求双面打印；
3.本科前五学期或七学期（医学类）学习成绩单（须由学校教务部门盖章）；
4.前五学期或七学期（医学类）总评成绩排名证明一份（须由本科所在学院出具证明）；
5.语言成绩证明，如国家英语四、六级考试成绩或TOEFL/GRE/GMAT/IELTS成绩等体现自身外语水平的证明；
6.其他证明材料。包括体现自身学术水平的代表性学术论文、专利、出版物或原创性成果等，其他获奖证书复印件（如社会活动等）。
请注意：申请人提交的全部申请材料应保证其真实性与准确性，责任自负；申请材料不全将不予受理；所提交材料不退还。</t>
  </si>
  <si>
    <t>1、提供夏令营活动期间在汉食宿（武汉市本地高校学生不提供住宿）。
2、为来自外地高校的学生凭票报销往返硬卧火车票或汽车票费用。
3、为参营人员统一购买夏令营活动期间人身意外伤害保险。</t>
  </si>
  <si>
    <t>1.取得所在学校“推免资格”的优秀营员，且服从专业调剂，可直接接收为我校2019年推免生。
2.未取得所在学校“推免资格”的优秀营员，第一志愿报考武汉大学健康学院，参加2019年硕士研究生招生考试，初试成绩达到学院“复试分数线”，经体检合格，且服从专业调剂，即可录取免复试。</t>
  </si>
  <si>
    <t>.国际知名高校(US News或QS世界大学排名前300名)当年毕业的中国籍学生、全国重点大学、省部级重点大学，或所学学科为全国重点学科、第四轮学科水平评估结果B以上学校2020届本科毕业生；有突出成果、论文或特殊专业特长的其他高校2020届本科毕业生（占参营人数比例不超过5%）；
2.学习成绩优异，本科学习成绩在所在专业年级排名居前列；</t>
  </si>
  <si>
    <t>学术讲座、各学院专业介绍、招生政策宣讲、实验室及病房参观、优秀营员选拔考核等。</t>
  </si>
  <si>
    <t>1.网上申请:5月29日—6月17日23：59前，申请人登录“武汉大学研究生招生服务平台”（http://ehall.whu.edu.cn/gsapp/sys/wdyjsbm/entrance.do）（以下简称“夏令营报名系统”），选择“优秀大学生暑期夏令营申请选拔”报名项目，根据系统要求在线填写申请表和个人陈述，并上传照片和其他证明材料。
2.材料审核及营员选拔:对照申请条件和总体参营规模，医学部组织各培养单位对申请人进行资格初审，择优确定夏令营入围名单并报武汉大学研究生院审核。经审核通过的申请人，须下载打印申请表和个人陈述。审核于6月24日17：00前结束，已被选拔入围的营员要在6月27日17：00前通过“夏令营报名系统”确认是否参加，逾期未确认视为放弃此资格。入围并通过“夏令营报名系统”确认参加武汉大学医学部2019年优秀大学生暑期夏令营活动的人员名单将于6月28日在医学部网站上公布（申请人通过“夏令营报名系统”可查询）。
3.纸质材料提交:申请人通过营员资格审核后，入营报到时提交申请表、个人陈述和其他纸质证明材料原件，申请表上须有本人所在学校院系推荐意见和教务部门盖章。</t>
  </si>
  <si>
    <t>7月8日－10日。7月8日报到，7月8日晚上开营，7月10日闭营。</t>
  </si>
  <si>
    <t>医学院总和500人左右。其中健康学院未说明名额。</t>
  </si>
  <si>
    <t>1.“武汉大学医学部2019年优秀大学生暑期夏令营”申请表1份；
  2.个人陈述1份；
  3.其他证明材料（如：本科学习成绩单；获奖证书复印件；各类证书；国家英语四、六级考试成绩或TOEFL/GRE/GMAT/IELTS成绩等体现自身外语水平的证明；体现自身学术水平的代表性学术论文、出版物或原创性成果等）。
  另外，申请药学专业的考生须提交专家推荐书1份。</t>
  </si>
  <si>
    <t xml:space="preserve"> （一）夏令营活动期间提供营员在汉食宿（武汉市本地学校学生不提供住宿）。
 （二）提供来自外地高校的营员往返硬卧火车票或汽车票资助（凭票）。
 （三）为营员购买夏令营活动期间人身意外伤害保险，保险期为：报到后至闭营。</t>
  </si>
  <si>
    <t>1.取得所在学校“推免资格”的优秀营员，在规定时间内进入教育部推免系统报名我校的推免生，可免复试接收为我校2020年推免生。（以考生报考学院推免工作细则为准）
 2.部分未取得所在学校“推免资格”的优秀营员，第一志愿报考武汉大学，参加2020年硕士研究生招生考试，初试成绩达到举办单位“学院相应复试分数线”，经体检合格，可录取免复试。（以考生报考学院复试录取工作实施细则为准）</t>
  </si>
  <si>
    <t>1、国内外高水平大学、全国重点大学，或所学学科为国家双一流学科、双万计划学科、重点学科，在全国第四轮学科水平评估结果B以上学校2021届本科毕业生；个别有突出成果或特殊专业特长的其他高校2021届本科毕业生（占参营人数比例不超过5%）；
2、学习成绩优异，本科学习成绩在所在专业年级排名居前列；</t>
  </si>
  <si>
    <t>结合我院学科优势与特色，本次线上夏令营活动内容包括举办线上讲座或论坛、知名学者线上学术报告、师生交流及政策咨询等，同步开展2021年接收推荐免试硕士研究生包括直博生选留优秀生源工作。在夏令营活动期间，学院按一级学科或一级学科群分别开展优秀营员的网络远程选拔考核工作。网络远程选拔考核将统一采用腾讯会议和QQ视频两个系统，营员端需要实行双机位（如电脑与手机各一部或两部手机），一台设备用于远程考核，如遇突发情况，切换至另一台设备。选拔考核综合成绩＝背景评估×40%＋综合面试×60%</t>
  </si>
  <si>
    <t>2020年6月30日24：00前，申请人登录“武汉大学研究生招生服务平台（http://yz.whu.edu.cn）”（以下简称“夏令营系统”，请使用Google Chrome浏览器），选择“优秀大学生夏令营申请选拔”报名项目，根据系统要求在线填写申请表和个人陈述，并上传照片和其他证明材料。</t>
  </si>
  <si>
    <t>7月15-16日</t>
  </si>
  <si>
    <t>1、“武汉大学2020年优秀大学生线上夏令营”申请表1份；
2、个人陈述1份;
3、其他证明材料（如：本科学习成绩单；获奖证书；国家英语四、六级考试成绩或TOEFL/GRE/GMAT/IELTS成绩等体现自身外语水平的证明；体现自身学术水平的代表性学术论文、出版物或原创性成果等；其他各类证书等）；
材料要求如下：
（1）本科阶段历年成绩单：须加盖教务处或院系公章，JPG、PDF或ZIP格式，文件大小不超过1M；
（2）外语水平证明：JPG、PDF或ZIP格式，文件大小不超过1M；
（3）获奖证书：JPG、PDF或ZIP格式，可选择相对重要证书，文件大小不超过1M；
（4）学术科研成果：JPG、PDF或ZIP格式，可选择代表作，文件大小不超过2M。
注意：请务必如实、准确提交夏令营相关信息和各项证明材料。如提供虚假信息或材料，将取消申请人由此获得的一切利益。
六、选拔考核
（一）材料审核及参营营员选拔
学院根据申请人提交的申请材料，结合参营规模，择优确定夏令营入围名单并报武汉大学研究生院审核。审核通过的申请人（申请人通过“夏令营系统”可查询），可下载打印申请表和个人陈述。
审核于7月3日17：00前结束，已被选拔入围的营员须在7月6日17：00前通过“夏令营系统”确认是否参加，逾期未确认视为放弃此资格。入围并通过“夏令营系统”确认参加武汉大学医学部2021年优秀大学生线上夏令营活动的人员名单将于7月7日在医学部网站公布。</t>
  </si>
  <si>
    <t>1、取得所在学校“推免资格”的优秀营员，在规定时间内进入教育部推免系统报考我院推免生，且服从专业调剂，可免复试接收为我院2021年推免生。（以学院推免工作实施细则为准）
2、部分未取得所在学校“推免资格”的优秀营员，第一志愿报考武汉大学健康学院，参加2021年全国硕士研究生招生考试，初试成绩达到我院“相应复试分数线”，经体检合格，可申请免复试录取。（以学院复试录取工作实施细则为准）</t>
  </si>
  <si>
    <t>1. 国内外高水平大学、全国重点大学，或所学学科为国家双一流学科、双万计划学科、重点学科，在全国第四轮学科水平评估结果B以上学校2022届本科毕业生（含境外高校当年毕业学生）；个别有突出成果或特殊专业特长的其他高校2022届本科毕业生（占参营人数比例不超过5%）；
2.学习成绩优异，本科学习成绩在所在专业年级排名居前列；</t>
  </si>
  <si>
    <t>活动内容安排应突出医学学科优势与特色，吸引优秀生源，包括举办讲座或论坛、学术报告、参观校园和实验室、师生交流及政策咨询等。同步开展为2022年接收推荐免试硕士研究生和直博生选留优秀生源的选拔考核工作。</t>
  </si>
  <si>
    <t>6月22日24：00前，申请人登录“武汉大学研究生招生服务平台（http://yz.whu.edu.cn）”（以下简称“夏令营系统”，请使用Google  Chrome浏览器），选择“优秀大学生夏令营申请选拔”报名项目，根据系统要求在线填写申请表和个人陈述，并上传照片和其他证明材料。</t>
  </si>
  <si>
    <t>7月6日－7月7日</t>
  </si>
  <si>
    <t>120人左右</t>
  </si>
  <si>
    <t>1.“武汉大学2021年优秀大学生夏令营”申请表1份；
2.个人陈述1份；
3.其他证明材料（如：本科学习成绩单；获奖证书；国家英语四、六级考试成绩或TOEFL/GRE/GMAT/IELTS成绩等体现自身外语水平的证明；体现自身学术水平的代表性学术论文、出版物或原创性成果等）；其他各类证书，等
材料要求：
（1） 本科阶段历年成绩单：须加盖教务处或院系公章，JPG、PDF或ZIP格式，文件大小不超过1M；
（2） 外语水平证明：JPG、PDF或ZIP格式，文件大小不超过1M；
（3） 获奖证书：JPG、PDF或ZIP格式，可选择相对重要证书，文件大小不超过1M；
（4） 学术科研成果：JPG、PDF或ZIP格式，可选择代表作，文件大小不超过2M。</t>
  </si>
  <si>
    <t>取得所在学校“推免资格”的优秀营员，在规定时间内进入教育部推免系统报考我校推免生，且服从专业调剂，可优先接收为报考学院2022年推免生。（具体以考生报考学院推免工作细则为准）</t>
  </si>
  <si>
    <t>深圳大学医学部</t>
  </si>
  <si>
    <t>暑期学校为期5天，采取学术讲座、分组讨论、名企参观、实验室体验等多种形式开展活动，搭建深圳大学生物医学工程师资与优秀大学生相互沟通交流平台，并藉此增强入选学生的科研兴趣，拓展科研学术视野，明确未来研究方向，提供其与我专业双向选择的机会。活动内容初步安排如下：
开学典礼，学院介绍，使学生对本学科的科研平台、师资力量和实验室资源等有深入了解, 各方向指定具体的研究生负责后期宣传联系，留微信二维码； 各方向学科带头人做主题报告和前沿学术讲座,研究生导师与同学进行师生交流，介绍本学科的主要研究内容、成果和相关产业现状； 特邀本专业优秀硕士毕业生、往届暑期学校学生与同学进行互动交流，分享就业、深造的心得体会,举办学术创新与硕士学习经验分享交流会； 参观深圳知名医疗器械企业，向学生提供亲密接触深圳医疗器械产业的机会，更好的了解深圳生物医学工程产业发展的地域优势。医疗器械名企参观； 5 ）根据学生兴趣分小组、引导和组织学生针对性地参加具体实验室科研实践活动，通过移动互联等交流手段增加沟通的有效性，最后每组完成一个科研小课题，并作5-10分钟的总结汇报。</t>
  </si>
  <si>
    <t>5月-6月20日</t>
  </si>
  <si>
    <t>7月16日-20日</t>
  </si>
  <si>
    <t>1. 个人简介一份；
2. 有效期内的身份证和学生证（每学期均须盖注册章）；
3. 前两年半成绩单（有学校教务部门或所在院系公章，如有不实，取消资格）与总评成绩排名证明（有学校教务部门或所在院系公章）
4. 获奖证书；
5. 国家英语四、六级考试成绩、或TOEFL成绩、或GRE/GMAT成绩等体现自身英语水平的证明；
6. 申请人还可提交体现自身学术水平的代表性学术论文、出版物或原创性工作成果。</t>
  </si>
  <si>
    <t>深圳大学医学部将为暑期学校学员提供活动期间在深的食宿补贴，为深圳市外院校学员提供前往深圳的单程交通费用报销（硬卧、高铁二等座或长途汽车）。</t>
  </si>
  <si>
    <t>文件发布即日起-6月24日</t>
  </si>
  <si>
    <t>7月15日-19日</t>
  </si>
  <si>
    <t>（1）个人简介；
（2）有效期内的身份证和学生证（每学期加盖有注册章）；
（3）前两年半成绩单（有学校教务部门或所在院系公章，如有不实，取消资格）与总评成绩排名证明（有学校教务部门或所在院系公章）；
（4）获奖证书；
（5）大学英语四、六级考试成绩、或TOEFL成绩、或GRE/GMAT成绩等体现英语水平的证明；
（6）申请人还可提交代表性学术论文、出版物或原创性工作成果。</t>
  </si>
  <si>
    <t>学校统一提供食宿，并报销往来车费。</t>
  </si>
  <si>
    <t>文件发布即日起-7月1日</t>
  </si>
  <si>
    <t>1.个人简介一份； 
2.有效期内的身份证和学生证（每学期均须盖注册章）；
3.前两年半成绩单（有学校教务部门或所在院系公章，如有不实，取消资格）与总评成绩排名证明（有学校教务部门或所在院系公章）
4.获奖证书各1份； 
5.国家英语四、六级考试成绩、或TOEFL成绩、或GRE/GMAT成绩等体现自身英语水平的证明1份；
6.申请人还可提交体现自身学术水平的代表性学术论文、出版物或原创性工作成果。</t>
  </si>
  <si>
    <t xml:space="preserve"> 线上开学典礼，学院介绍，使学生对本学科的科研平台、师资和实验室资源等有深入了解；
各方向学科带头人在线做主题报告和主题演讲；
研究生导师与同学进行师生视频交流，介绍本学科的主要研究内容、成果和相关产业现状；
特邀本专业优秀毕业生与同学进行线上互动交流，分享就业、深造的心得体会；
组织本专业研究生举办线上学术创新分享交流会。</t>
  </si>
  <si>
    <r>
      <t>文件发布即日起至</t>
    </r>
    <r>
      <rPr>
        <sz val="12"/>
        <rFont val="微软雅黑"/>
        <family val="2"/>
        <charset val="134"/>
      </rPr>
      <t>7月12日中午12点</t>
    </r>
  </si>
  <si>
    <t>7月16日至18日</t>
  </si>
  <si>
    <t>35人</t>
  </si>
  <si>
    <t>1.个人简介一份； 
2. 有效期内的身份证和学生证（每学期均须盖注册章）；
3.前两年半成绩单（有学校教务部门或所在院系公章，如有不实，取消资格）与总评成绩排名证明（有学校教务部门或所在院系公章） 
4.获奖证书各1份； 
5.国家英语四、六级考试成绩、或TOEFL成绩、或GRE/GMAT成绩等体现自身英语水平的证明1份；
6.申请人还可提交体现自身学术水平的代表性学术论文、出版物或原创性工作成果。</t>
  </si>
  <si>
    <t>官网word附件无法打开</t>
  </si>
  <si>
    <t xml:space="preserve">就读的本科院校为“985工程”高校、“211工程”高校，或者就读的学科为全国优势学科（全国第四轮学科评估结果为A+、A、A-），且将于2020年6月前毕业； </t>
  </si>
  <si>
    <t xml:space="preserve">英语六级成绩达到426分及以上。 </t>
  </si>
  <si>
    <t xml:space="preserve">1. 学科方向：请查看网上申请系统的“专业志愿” 
2. 活动时间：2019年7月21日-24日； 
3. 活动地点：广东省深圳市中山大学附属第八医院（深圳福田）； 
4. 活动安排：具体活动内容待入营后再通知营员。 
7月21日全天：营员报到 
7月22日上午：夏令营开营仪式；22日下午：专题讲座，参观医院、师生互动交流； 
7月23日上午：安排面试；23日下午：结营仪式； 
7月24日上午：返回各自学校。 </t>
  </si>
  <si>
    <t xml:space="preserve">1、网上报名（6月30日前） :请申请人进入系统并提交：https://www.wjx.top/jq/37077038.aspx ，并上传所有申请材料的扫描版压缩包（请控制文件大小10M以下，请将材料放入一个文件夹命名“姓名+本科就读学校+联系电话”，再压缩到一个压缩包命名“姓名+本科就读学校+联系电话”，网上报名截止日期为6月30日（文件名未按照规定命名的文件视为无效文件处理，子文件排序和命名的方式请查阅提交系统中关于附件上传部分）；完成申请后务必加入“2019年中大八院夏令营申请咨询群”QQ群299920977（进群密码：中大八院），所有咨询事宜或活动变动等事宜仅在群内回复。 
2、纸质版材料（6月30日前） :请申请人将申请材料的纸质版（请与电子版材料保持一致）使用顺丰快递邮寄到广东省深圳市中山大学附属第八医院科教部研究生科（邮寄地址：深圳市福田区福华路92号中山大学附属第八医院行政楼413，鄢嫣，0755-82575354） 
3、材料审核及录取（7月10日前） :医院科教部将对报名材料进行审查，审查时以正式提交的纸质版材料为准，材料不合格者将取消资格，替补其他学员。 
中山大学附属第八医院网站研究生教育栏目将公布中山大学附属第八医院2019年全国优秀大学生夏令营录取名单等相关信息，届时未接到入营通知的同学皆为未入选者，不另行通知。如因特殊情况不能参加本次夏令营，请于7月10日前及时与我们联系。 </t>
  </si>
  <si>
    <t>7月21-24日</t>
  </si>
  <si>
    <t xml:space="preserve">1. 中山大学暑期研究生教育教学活动计划申请表（学生用）1份原件（附件1），请帖好1寸证件照，无底色要求，加盖学院公章； 
2.本科阶段成绩单原件或复印件（由学校教务部门或院系盖章）1份； 
3.英语水平的证明材料复印件； 
4. 其他证明材料复印件（如代表性学术论文（首页-即题目、摘要、作者所在页）、其他原创性工作成果、获奖证书等）； 
5. 学生证第一页和第二页复印到一张A4纸的复印件； 
6.二代居民身份证2份复印件（正反面复印在同一张A4纸内，考生须在其中1份的空白处书写“授权中山大学代本人申领工行灵通卡，并从本人指定账户扣收学费”并签名）。 </t>
  </si>
  <si>
    <t xml:space="preserve">1. 本单位将为参加本次夏令营活动的营员免费提供食宿； 
2. 本单位为异地高校学生补助往返交通费用，票据按学校规定的学生交通标准报销，超出部分由学生自己负担，关于交通费的购买和报销请查看QQ群文件； </t>
  </si>
  <si>
    <t>就读的本科院校为“985工程”高校、“211工程”高校，或者就读的学科为全国优势学科（全国第四轮学科评估结果为A+、A、A-），且将于2021年6月前毕业；</t>
  </si>
  <si>
    <t>英语六级成绩达到426分及以上。</t>
  </si>
  <si>
    <t xml:space="preserve">1. 活动时间：2020年7月21日-24日；
2. 活动方式：线上视屏；
3. 活动安排：
7月21日上午：营员报到；21日下午：开营仪式，以及入营教育；
7月22日全天：专题讲座，上午、下午各2个专题；
7月23日上午：视频面试；23日下午：结营仪式；
 </t>
  </si>
  <si>
    <t>1. 中山大学附属第八医院全国优秀大学生夏令营申请表1份原件（附件1），请帖好1寸证件照，无底色要求；
2.本科阶段成绩单原件或复印件（由学校教务部门或院系盖章）1份；
3.英语水平的证明材料复印件；
4 其他证明材料复印件（如代表性学术论文（首页-即题目、摘要、作者所在页）、其他原创性工作成果、获奖证书等）；
5. 学生证第一页和第二页复印到一张A4纸的复印件；
6.二代居民身份证复印件1份（正反面复印在同一张A4纸内）。</t>
  </si>
  <si>
    <t>1.申请人报名（7月10日前）:申请人邮件发送所有申请材料扫描版压缩包至ningli@mail.sysu.edu.cn，压缩包命名“姓名+本科就读学校+联系电话”,完成申请后加入“中大八院2020年夏令营”QQ群（群号960011749）。
2.寄送纸质版材料（7月10日前）:请申请人将申请材料纸质版（请与电子版材料保持一致）使用顺丰快递邮寄到广东省深圳市中山大学附属第八医院教学部研究生科，邮寄地址：深圳市福田区福华路92号中山大学附属第八医院行政楼414。
3.材料审核及录取（7月15日前）:医院研究生科将对报名材料进行审查，审查时以正式提交的纸质版材料为准，材料不合格者不予录取。
4.公布录取名单（7月18日前）:中山大学附属第八医院官网研究生教育栏目将公布中山大学附属第八医院2020年全国优秀大学生夏令营录取名单等相关信息，届时未接到入营通知的同学皆为未入选者，不另行通知。如因特殊情况不能参加本次夏令营，请于7月20日前及时与我们联系。</t>
  </si>
  <si>
    <t>参加本次夏令营活动不收取任何费用</t>
  </si>
  <si>
    <t xml:space="preserve">1.考核成绩合格者将邮寄颁发结营证书；
2. 参加本次夏令营活动将作为附属第八医院2021年硕士研究生招生优先录取依据。
</t>
  </si>
  <si>
    <t>具有良好听、说、读、写的英语应用能力，英语六级成绩达到426分及以上</t>
  </si>
  <si>
    <t>21日上午：营员报到；21日下午：开营仪式，以及附属第八医院研究生教育情况介绍；
22日全天：学术讲座，上午、下午各2个专题；
23日上午：视频面试；23日下午：结营仪式；</t>
  </si>
  <si>
    <t>1.申请人报名（7月16日前）
申请人邮件发送所有申请材料扫描版压缩包至ningli@mail.sysu.edu.cn，压缩包命名“就读学校+姓名+夏令营报名材料”（如：北京大学×××夏令营报名材料）,完成申请后加入“中大八院2021年夏令营”QQ群（群号606370669）。
2.寄送纸质版材料（7月16日前）
请申请人将申请材料纸质版（请与电子版材料保持一致）使用顺丰快递邮寄到广东省深圳市中山大学附属第八医院研究生科，邮寄地址：深圳市福田区福华路92号中山大学附属第八医院行政楼414。
3.材料审核及录取（7月19日前）
医院研究生科将对报名材料进行审查，审查时以正式提交的纸质版材料为准，材料不符合要求者不予录取。
4.公布录取名单（7月19日前）
中山大学附属第八医院官网研究生教育栏目将公布中山大学附属第八医院2021年全国优秀大学生夏令营录取名单等相关信息，届时未接到入营通知的同学皆为未入选者，不另行通知。如因特殊情况不能参加本次夏令营，请于7月20日前及时与我们联系。</t>
  </si>
  <si>
    <t>7月21日-23日</t>
  </si>
  <si>
    <t>1. 中山大学附属第八医院全国优秀大学生夏令营申请表1份原件（附件1），请帖好1寸证件照，无底色要求；
2.本科阶段成绩单原件或复印件（由学校教务部门或院系盖章）1份；
3.英语水平证明材料复印件（4/6级、托福、雅思、GRE等成绩）；
4 其他证明材料复印件（如代表性学术论文（首页-即题目、摘要、作者所在页）、其他原创性工作成果、获奖证书等）；
5. 学生证第一页和第二页复印到一张A4纸的复印件；
6.二代居民身份证复印件1份（正反面复印在同一张A4纸内）</t>
  </si>
  <si>
    <t xml:space="preserve">参加本次夏令营活动不收取任何费用；
考核成绩合格者将邮寄颁发结营证书；
</t>
  </si>
  <si>
    <t>参加本次夏令营活动将作为附属第八医院2022年硕士研究生招生优先录取依据（含接收推荐免试研究生）</t>
  </si>
  <si>
    <t xml:space="preserve"> 1、“985”或“211工程”高校或第四轮学科评估为A的学科高校，并将于2019年毕业的在校大学本科生。
    2、有志从事科学研究工作，学习成绩优秀，具有较强动手能力和较好科研潜质，目前本科阶段总成绩排名原则上在所读学校同年级本专业前30%之内者（在其它方面有突出表现的学生除外），已经获得或即将获得所在高校推荐免试生资格者优先。</t>
  </si>
  <si>
    <t>英语六级成绩应达到426分及以上。</t>
  </si>
  <si>
    <t xml:space="preserve">5月11日起。1、网上报名（6月15日前）
    请申请人进入系统并提交：网站地址 （为保证顺利提交或使用系统，请使用谷歌浏览器），并上传所有申请材料的扫描版压缩包（请控制文件大小5M以下，请将材料放入一个文件夹命名“姓名+本科就读学校+联系电话”，再压缩到一个压缩包命名“姓名+本科就读学校+联系电话”，网上报名截止日期为6月15日（文件名未按照规定命名的文件视为无效文件处理）。
合格的文件排序和命名
    2、材料审核及录取（7月10日前）
审核录取名单在中山大学公共卫生学院主页上公布，入营的同学会单独通过邮件和电话的方式通知加入QQ群以便联系，届时未接到入营通知的同学皆为未入选者，不另行通知。如因特殊情况不能参加本次夏令营，请于7月1日前及时与承办方联系。
    学院相关介绍网址：
    中山大学公共卫生学院简介
    中山大学公共卫生学院师资队
    中山大学公共卫生硕士(510100)专业学位研究生培养方案（双证）
</t>
  </si>
  <si>
    <t>8月24日-27日</t>
  </si>
  <si>
    <t xml:space="preserve"> 1、中山大学暑期及夏季学期研究生教育教学活动计划申请表（学生用），请帖好1寸证件照，无底色要求，加盖学院公章；
（下载地址，外网如果无法下载可登陆网盘下载：链接 密码：k8ewc5）
    2、本科阶段成绩单及同年级总成绩排名原件（由学院或学校教务部门盖章，如成绩单显示排名或绩点，无需另附证明文件，成绩单即可证明）；
    3、英语水平证明材料原件；
    4、以及其他证明材料原件（如代表性学术论文（首页-即题目、摘要、作者所在页）、其他原创性工作成果、获奖证书等）；
    5、身份证正反面复印到一张A4纸的复印件；
    6、学生证第一页和第二页复印到一张A4纸的复印件。</t>
  </si>
  <si>
    <t>1、夏令营费用：酒店住宿（双人间，房源紧张安排三人间，广州市区高校学生不安排住宿）；餐饮生活费（一日三餐）；广州市以外往返差旅费按照火车硬座票标准报销（同学可预订硬座、卧铺、高铁、机票，最终按照火车硬座票标准报销），广州市内往返交通费按照公共交通标准报销（凭票报销），具体报销说明：点击链接 。
注意：酒店住宿安排于鸣虹酒店（网址），我院在公布夏令营名单后将“入住登记证”发送至营员报名登记的邮箱，入住时请向递交前台“入住登记证”纸质版和本人编号，以便办理入住，我院安排8月28日入住至8月31日退房的住宿费用，酒店供应早餐，酒店入住押金请自行缴纳，退房酒店归还（也可于8月30日下午结营仪式结束后退房）。</t>
  </si>
  <si>
    <t>2019年（广州+深圳）</t>
  </si>
  <si>
    <t>1、就读于“985”或“211工程”高校或第四轮学科评估为B+及以上学科的高校，并将于2020年毕业的在校大学本科生；
2、本科阶段总成绩排名原则上在所读学校同年级本专业前20%之内者（或在其它方面有突出表现的学生），已经获得或即将获得所在高校推荐免试生资格</t>
  </si>
  <si>
    <t>5月24日起，1、报名申请（6月18日前）
请申请人将所有报名申请材料扫描PDF文件按要求分别提交邮箱，公共卫生学院（广州）：xuzm25@mail2.sysu.edu.cn，公共卫生学院（深圳）：phsgraduate@mail.sysu.edu.cn，请将材料放入一个文件夹内，再压缩到一个压缩包命名“姓名+本科就读学校+申请专业名称+联系电话”，报名截止日期为6月18日（文件名未按照规定命名的文件视为无效文件处理！）。
2、材料审核及录取（6月25日前）
审核录取名单分别在中山大学公共卫生学院（广州及深圳）主页上公布，入营的同学会单独通过邮件和电话的方式通知加入QQ群以便联系，届时未接到入营通知的同学皆为未入选者，不另行通知。如因特殊情况不能参加本次夏令营，请于6月30日前及时与承办方联系。
学院相关介绍网址：
中山大学公共卫生学院（广州）简介：http://sph.sysu.edu.cn/introduction
中山大学公共卫生学院（广州）师资队伍：http://sph.sysu.edu.cn/professors
中山大学公共卫生学院（深圳）简介：http://phs.sysu.edu.cn/about/about02/index.htm
中山大学公共卫生学院（深圳）师资队伍：http://phs.sysu.edu.cn/teacher/teacher01/index.htm</t>
  </si>
  <si>
    <t>7月10日-13日</t>
  </si>
  <si>
    <t>公共卫生学院（广州）拟招收优秀大学生100名左右
        公共卫生学院（深圳）拟招收优秀大学生40名左右</t>
  </si>
  <si>
    <t>1、中山大学暑期及夏季学期研究生教育教学活动计划申请表（学生用）见附件（电子版及扫描版），请帖好1寸证件照，无底色要求，加盖学院公章；
2、本科阶段成绩单及同年级总成绩排名原件（由学院或学校教务部门盖章，如成绩单显示排名或绩点，无需另附证明文件，成绩单即可证明）；
3、英语水平证明材料原件；
4、以及其他证明材料原件（如代表性学术论文（首页-即题目、摘要、作者所在页）、其他原创性工作成果、获奖证书等）；
5、身份证正反面复印到一张A4纸的复印件；
6、学生证第一页和第二页复印到一张A4纸的复印件。</t>
  </si>
  <si>
    <t>1.夏令营费用：酒店住宿（双人间，房源紧张安排三人间，广州市区高校学生不安排住宿）；餐饮生活费（一日三餐）；广州市以外往返差旅费按照火车硬座票标准报销（同学可预订硬座、卧铺、高铁、机票，最终按照火车硬座票标准报销），广州市内往返交通费按照公共交通标准报销（凭票报销）。
2.酒店住宿：住宿一般安排在学校旁边的鸣虹酒店及周边酒店，营员在报到时即办理入住，我院安排7月10日入住至7月13日退房的住宿费用，酒店供应早餐，酒店入住押金请自行缴纳，退房酒店归还。</t>
  </si>
  <si>
    <t>2020年（广州）</t>
  </si>
  <si>
    <t>1、就读于“985”或“211工程”高校或第四轮学科评估为B+及以上学科的高校，并将于2021年毕业的在校大学本科生；
2、本科阶段总成绩排名原则上在所读学校同年级本专业前20%之内者（或在其它方面有突出表现的学生），已经获得或即将获得所在高校推荐免试生资格者优先；</t>
  </si>
  <si>
    <t>1、2020年7月3日前填写报名问卷（可扫二维码进入）：https://www.wjx.cn/jq/82822015.aspx
2、提交电子版材料到指定邮箱
   2020年7月4日24:00前，申请人须将将所有申请材料按顺序合并为一个PDF文件（首页附清单）发送到邮箱daiweiho@163.com，邮件主题均为“本科就读学校+申请专业+姓名”，例如，中山大学+卫生毒理学+张三，发送成功会收到自动回复，不按照格式命名会作为垃圾邮件处理。电子版申请材料将用于资格审查。
   注：步骤1和步骤2必须都完成，才视作报名成功
3、纸质材料递交
   成功入选夏令营的同学须将纸质版申请材料准备齐全，并装入A4信封内（信封正面标注“2020夏令营+姓名+本科就读学校+联系电话”），一周内快递到中山大学广州校区北校园，材料审查不合格者，一律取消入营资格，并且由其他申请者替补。
   以上材料上交后概不归还，重要材料请留底保存！
4、2020年7月5日前，将于中山大学公共卫生学院网站上公布夏令营录取名单以及2020全国优秀大学生夏令营QQ群号。如因特殊情况不能参加本次夏令营，请务必于7月5日前及时与主办方联系。</t>
  </si>
  <si>
    <t>7月13日-14日</t>
  </si>
  <si>
    <t>2020年（深圳）</t>
  </si>
  <si>
    <t>1．就读于“985”或“211工程”高校或第四轮学科评估为B+及以上学科的高校，并将于2021年毕业的在校大学本科生；
2．本科阶段总成绩排名原则上在所读学校同年级本专业前20%之内者（或在其它方面有突出表现的学生），已经获得或即将获得所在高校推荐免试生资格者优先</t>
  </si>
  <si>
    <t>国家英语六级426分及以上优先，或国家英语四级、TOEFL、IELTS、GRE、GMAT等其它体现自身英语水平的成绩。</t>
  </si>
  <si>
    <t>包括云介绍、云交流以及云面试等形式。
具体安排以qq群里发布为准。</t>
  </si>
  <si>
    <t>1．报名申请（6月25日前）
请申请人如实填写（问卷星）https://www.wjx.cn/jq/81369921.aspx，将所有报名申请材料按顺序合并为一个PDF文件上传（首页附清单），文件命名：“电话号码-姓名-证明材料”，报名截止日期为6月25日（文件名未按照规定命名的文件视为无效文件处理！）。
2．材料审核及入营名单公布（7月1日前）
录取名单将在中山大学公共卫生学院（深圳）主页上公布，入营的同学会单独通过电话或者添加QQ的方式，通知同学加入QQ群以便联系，届时未接到入营通知的同学皆为未入选者，不另行通知。如因特殊情况不能参加本次夏令营，请于7月4日前及时与承办方联系。
中山大学公共卫生学院（深圳）师资队伍：http://phs.sysu.edu.cn/teacher/teacher01/index.htm</t>
  </si>
  <si>
    <t>80名左右</t>
  </si>
  <si>
    <t>1．《中山大学暑期及夏季学期研究生教育教学活动计划申请表（学生用）》（见附件），请帖好1寸证件照，无底色要求，加盖学院公章并且扫描成PDF版；
2．本科阶段成绩单及同年级总成绩排名原件（由学院或学校教务部门盖章，如成绩单显示排名或绩点，无需另附证明文件，成绩单即可证明）；
3．英语水平证明材料原件；
4．以及其他证明材料原件（如代表性学术论文（首页-即题目、摘要、作者所在页）、其他原创性工作成果、获奖证书等）；
5．身份证正反面复印到一张A4纸的复印件；
6．学生证第一页和第二页复印到一张A4纸的复印件。
因为是线上模式，以上材料报名提供原件扫描件，待后续进行原件确认。如因为未返校无法获得原件的同学，需签订《保证书》（见附件），保证提供的材料真实可靠，如有作假，则取消其录取资格并且通报所在本科学校。</t>
  </si>
  <si>
    <t>2021年（广州）</t>
  </si>
  <si>
    <t>1.全国“双一流”高水平高校或第四轮学科评估为B＋及以上学科的高校，并将于2022年毕业的在校大学本科生；2.本科阶段总成绩排名原则上在所读学校同年级本专业前20％之内者（或在其它方面有突出表现的学生），已经获得或即将获得所在高校推荐免试生资格者优先</t>
  </si>
  <si>
    <t>具有良好听、说、读、写的英语应用能，英语六级成绩达到426分及以上</t>
  </si>
  <si>
    <t>1、2021年6月27日前填写报名问卷（可扫二维码进入）2、提交电子版材料到指定邮箱
2021年6月27日24：00前，申请人须将将所有申请材料按顺序合并为一个PDF文件（首页附清单）发送到邮箱daiweiho＠163．com，邮件主 题均为“本科就读学校＋申请专业＋姓名”，例如，中山大学＋卫生毒理学＋张三，发送成功会收到自动回复，不按照格式命名会作为垃圾邮件处理。电子版申请材料将用于资格审查。
注：步骤1和步骤2必须都完成，才视作报名成功
3、2021年6月30日前，将于中山大学公共卫生学院网站上公布夏令营录取名单以及2021全国优秀大学生夏令营QQ群号。如因特殊情况不能参加本次夏令营，请务必于6月30日前及时与主办方联系。</t>
  </si>
  <si>
    <t>7月8日—9日</t>
  </si>
  <si>
    <t>1、中山大学暑期及夏季学期研究生教育教学活动计划申请表（学生用）见附件（电子版及扫描版），请帖好1寸证件照，无底色要求，加盖学院公章；
2、本科阶段成绩单及同年级总成绩排名原件（由学院或学校教务部门盖章，如成绩单显示排名或绩点，无需另附证明文件，成绩单即可证明）；
3、英语水平证明材料原件；
4、以及其他证明材料原件（如代表性学术论文（首页—即题目、摘要、作者所在页）、其他原创性工作成果、获奖证书等）；
5、身份证正反面复印到一张A4纸的复印件；
6、学生证第一页和第二页复印到一张A4纸的复印件。</t>
  </si>
  <si>
    <t>临床医学</t>
  </si>
  <si>
    <t>2020年（第一届）</t>
  </si>
  <si>
    <t>1.网上报名
电脑、手机登陆中国科大夏令营官方网站（https://tqms.ustc.edu.cn/），直接报名。
2.报名截止时间：
学校报名系统关闭时间为：2020年6月30日。夏令营组委会组织专家对网上报名材料进行评审。录取工作将于2020年7月5日结束，录取结果可在夏令营网站查询。组委会将通过中国科学技术大学研究生信息平台通知本人（以电子邮件或手机短信形式）。未录取者不再另行通知。录取营员需承诺全程参与夏令营所有活动。
受疫情影响具体举办时间和形式待定。</t>
  </si>
  <si>
    <t>1、网上报名后生成的表格打印后本人签字；
2、专家推荐信2封；夏令营推荐信模版请在夏令营网站 “文件下载”中下载。
3、截止2020年6月本科成绩单（有学校教务部门公章）与总评成绩排名证明（有学校教务部门或所在院系公章）；
4、能体现自身能力的获奖证书复印件、英语水平证明、学术论文等。
以上所有申请材料请扫描为图片打包为rar格式压缩包上传网络报名系统。
请自觉保证提供材料的真实性。营员报到时需携带纸质申请材料（其中成绩单和排名证明必须为原件），夏令营组委会将会对材料进行复核，如有不实将取消录取资格。</t>
  </si>
  <si>
    <t>受疫情影响具体举办时间和形式待定</t>
  </si>
  <si>
    <t>1. 网上报名：电脑、手机登陆中国科大夏令营官方网站直接报名
2. 网址：https://tqms.ustc.edu.cn/，网上申报截止日期：2021年6月28日。</t>
  </si>
  <si>
    <t>1、网上报名后生成的表格打印后本人签字；
2、专家推荐信2封；
  临床医学夏令营推荐信模版请在夏令营网站中“文件下载”中下载。
3、前三年半成绩单（有学校教务部门公章）与总评成绩排名证明（有学校教务部门或所在院系公章）；
4、能体现自身能力的获奖证书复印件、英语水平证明、学术论文等以上所有申请材料请扫描后制作成PDF格式文件上传网络报名系统。</t>
  </si>
  <si>
    <t>1. 限2019年毕业的应届本科生，具有或者有可能获得保研资格者优先，来源于“985工程”、“211工程”、“双一流”大学优先；
2. 品学兼优，在学期间平均成绩在85分以上且无不及格科目；
3. 对医学及生命科学有浓厚兴趣，有相关科研经历者优先；
4. 学术型方向可以为医学、生物学、物理学、计算机等专业，专业型方向限医学专业。</t>
  </si>
  <si>
    <t>英语六级成绩≥450分，四级成绩≥470分；</t>
  </si>
  <si>
    <t>网上报名：请于即时起至2018年6月20日24:00之前登陆以下网址进行注册并填写申报信息https://dce.cicams.ac.cn/redcaplts/surveys/?s=KLPPA44PCD</t>
  </si>
  <si>
    <t>7月18日-20日</t>
  </si>
  <si>
    <t>拟招收营员120名，学术型方向60名，专业型方向60名。</t>
  </si>
  <si>
    <t>夏令营期间，医院将全程为所有参营学员提供食宿服务。</t>
  </si>
  <si>
    <t>1. 限2020年毕业的应届本科生，具有或者有可能获得保研资格者优先，来源于“985工程”、“211工程”、“双一流”大学优先；2. 品学兼优，在学期间平均成绩在85分以上且无不及格科目；3. 对医学及生命科学有浓厚兴趣，有相关科研经历者优先；4. 学术型方向可以为医学、生物学、物理学、计算机等专业，专业型方向限医学专业。</t>
  </si>
  <si>
    <t>英语六级成绩≥500分，四级成绩≥550分；</t>
  </si>
  <si>
    <t>网上报名：请于即时起至2019年6月20日24:00之前登陆以下网址进行填写申报信息https://dce.cicams.ac.cn/redcaplts/surveys/?s=3MPNPKDCWD。或扫描下面的二维码进行填写。被录取的营员将于2019年7月5日前在我院官网上公布。</t>
  </si>
  <si>
    <t>7月17日-19日</t>
  </si>
  <si>
    <t>拟招收营员100名，学术型方向50名，专业型方向50名。</t>
  </si>
  <si>
    <t>1. 限2021年毕业的应届本科生，具有或者有可能获得保研资格者，双一流大学或所在学科为教育部第四轮学科评估B+及以上高校优先；
2. 品学兼优，在学期间平均成绩在85分以上且无不及格科目；
3. 专业型方向限医学专业，学术型方向专业不限。</t>
  </si>
  <si>
    <t>英语六级成绩≥430分，四级成绩≥500分；</t>
  </si>
  <si>
    <t>网上报名：请于即时起至2020年7月10日24:00之前登陆以下网址进行填写申报信息https://dce.cicams.ac.cn/redcap/surveys/?s=8EWMAMA3YC。或扫描下面的二维码进行填写。被录取的营员将于2020年7月17日前在我院官网上公布。</t>
  </si>
  <si>
    <t>7月23-24日</t>
  </si>
  <si>
    <t>拟招收营员200名。
学术型：
1.肿瘤学（基础）招收35名
2.细胞生物学、免疫学共招收30名（985、211院校生命科学院学生优先）
3.流行病与卫生统计学、社会医学与卫生事业管理、公共卫生硕士（MPH）共招收20名
4.科研型其它（临床检验诊断学、肿瘤学放射物理、药剂学、中西医结合临床）共招收10名
专业型：
1.肿瘤学（外科学方向）招收35名
2.肿瘤学（内科学方向）招收20名
3.肿瘤学（放疗）招收15名
4.肿瘤学（妇产方向）招收5名
5.影像医学与核医学招收15名
6.临床病理学招收10名
7.麻醉学招收5名</t>
  </si>
  <si>
    <t>1.限2022年毕业的应届本科生，具有或者有可能获得保研资格者，双一流大学或所在学科为教育部第四轮学科评估A及以上高校优先；2.品学兼优，成绩良好且无不及格科目</t>
  </si>
  <si>
    <t>网上报名：请于7月3日8：00至2021年7月10日24:00之前登陆以下网址进行填写申报信息https://dce.cicams.ac.cn/redcap/surveys/?s=E88CTETERN。也可扫码进行报名。被录取的营员将于2021年7月20日前在我院官网上公布。届时统一安排进群及具体参营时间。</t>
  </si>
  <si>
    <t xml:space="preserve">
个人证件照片（限100K内）
成绩单（须加盖院系或学校教务部门公章）；
总评成绩排名证明（须加盖院系或学校教务部门公章）；
国家英语四六级考试、托福、雅思、GRE等英语水平的成绩证明；
荣誉与奖励证书复印件；
发表文章（只需文章首页并标出作者）；
原创性工作成果；
专家推荐信1-2封，需副教授以上职称专家亲笔签字。
</t>
  </si>
  <si>
    <t>1. 全国重点综合类高校及医学类知名高校医学、公共卫生、管理学、经济学等相关专业本科三、四年级在校生（即2019年应届毕业生）。
2. 学习成绩排名前列，能够获得所在学校推荐免试资格，并且满足山东大学公共卫生学院接收2018级推荐免试研究生的标准，或有志参加山东大学研究生招生考试的学生。
3. 所在学校或专业需符合下列条件中的一条：
所在学校属于教育部公布的世界一流大学A类建设高校（36所）；
中国科学院大学不属于上述高校，但所在专业在教育部第四轮学科评估中的结果为“B+及以上”。</t>
  </si>
  <si>
    <t>英语水平优秀（六级成绩≥425分）。</t>
  </si>
  <si>
    <t>一、活动内容
1. 学院领导介绍学院发展历程、学科优势及发展前景。
2. 学术讲座
3. 优秀校友介绍个人成长经历
4. 参观校园、院史馆，了解学院、学校文化、学习生活环境。
二、初步日程安排
1. 第一天 报到入营
2. 第二天 开营仪式、学院介绍、招生咨询、学术讲座、与优秀校友交流
3. 第三天 面试
4. 第四天 闭营仪式、参观、离济</t>
  </si>
  <si>
    <t>6月15日前</t>
  </si>
  <si>
    <t>申请者首先通过扫码或者点击下方链接填写夏令营报名表，然后尽快通过电子邮件方式提交如下材料：
(链接：https://www.wjx.top/jq/23410054.aspx )                                                
1.个人简历1份；
2.前两年半（4年制）或前三年半（5年制）成绩单与总评成绩排名证明。成绩单和排名的纸质材料需要加盖院系公章，如有不实将取消录取资格，并承担相应后果。
3.相关证明材料（英语六级成绩单；各类奖励材料）的电子扫描件。
4.申请人还可提交体现自身学术水平的代表性学术论文、出版物等材料。
申请人请于6月15日前（以材料寄达时间为准）将以上材料电子版打包发送至电子邮箱：kongwei@sdu.edu.cn; 标题格式“姓名+学校+2018年SDUSPH夏令营申请”。</t>
  </si>
  <si>
    <t>学院将为入选营员提供夏令营期间在济的食宿（济南学校学生不提供住宿）以及异地学校学生往返硬座火车票费用补贴(限硬座或动车二等座)。</t>
  </si>
  <si>
    <t>根据参加者的综合表现，本次夏令营将评选出一定比例的优秀营员，颁发优秀营员证书。取得优秀营员证书的同学将获得以下招生优惠政策：
1. 优秀营员如报考我院推荐免试研究生，经过复试选拔后，同等情况下将优先录取。
2. 参加全国硕士招生统一考试的优秀营员，初试成绩符合我校所报学科门类（或学位类别）规定的复试分数线，经过复试选拔后，同等情况下将优先录取。
3. 学院将为获得优秀营员资格的同学，报销参加推荐免试复试和一志愿报考学生统考后参加复试的往返交通费用（硬座火车票、硬座卧铺票或二等座动车、高铁票），以及复试期间的住宿费（学院指定宾馆）。
4. 特别优秀的营员，还将获得优秀研究生新生奖学金。此奖学金在研究生入学之后发放。</t>
  </si>
  <si>
    <t>1.全国重点综合类高校及医学类知名高校医学、公共卫生、管理学、经济学、数学、统计学、计算机类等相关专业本科三、四年级在校生（即2020年应届毕业生）。
2. 学习成绩排名前列，能够获得所在学校推荐免试资格，并且满足山东大学公共卫生学院接收2019级推荐免试研究生的标准，或有志参加山东大学研究生招生考试的学生。
3. 所在学校或专业需符合下列条件中的一条者优先考虑：
所在学校属于教育部公布的世界一流大学A类建设高校（36所）；
中国科学院大学不属于上述高校，但所在专业在教育部第四轮学科评估中的结果为“B+及以上”。</t>
  </si>
  <si>
    <t xml:space="preserve">
英语水平优秀（六级成绩≥425分）。</t>
  </si>
  <si>
    <t>一、活动内容
1. 学院领导介绍学院发展历程、学科优势及发展前景。
2. 学术讲座
3. 优秀校友介绍个人成长经历
4. 参观校园、院史馆，了解学院、学校文化、学习生活环境。
二、初步日程安排
1. 7月7日 报到入营
2. 7月8日 开营仪式、学院介绍、招生咨询、学术讲座、与优秀校友交流
3. 7月9日 面试、闭营仪式、参观、离济</t>
  </si>
  <si>
    <t>5月10日-6月10日。2019年5月10日后，通过山东大学研究生招生信息网夏令营报名系统进行报名（链接：https://zhaosheng.eol.cn/10422/push/login），在备注栏里写上申请公共卫生学院夏令营，截止时间为6月10日。申请人报名后请将全部申请材料（需签字盖章的务必先处理好）的PDF电子版打包上传至报名系统，已上传材料的纸质版于报到时携带提交。</t>
  </si>
  <si>
    <t>7月7日-9日</t>
  </si>
  <si>
    <t>通过山东大学研究生招生信息网夏令营报名系统进行报名（链接：https://zhaosheng.eol.cn/10422/push/login）</t>
  </si>
  <si>
    <t>根据参加者的综合表现，本次夏令营将评选出一定比例的优秀营员，颁发优秀营员证书。取得优秀营员证书的同学将获得以下招生优惠政策：
1.优秀营员如报考我院推荐免试研究生，经过复试选拔后，同等情况下将优先录取。
2.参加全国硕士招生统一考试的优秀营员，初试成绩符合我校所报学科门类（或学位类别）规定的复试分数线，经过复试选拔后，同等情况下将优先录取。
3.学院将为获得优秀营员资格的同学，报销参加推荐免试复试和一志愿报考学生统考后参加复试的往返交通费用（硬座火车票、硬座卧铺票或二等座动车、高铁票），以及复试期间的住宿费（学院指定宾馆）。
4.特别优秀的营员，还将获得优秀研究生新生奖学金。此奖学金在研究生入学之后发放。</t>
  </si>
  <si>
    <t>1. 全国重点综合类高校及医学类知名高校医学、公共卫生、管理学、经济学、数学、统计学、计算机类等相关专业本科三、四年级在校生（即2021年应届毕业生）。
2.学习成绩排名前列，能够获得所在学校推荐免试资格，并且满足山东大学公共卫生学院接收2020级推荐免试研究生的标准，或有志参加山东大学研究生招生考试的学生。
3. 所在学校或专业需符合下列条件中的一条者优先考虑：
所在学校属于教育部公布的世界一流大学A类建设高校（36所）；
中国科学院大学不属于上述高校，但所在专业在教育部第四轮学科评估中的结果为“B+及以上”。</t>
  </si>
  <si>
    <t>官网未明确说明</t>
  </si>
  <si>
    <t>1．系统报名及材料提交：
登录“山东大学优秀大学生夏令营网上报名系统报名”填报个人信息及材料提交，截止时间为7月10日16：00。注意：系统提交时务必按要求填全相关信息，在备注栏里写上申请公共卫生学院夏令营。
报名系统网址：http://stu.sdu.yanzhao.edu.cn
2．材料审核及夏令营资格确定：
学院根据提交的材料进行审核筛选，入选结果将在申请系统里发送通知，考生可在个人界面看到申请是否通过，审核通过的学生需在7月15日16:00前确认是否参加，在系统里点击确认参加方可被录取参加夏令营，逾期未确认视为放弃入营资格，学院不再单独通知。</t>
  </si>
  <si>
    <t>1.公共卫生学院夏令营申请表（需签字盖章）；
2.截止到报名前的本科成绩单（需加盖教务处公章）；
3.英语成绩证明：如国家英语四、六级考试成绩、TOEFL成绩、GRE成绩等证明材料；
4.科研成果相关证明材料：申请人可提交体现自身学术水平的代表性学术论文、出版物或原创性工作成果及获奖证书。无科研成果者可不提交本项材料。
5. 夏令营申请信息表（见通知附件）。
请将1-4材料的扫描件合并成一个PDF文档，连同材料5打包7月10日前发送至kongwei@sdu.edu.cn，邮件标题为“姓名+申报夏令营”。学生须承诺所有申报材料和信息均属实，如有弄虚作假，一经查实，取消本人参营资格。</t>
  </si>
  <si>
    <t>根据参加者的综合表现，本次夏令营将评选出一定比例的优秀营员，颁发优秀营员证书。取得优秀营员证书的同学将获得以下招生优惠政策：
1.优秀营员如报考我院推荐免试研究生，经过复试选拔后，同等情况下将优先录取。
2.参加全国硕士招生统一考试的优秀营员，初试成绩符合我校所报学科门类（或学位类别）规定的复试分数线，经过复试选拔后，同等情况下将优先录取。
3.特别优秀的营员，还将获得优秀研究生新生奖学金。此奖学金在研究生入学之后发放。</t>
  </si>
  <si>
    <t>1.全国重点综合类高校及医学类知名高校医学、公共卫生、管理学、经济学、数学、统计学、护理学、计算机类等相关专业本科三、四年级在校生（即2021年应届毕业生）。拟报考社会医学与卫生事业管理专业的同学请参加卫生管理与政策研究中心夏令营。
2.学习成绩排名前列，能够获得所在学校推荐免试资格，并且满足山东大学公共卫生学院接收2021级推荐免试研究生的标准，或有志参加山东大学研究生招生考试的学生。
3.所在学校属于教育部公布的世界一流大学A类建设高校（36所）；中国科学院大学；不属于上述高校，但所在专业在教育部第四轮学科评估中的结果为“B+及以上”</t>
  </si>
  <si>
    <t>1．系统报名及材料提交：
登录“山东大学优秀大学生夏令营网上报名系统报名”填报个人信息及材料提交，截止时间为6月20日17：00。注意：系统提交时务必按要求填全相关信息，在备注栏里写上申请公共卫生学院夏令营。
报名系统网址：http://stu.sdu.yanzhao.edu.cn
2．材料审核及夏令营资格确定：
学院根据提交的材料进行审核筛选，入选结果将在7月2日前在申请系统里发送通知，考生可在个人界面看到申请是否通过，审核通过的学生需在7月4日16:00前确认是否参加，在系统里点击确认参加方可被录取参加夏令营，逾期未确认视为放弃入营资格，学院不再单独通知。</t>
  </si>
  <si>
    <t>7月 8 日—7月9日</t>
  </si>
  <si>
    <t>1.公共卫生学院夏令营申请表（见附件，需签字盖章）；
2.截止到报名前的本科成绩单（需加盖教务处公章）；
3.英语成绩证明：如国家英语四、六级考试成绩、TOEFL成绩、GRE成绩等证明材料；
4.科研成果相关证明材料：申请人可提交体现自身学术水平的代表性学术论文、出版物或原创性工作成果及获奖证书。无科研成果者可不提交本项材料。
5. 夏令营申请信息表（见通知附件）。
请将1-4材料的扫描件合并成一个PDF文档，连同材料5打包6月20日前发送至68338789@qq.com，邮件标题为“姓名+申报夏令营”。学生须承诺所有申报材料和信息均属实，如有弄虚作假，一经查实，取消本人参营资格。</t>
  </si>
  <si>
    <t>根据参加者的综合表现，本次夏令营将评选出一定比例的优秀营员，颁发优秀营员证书。取得优秀营员证书的同学将获得以下招生优惠政策：
优秀营员如报考我院推荐免试研究生，经过复试选拔后，同等情况下将优先录取。</t>
  </si>
  <si>
    <t>2020年（2018/2019年无）</t>
  </si>
  <si>
    <t>1.入营学生应为国家一流大学和一流学科建设高校的2021年应届本科毕业生；或国家第四轮学科评估结果为B-及以上的学科的2021年应届本科生。
2. 招收五年全日制口腔医学专业英语本科生，学习成绩优秀，专业成绩和综合成绩均名列本专业前茅。</t>
  </si>
  <si>
    <t>英语水平良好，全国大学外语四级考试成绩在425分以上。</t>
  </si>
  <si>
    <t>未说明，加相应QQ群后知道具体参营时间和内容</t>
  </si>
  <si>
    <t>2020年7月6日上午8:00</t>
  </si>
  <si>
    <t>1.网上报名并提交材料
1)《吉林大学口腔医学院2020年全国优秀大学生夏令营报名表》（附件1）；
2)由教务处或所在院系开具的成绩单与总评成绩排名证明（附件2）；
3)成绩单一份，需加盖教务部门公章；
4)个人简历一份，无特殊格式要求；
5)外语水平证明（英语四、六级证书等）及其它获奖证明材料。
以上材料1）-5）项，请扫描形成一个完整的pdf文档，10M以内，文档命名格式为：“学校+姓名+夏令营”，发送电子版至jluyjs706@163.com ，邮件主题为“学校+姓名+夏令营”。</t>
  </si>
  <si>
    <t>1.入营学生应为国家一流大学和一流学科建设高校的2022年应届本科毕业生；或国家第四轮学科评估结果为B-及以上的学校的2022年应届本科生。
2. 招收五年全日制口腔医学专业英语本科生，学习成绩优秀，专业成绩和综合成绩均名列本专业前茅。</t>
  </si>
  <si>
    <t>活动包括学院及学科介绍、个人学术能力展示、与青年学者线上面对面交流探讨和优秀营员考核等。</t>
  </si>
  <si>
    <t>2021年6月25日前</t>
  </si>
  <si>
    <t>1)由教务处或所在院系开具的成绩单与总评成绩排名证明（附件）；
2)成绩单一份，需加盖教务部门公章；
3)个人简历一份，无特殊格式要求；
4)外语水平证明（英语四、六级证书等）及其它获奖证明材料。
以上材料1）-4）项，请扫描形成一个完整的pdf文档，10M以内，文档命名格式为：“学校+姓名+夏令营”，发送电子版至jluyjs706@163.com ，邮件主题为“学校+姓名+夏令营”。</t>
  </si>
  <si>
    <t>具备所在本科学校2022年“推荐免试资格”的优秀营员，第一志愿报考吉林大学口腔医学院，在符合我校接收推荐免试硕士研究生相关要求和学院相关政策基础上，可直接接收为吉林大学2022年“推免生”；符合条件的同学享受吉林大学口腔医学院研究生新生优秀奖学金。我院将确定优秀营员，并以《报名表》中本人所填申请攻读专业作为以后本人录取专业的参考。</t>
  </si>
  <si>
    <t>大学本科前四学年(学制五年)总评成绩在专业名列前茅</t>
  </si>
  <si>
    <t>有较的外语应用水平和能力。国大学英语四级成绩达475分以上(含475分)，或六级成绩达425分以上(含425分)。</t>
  </si>
  <si>
    <t>学科介绍、讲坛、营员与导师座谈、参观重点实验室、生殖医院等活动，同时组织拟推免或报考我校研究生的营员进行提前考查。</t>
  </si>
  <si>
    <t>自即日起开始报名，截止日期2018年6月20日</t>
  </si>
  <si>
    <t>2018年7月中旬，为期4~5天</t>
  </si>
  <si>
    <t>1、申请人须提交材料：1)夏令营申请表;2)本科阶段成绩单原件;3)英语六级或四级成绩证明复印件;4)获奖或其他考试证书复印件;5)在公开发行的刊物或国会议上发表的学术论文、出版物复印件;6)个人信息汇总表。(上述1--5材料均须加盖校教务处或院系红色公章)。申请人须将上述1--5材料扫描后制作成1个PDF文件、6)个人信息汇总表EXCEL文件，这2个电子文件在6月20日前一并发送到zhenghua@sdu.edu.cn邮箱。邮件主题格式为：姓名+学校名+本科专业名。纸质版材料报到时提交。
2、上述纸质、电子材料务真实，材料中须签名、盖章处务规范、完整。申请人手机号和电邮地址务准确无误，便于联络。</t>
  </si>
  <si>
    <t>我院负责提供夏令营期间营员往返火车票费用(限普快、动车或铁二等座及以下)，以及夏令营期间的住宿，另有部分餐饮补贴。营员需自行购买往返火车票，如特殊原因需购买飞机票，将按照火车票硬座的标准予以报销，超出部分的费用由学生自行承担。根据山东大学财务部要求，报销火车票的时间须为夏令营期间，由所在学校至我校往返的，每位参加夏令营的学生需要在报到时登记车票。</t>
  </si>
  <si>
    <t>我院夏令营考核的学生，如能够获得本科所在学校的推免生资格，可以直接申请山东大学校外推免生入学资格，经复试并的，将优先预录取，被录取的推免生可获得新生奖学金。具体申请程序请参照学校后期接收推荐免试攻读硕士学位研究生的相关通知。欢迎国校优秀学子和山大本校优秀学子踊跃报名。</t>
  </si>
  <si>
    <t>专题介绍、座谈交流、临床教学体验观摩等多种活动。</t>
  </si>
  <si>
    <t>2019年5月14日—6月15日。</t>
  </si>
  <si>
    <t>预计7月10日-7月11日举办夏令营，具体日程安排后续通知</t>
  </si>
  <si>
    <t>1.齐鲁医院夏令营申请表（点击下载，经所在学院审核签字盖章，转换成PDF后以附件形式上传到报名系统）
2.截止到报名前的本科成绩单原件（需教务部门盖章）；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上述材料报到时提交原件，无需邮寄。</t>
  </si>
  <si>
    <t>ZOOM平台以线上方式</t>
  </si>
  <si>
    <t>线上讲座、线上报告、线上研讨会等多种活动，宣传医院百年优秀传统及优势学科</t>
  </si>
  <si>
    <t>截止时间为2020年7月13日。</t>
  </si>
  <si>
    <t>预计2020年7月下旬举办夏令营，具体日程安排后续通知。</t>
  </si>
  <si>
    <t>夏令营招生规模约为200名营员，最终人数视报名情况适当调整，择优录取。</t>
  </si>
  <si>
    <t>1. 2020年“齐鲁医院稷下风”第二届全国优秀大学生夏令营申请表。
2. 截止到报名前的本科成绩单（需教务部门盖章，如因疫情原因无法提供教务部门盖章，请申请人在成绩单空白处书写：“本人保证提供所有信息及材料真实、准确”，并签字（手签））。
3. 语言成绩证明，如国家英语四、六级考试成绩，TOEFL成绩，IELTS成绩，GRE等能体现外语水平的证明。
4. 科研成果、奖励等证明材料，申请人可提交体现自身学术水平的代表性学术论文、出版物或原创性工作成果及获奖证书。
请将上述材料的扫描件合并成一个PDF文档，以“齐鲁医院+姓名+夏令营申请材料”命名，以附件形式发送至下方邮箱，请尽量直接以附件形式发送，不选择超大附件。邮箱：linchuangzhaosheng@vip.163.com。</t>
  </si>
  <si>
    <t>具体举办形式视疫情防控形势而定</t>
  </si>
  <si>
    <t>学术讲座、报告、研讨会、师生交流等多种活动，宣传医院百年优秀传统及优势学科</t>
  </si>
  <si>
    <t>截止时间为2021年6月30日。</t>
  </si>
  <si>
    <t>预计2021年7月中下旬举办夏令营，具体日程安排详见后续通知。</t>
  </si>
  <si>
    <t>夏令营招生规模暂定为200名营员，最终人数视报名情况适当调整，择优录取。</t>
  </si>
  <si>
    <t>1.2021年“齐鲁医院稷下风”第三届全国优秀大学生夏令营申请表
2.截止到报名前的本科成绩单（需教务部门盖章）；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请将上述材料的扫描件合并成一个PDF文档，以“齐鲁医院+姓名+夏令营申请表”命名，以附件形式发送至linchuangzhaosheng@vip.163.com（请尽量直接以附件形式发送，不选择超大附件）。</t>
  </si>
  <si>
    <t>有较高的外语应用水平和能力。全国大学英语四级成绩达475分以上(含475分)，或六级成绩达425分以上(含425分)</t>
  </si>
  <si>
    <t>自官网发布信息起至6月15日</t>
  </si>
  <si>
    <t>具体日程及报到安排请留意网站后续通知</t>
  </si>
  <si>
    <t>本次活动拟招收营员25人，择优录取</t>
  </si>
  <si>
    <t>1.生殖医院夏令营申请表(点击下载，学院审核签字盖章，转换成PDF后以附件形式上传到报名系统)
2.截止到报名前的本科成绩单原件(需教务部门盖章);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上述材料报到时提交原件，无需邮寄。</t>
  </si>
  <si>
    <t>夏令营将为入选的外地营员提供夏令营期间的食宿，报销往返车票(高铁二等座及以下或汽车票;飞机、卧铺票不予报销);根据山东大学财务部要求，报销火车票的时间必须为夏令营期间，由所在学校至我校往返的，每位参加夏令营的学生需要在报到时登记车票，规定时间内快递寄回回程车票。</t>
  </si>
  <si>
    <t>大学本科前四学年(学制五年)总评成绩在专业名列前茅，无不及格课程，无学术不端记录。</t>
  </si>
  <si>
    <t>有较高的外语应用水平和能力，全国大学英语四级成绩达500分以上(含500分)，或六级成绩达475分以上(含475分)</t>
  </si>
  <si>
    <t>具体日程及安排另行通知。</t>
  </si>
  <si>
    <t>截止时间为7月7日</t>
  </si>
  <si>
    <t>具体日程及安排另行通知</t>
  </si>
  <si>
    <t>本次夏令营拟招收营员25人</t>
  </si>
  <si>
    <t>1. 生殖医院夏令营申请表(转换成PDF后以附件形式上传到报名系统）
2. 截止到报名前的本科成绩单原件（需教务部门盖章），总成绩排名证明（需教务部门盖章）。
3. 语言成绩证明，如国家英语四、六级考试成绩，TOEFL成绩，IELTS成绩，GRE等能体现外语水平的证明。
4. 科研成果、奖励等证明材料，如能体现自身学术水平的代表性学术论文、本科阶段重要获奖证书等。
注意：以上材料需扫描并打包压缩后在系统中提交。</t>
  </si>
  <si>
    <t>根据参加者的综合素质及面试表现给出成绩，并评选出一定比例的优秀营员，取得优秀营员的同学若取得所在学校“推免资格”，推免时报考生殖医院，夏令营面试考核成绩可转换为推免复试成绩，不再参加推免复试。</t>
  </si>
  <si>
    <t>有较高的外语应用水平和能力，全国大学英语四级成绩达500分以上(含500分)，或六级成绩达475分以上(含475分)。</t>
  </si>
  <si>
    <t>将视疫情情况确定，另行通知。</t>
  </si>
  <si>
    <t>举办讲座、报告、研讨会、面试等多种活动。</t>
  </si>
  <si>
    <t>预计7月中旬举办夏令营，具体日程安排后续通知</t>
  </si>
  <si>
    <t>夏令营招生规模为30名，最终人数视报名情况适当调整，择优录取。</t>
  </si>
  <si>
    <t>1.生殖医院优秀大学生暑期夏令营申请表
2.截止到报名前的本科成绩单（需教务部门盖章）；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请将上述材料的扫描件合并成一个PDF文档，以“生殖医院+姓名+夏令营申请表”命名，以附件形式发送至linchuangzhaosheng@vip.163.com（请尽量直接以附件形式发送，不选择超大附件）。</t>
  </si>
  <si>
    <t>附属第一人民医院</t>
  </si>
  <si>
    <t>学习成绩优异（已获得或将获得所读大学免试推荐研究生资格者优先考虑，本科综合成绩排名全年级同专业前30%）</t>
  </si>
  <si>
    <t>英语通过四级或四级以上。意向申报我院本科直博生需通过六级或六级以上且为985工程院校毕业本科生；</t>
  </si>
  <si>
    <t>医院简介、医学教育专题讲座、学校招生政策解读，师生见面会，推荐免试手续简介和问答</t>
  </si>
  <si>
    <t>夏令营于2018年5月25日开通网上报名，截止日期：2018年6月21日</t>
  </si>
  <si>
    <t>7月17日—7月20日</t>
  </si>
  <si>
    <t>拟招收广东省外70人、广东省内、中山大学中山医学院100人</t>
  </si>
  <si>
    <t>（一）网站填报暑期夏令营申请表
（二）录制30秒的自我介绍的视频影像（视频文件大小请控制在60M以内）视频文件请于报名截止日期前发送到graduateok@163.com邮箱，邮件主题格式：夏令营申请+第一志愿学科专业名称+本科院校名称+姓名+联系电话,附件视频文件命名规则：第一志愿学科专业名称+本科院校名单+姓名+联系电话）
（三）其它证明材料
①本科阶段成绩单（加盖教务部门公章的成绩单和成绩总评排名的证明材料，夏令营报到时提交）
②英语四/六级成绩单复印件（夏令营报到时验证原件提交复印件）
申请者无需邮寄纸版材料到研究生科</t>
  </si>
  <si>
    <t>我院将为参加夏令营的正式营员购置保险及提供夏令营期间在校的食宿，以及往返所在学校与广州之间的路费补助（凭票报销，原则上按照硬座火车票标准补贴，单程不超过300元，乘坐其它交通工具的超额部分自行承担）。返程车费将在相应营员确定推荐免试至我院或在全国研究生入学考试系统上成功报考我院后，根据此两份名单返还。</t>
  </si>
  <si>
    <t>具体活动安排请留意网上更新的信息</t>
  </si>
  <si>
    <t>2019年5月15日—6月25日</t>
  </si>
  <si>
    <t>1、夏令营申请表（附件点击下载）；
2、本科阶段成绩单及同年级总成绩排名（由教务部门或院系盖章）1份；
3、学生证复印件
4、教育部学籍在线验证报告
5、二代居民身份证2份复印件，正反面复印在同一张A4纸内，一式2份，考生须在其中1份的空白处抄录“授权中山大学代本人申领工商银行灵通卡，并从本人指定账户扣收学杂费。”并签名。
6、其他相关证明材料：英语水平及获奖证书复印件等。</t>
  </si>
  <si>
    <t>学习成绩优异（已获得或将获得所读大学免试推荐研究生资格者优先考虑，本科综合成绩排名全年级同专业前30%），原则上应为985或211工程院校（含中山大学）的2021年临床医学专业应届毕业生</t>
  </si>
  <si>
    <t>英语通过四级或四级以上。意向申报我院本科直博生需通过六级或六级以上且为985工程院校毕业本科生</t>
  </si>
  <si>
    <t>开营，视频参观医院重症医学科、临床能力培训中心等，特色学科互动，青年学者沙龙；夏令营网络面试，夏令营闭营式</t>
  </si>
  <si>
    <t>发布起截止至2020年7月26日</t>
  </si>
  <si>
    <t>暂定为8月5日至8月8日</t>
  </si>
  <si>
    <t>1、填写暑期夏令营问卷星申请表，并按顺序将以下附件合并成一个PDF文件后上传：
①二代居民身份证原件和2份复印件（正反面复印在同一张A4纸内，考生须在其中1份的空白处书写“授权中山大学代本人申领工行灵通卡，并从本人指定账户扣收学费”并签名；
②加盖有效注册印章的在校学生证原件及复印件一份；
③本科阶段成绩单及成绩总评证明（加盖教务部门公章的成绩单和成绩总评排名的证明材料）；
④英语四/六级或TOEFL、IELTS、GRE、GMAT等体现自身英语水平的考试成绩单复印件；
⑤发表论文或其他科研成果证明材料（论文提交首页即可）。
2、个人30秒自我简介
以视频形式录制简单自我介绍，须涵盖名字及所就读院校。该视频将会由研究生科整理并发送至所报考的意向专业老师。
视频格式要求为AVI或MP4，以邮件形式将发送至以下地址：zsyyxly@163.com。
邮件和视频文件命名方式为：夏令营自我介绍+姓名+就读院校名称，如格式不符合要求则不予接收。
申请者无需邮寄纸版材料。</t>
  </si>
  <si>
    <t>发布起截止日期为2021年6月30日16:00</t>
  </si>
  <si>
    <t>2021年8月3日-8月5日</t>
  </si>
  <si>
    <t>200-250名左右</t>
  </si>
  <si>
    <t>1、填写暑期夏令营问卷星申请表，并按顺序将以下附件合并成一个PDF文件（不超过5M）后上传：
①PDF版个人简历（A4纸，限1页）
②有效期内的身份证PDF扫描件；
③加盖有效注册印章的在校学生证PDF扫描件；
④加盖教务部门公章的本科阶段成绩单及成绩总评证明PDF扫描件；
⑤英语四/六级或TOEFL、IELTS、GRE、GMAT等体现自身英语水平的考试成绩单PDF扫描件；
⑥公开发表论文、获奖证书PDF扫描件（论文提交首页即可）；
⑦其他辅助申请材料PDF扫描件
2、个人30秒自我简介（不超过25M）
以视频形式录制简单自我介绍，须涵盖名字及所就读院校。该视频将会由教育处研究生科整理并发送至所报考的意向专业老师。
视频格式要求为AVI或MP4，以邮件形式将发送至以下地址：sysu2021xly@163.com。</t>
  </si>
  <si>
    <t>学习成绩优秀，本科阶段总成绩排名在该校同年级本专业前15％之内（双一流院校和部委省共建高校可排名在30%以内）</t>
  </si>
  <si>
    <t>英语4级成绩425分以上</t>
  </si>
  <si>
    <t>开展学术报告、学科介绍、参观实验室、导师访谈、与在读研究生交流等形式的活动，并进行营员的考核与选拔</t>
  </si>
  <si>
    <t>2018年6月1日-6月20日</t>
  </si>
  <si>
    <t>2018年7月9日－12日</t>
  </si>
  <si>
    <t>150人（校外100人，校内50人）</t>
  </si>
  <si>
    <t>1.南方医科大学2018年大学生暑期夏令营申请表
2.本科阶段成绩单及同年级总成绩排名表（由教务部门或院系盖章）
3.英语水平证明
4.本科阶段获奖及论文发表情况证明
5.个人简历1份</t>
  </si>
  <si>
    <t>我校为营员提供夏令营期间食宿（本校学生不提供住宿）及异地学校学生（广州市外）往返硬座火车票（含高铁二等票）费用。</t>
  </si>
  <si>
    <t>获得预录取通知书并之后取得所在学校“推免”资格的优秀营员，可直接拟录取为我校第一/二临床医学院（南方医院/珠江医院）该专业2019级硕士研究生（推免生），无需再次来校参加考核。</t>
  </si>
  <si>
    <t>本科阶段总成绩排名在该校同年级本专业前15％之内（985、211、双一流院校和部委省共建高校可排名在30%以内）或平均成绩80分以上（GPA3.0以上）</t>
  </si>
  <si>
    <t>英语水平优良，四级成绩425分以上（或具有六级证书）。</t>
  </si>
  <si>
    <t>开营仪式、参观人体科学馆、学术讲座、学科介绍、参观实验室、导师座谈、与在读研究生交流等，并进行营员的考核与选拔。</t>
  </si>
  <si>
    <t>2019年6月13日-30日</t>
  </si>
  <si>
    <t>2019年7月10日－12日</t>
  </si>
  <si>
    <t>160人（一临80人、二临80人）</t>
  </si>
  <si>
    <t>（一）南方医科大学临床医学2019年全国优秀大学生夏令营夏令营申请表.doc
（二）个人简历1份；
（三）本科阶段成绩单及同年级总成绩排名表（由教务部门或院系盖章）；
（四）英语水平证明；
（五）本科阶段获奖及论文发表证明；
（六）其他重要获奖证明或材料。</t>
  </si>
  <si>
    <t>营员提供夏令营期间免费食宿（本校学生不提供住宿）及报销异地学校学生往返硬座火车票费用（含高铁二等票，单程不超500元）。
通过夏令营并最终确认录取的学生将享受南方医科大学推免生奖励2万元（同时享受相应医学院提供的新生奖学金）。</t>
  </si>
  <si>
    <t>获得预录取通知书并之后取得所在学校“推免”资格的优秀营员，可直接接收为南方医科大学南方医院、珠江医院的2020年“推免硕士研究生”或“直博”研究生。</t>
  </si>
  <si>
    <t>成绩优秀，本科阶段总成绩排名在该校同年级本专业前15％之内（985、211、双一流院校和部委省共建高校可排名在30%以内）或平均成绩80分以上（GPA3.0以上）</t>
  </si>
  <si>
    <t>1.英语四级≧480分；2.六级≧425分；3.雅思≧6.0分；4.托福≧90分。有全国英语比赛等获奖者优先。</t>
  </si>
  <si>
    <t>开营仪式、云参观（校区、人体科学馆、校史馆等）、学术讲座、学科介绍、导师座谈、在读研究生交流等；</t>
  </si>
  <si>
    <t>2020年7月8号—7月20日</t>
  </si>
  <si>
    <t>2020年7月30日－31日</t>
  </si>
  <si>
    <t>350人（一临150人、二临150人、三临50人）</t>
  </si>
  <si>
    <t>只提交电子版，可扫描整合到一个PDF文件里，包含以下内容：
（一）南方医科大学临床医学2020年全国优秀大学生暑期夏令营申请表（必需项）；
（二）学生证（必需项）；
（三）个人简历（必需项）；
（四）本科阶段成绩单及同年级总成绩排名表（由教务部门或院系盖章，必需项）；
（五）英语水平证明（四六级或雅思托福证书等，必需项）；
（六）本科阶段重要获奖证明（有则提供，非必需项）；
（七）论文发表、科研成果、学术产出等证明（有则提供，非必需项）；</t>
  </si>
  <si>
    <t>（一）为营员提供夏令营参营用品（营员证、纪念品、夏令营证书等）。
（二）通过夏令营并最终确认录取我校符合条件的学生将享受南方医科大学推免生奖励2万元（符合各学院条件的，可同时享受相应学院提供的新生奖学金等奖励）。
（三）成功报名后符合条件但未获营员资格的，将有可能获“南方医科大学2020年临床医学全国优秀大学生夏令营”限量版纪念品一份。</t>
  </si>
  <si>
    <t>获得夏令营预录取通知书并之后取得所在学校“推免”资格的优秀营员，可直接接收为我校2020年临床医学“推免生”，特别优秀的可以“直博”研究生录取。</t>
  </si>
  <si>
    <t>2021年（一临）</t>
  </si>
  <si>
    <t>本科阶段总成绩排名在该校同年级本专业前20％之内；其中985、211、双一流院校、全国医科院校研究生院联盟单位（首都医科大学、天津医科大学、中国医科大学、哈尔滨医科大学、南京医科大学、重庆医科大学、空军军医大学、南方医科大学）的学生可排名在30%以内；或平均成绩80分以上（GPA3.0以上）。报名学生能获得所在院校推免资格者优先。</t>
  </si>
  <si>
    <t>具有良好的外语水平，满足下列条件之一：1.六级≧425分；2.雅思≧6.0分；3.托福≧90分。有全国英语比赛奖项者优先。</t>
  </si>
  <si>
    <t>公示营员：7月29日；
报到：8月3日，报到形式于群内通知；
开营活动：8月4-5日，开营仪式、学科介绍及云参观、学科面试、优秀营员选拔；
证书及南医专属纪念品发放：8月5日后邮寄。</t>
  </si>
  <si>
    <t>2021年7月27日12:00前</t>
  </si>
  <si>
    <t>2021年8月3日－4日</t>
  </si>
  <si>
    <t>线上60人，线下60人（线下限本校及广州市内学员）</t>
  </si>
  <si>
    <t>1.南方医科大学临床医学2021年全国优秀大学生暑期夏令营申请表电子版（必需项，进群获取）；
2.学生证扫描件或照片（必需项）；
3.个人简历电子版PDF（必需项）；
4.本科阶段成绩单及同年级总成绩排名表扫描版（由教务部门或院系盖章，必需项）；
5.英语水平证明扫描版（四六级或雅思托福证书等，必需项）；
6.论文发表、专利发明等学术产出证明，省级以上临床技能竞赛获奖证明（有则提供，非必需项）；</t>
  </si>
  <si>
    <t xml:space="preserve">（一）为营员提供夏令营参营用品（入营纪念品、夏令营预录取证书等）。
（二）推免生奖学金。奖励对象为当年通过推荐免试方式入学的硕士研究生。
（三）根据《“科研启蒙计划”实施办法（2020修订版）》（校研字〔2020〕21号文），进入我校科研启蒙计划资助的南方医科大学本科生，录取为本校硕士后，将进行奖励性资助，资助标准为科研启蒙计划课题负责人5000元/人，课题组成员2000元/人。本次夏令营预录取的南方医科大学本科生，将免申报评审，获取一项科研启蒙计划，科研启蒙计划指导教师为夏令营预录取导师。
</t>
  </si>
  <si>
    <t xml:space="preserve">
获得夏令营预录取通知书并之后取得所在学校“推免”资格的优秀营员，可直接接收为我校2022年临床医学“推免生”。
</t>
  </si>
  <si>
    <t>上海交大</t>
  </si>
  <si>
    <t>全国重点高校拟获得推免资格的优秀应届本科生</t>
  </si>
  <si>
    <t>英语CET6≥425或者新TOEFL≥90或者IELTS≥6.0</t>
  </si>
  <si>
    <t>第一批次：截止至7月31日
第二批次：截止至8月31日</t>
  </si>
  <si>
    <t>拟招收15名</t>
  </si>
  <si>
    <t>1. 自述申请信
请提供一封个人自述申请信，详细介绍个人情况，格式无要求；
2. 2020年暑期招生报名表
《上海精准医学研究院2020年暑期研究生招生报名表》，请到精准院网站“办事指南”下载；
3. 提交形式
两份材料以邮件附件形式提交，邮件主题行注明“SHIPM暑期招生2020-姓名-所在院校”，发送至邮箱sunshuai@shsmu.edu.cn。</t>
  </si>
  <si>
    <t>截止至7月18日24:00</t>
  </si>
  <si>
    <t>（1）《上海交通大学医学院研究生招生夏令营申请表》《上海精准医学研究院暑期研究生招生申请表》各一份；
（2）身份证、学生证复印件各1份，核验原件；
（3）本科成绩单1份（需加盖教务处公章）；
（4）其他证明材料复印件（如发表的学术论文、获奖或资格证书、国家英语六级成绩单等）各1份；
（5）2位所在学院副教授（含）以上职称的专家推荐信。</t>
  </si>
  <si>
    <t>学院将为非上海生源提供住宿（原则上上海生源不提供），以及报销本科就读高校往返于上海的火车票（标准为动车二等座，学生需提供车票作为报销凭证）。</t>
  </si>
  <si>
    <t>A等，直博生。申请者获得所在学校推荐免试直升研究生资格，且符合医学院接收优秀本科毕业生推荐免试攻读博士学位研究生招生要求，并在教育部“全国推荐优秀应届本科毕业生免试攻读研究生信息公开暨管理服务系统”（以下简称“推免服务系统”）中填报SHIPM（具体时间另行通知），可直接录取为当年度博士研究生；
B等，硕士生。申请者获得所在学校推荐免试直升研究生资格，且符合医学院接收优秀本科毕业生推荐免试攻读硕士学位研究生招生要求，并在教育部推免服务系统中填报SHIPM（具体时间另行通知），可直接录取为当年度硕士研究生。
C等，申请者须符合医学院接收优秀本科毕业生推荐免试攻读硕士学位研究生招生要求，且与夏令营参加的培养单位及专业一致，可直接获得推荐免试硕士研究生的复试资格，通过复试后优先录取；
注意：未获得推免资格的学生，若参加2022年全国研究生统一入学考试，初试成绩达到医学院复试分数线，同等条件下可获得优先录取资格。</t>
  </si>
  <si>
    <t>学习成绩优异，报名时总评成绩排名本专业前30%。“双一流”、“985”及“211”大学或有重点学科的医学院校2019年毕业在校本科生</t>
  </si>
  <si>
    <t>自报名起截止至6月30日</t>
  </si>
  <si>
    <t>1.2018年优秀大学生暑期夏令营申请表1份
2.学生证及身份证复印件各1份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5.外语水平证明材料(如大学英语四、六级成绩、雅思成绩、托福成绩等)
6.1份由副教授及以上专家写的推荐信。</t>
  </si>
  <si>
    <t>1.本次夏令营不收取任何费用，为营员提供在校期间的免费食宿
2.为外地营员提供前往西安的单程硬座火车票补贴(需提供实际票据)
3.为营员统一购买营服和在西安交通大学学习活动期间的团体短期意外保险
4.学员报到后要求全程参加夏令营活动，严格遵守西安交通大学的相关规定，不得擅自行动
5.优秀营员名单在夏令营结束后一个月内公布。</t>
  </si>
  <si>
    <t>1.夏令营期间，营员将参加专业素质测评，包括笔试和面试。根据测评结果，我们将选拔确定“优秀营员”。
2.优秀营员若获得所在学校“推免生”资格，且于2018年9月在教育部推免生招生网站上将我校作为第一志愿报名顺利者，将在我校2019级全国推免研究生招生录取中享受免面试优先录取。
3.优秀营员若未获得所在学校“推免生”资格，但参加2019年全国硕士研究生统一招生考试，初试成绩达到我院硕士研究生录取线，同等条件下将优先录取。</t>
  </si>
  <si>
    <t>学习成绩优异，报名时总评成绩排名本专业前25%。“双一流”、“985”及“211”大学或有重点学科的医学院校2020年毕业在校本科生</t>
  </si>
  <si>
    <t>5月31—6月30日</t>
  </si>
  <si>
    <t>1．2019年优秀大学生暑期夏令营申请表1份；
2．学生证及身份证复印件各1份；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5．外语水平证明材料（如大学英语四、六级成绩、雅思成绩、托福成绩等）；
6．1份由副教授及以上专家写的推荐信。</t>
  </si>
  <si>
    <t>1．本次夏令营不收取任何费用，为营员提供在校期间的免费食宿；
2．为外地营员提供前往西安的单程硬座火车票补贴（需提供实际票据）；
3．为营员统一购买营服和在西安交通大学学习活动期间的团体短期意外保险；
4．学员报到后要求全程参加夏令营活动，严格遵守西安交通大学的相关规定，不得擅自行动；
5．优秀营员名单在夏令营结束后一个月内公布。</t>
  </si>
  <si>
    <t>1.夏令营期间，营员将参加专业素质测评，包括笔试和面试。根据测评结果，我们将选拔确定“优秀营员”。
2.优秀营员若获得所在学校“推免生”资格，且于2019年9月在教育部推免生招生网站上将我校作为第一志愿报名成功者，将在我校2020年全国推免研究生招生录取中享受免面试优先录取。
3.优秀营员若未获得所在学校“推免生”资格，但参加2020年全国硕士研究生统一招生考试，初试成绩达到我院硕士研究生录取线，同等条件下将优先录取。</t>
  </si>
  <si>
    <t>所在专业在第四轮学科评估中排名B+以上学科，学习成绩排名前15%</t>
  </si>
  <si>
    <t>一般应英语通过6级</t>
  </si>
  <si>
    <t>(1) 概况介绍：介绍学院的发展历史，以及在人才培养、教学和科研等方面取得的成绩；
(2) 知名教授学术前沿讲座：邀请知名教授和学科带头人做专题讲座和学术报告，培养学生对科研工作的兴趣；
(3) 系所宣讲会：由各系所负责人向学生介绍系所导师团队、研究方向、科研基础设施和研究生毕业去向等，使学生对各系所及研究方向有更进一步的了解；
(4) 参加学院接收推荐免试研究生的提前面试。</t>
  </si>
  <si>
    <t>2020年7月2日-7月15日</t>
  </si>
  <si>
    <t>7月下旬，具体时间另行通知</t>
  </si>
  <si>
    <t>1．2020年优秀大学生暑期夏令营申请表1份；
2．学生证及身份证复印件1份；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5．外语水平证明材料（如大学英语四、六级成绩、TOEFL成绩、GRE成绩等）；
将以上全部申请材料以PDF格式压缩为一个文件后上传，命名格式：姓名-所在学校。</t>
  </si>
  <si>
    <t>夏令营期间，营员将参加专业素质测评。根据测评结果，我们将选拔确定“优秀营员”,被评为优秀营员者，获得所在学校2021推免资格，且第一志愿申报医学部相关专业免试攻读硕士学位研究生，可免面试直接拟录取。录取的推免生第一学年将获得特等或一等学业奖学金；新生奖学金覆盖比例达到100%。</t>
  </si>
  <si>
    <t>2021年6月15日-7月2日</t>
  </si>
  <si>
    <t>以下全部申请材料以PDF格式压缩为一个文件后上传，命名格式：姓名-所在学校。
1．2021年优秀大学生暑期夏令营申请表1份（报名完成后生成表格，是给医学部学院提交）；
2．学生证及身份证复印件1份；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5．外语水平证明材料（如大学英语四、六级成绩、TOEFL成绩、GRE成绩等）。</t>
  </si>
  <si>
    <t>夏令营期间，营员将参加专业素质测评。根据测评结果，我们将选拔确定“优秀营员”,被评为优秀营员者，获得所在学校2022推免资格，且第一志愿申报医学部相关专业免试攻读硕士学位研究生，同等条件下可优先录取。录取的推免生第一学年将获得特等或一等学业奖学金；新生奖学金覆盖比例达到100%。</t>
  </si>
  <si>
    <t>zoom线上</t>
  </si>
  <si>
    <t>线上讲座、线上报告、线上研讨会等多种活动，宣传百年省医的医脉相传、优秀传统、领先医术及优势学科。</t>
  </si>
  <si>
    <t>2020年7月2号—2020年7月15日</t>
  </si>
  <si>
    <t>夏令营招生规模约为100名营员，最终人数视报名情况适当调整，择优录取。</t>
  </si>
  <si>
    <t>1. 2020年全国优秀大学生夏令营申请表
2.截止到报名前的本科成绩单（需教务部门盖章，如因疫情原因无法提供教务部门盖章，请申请人在成绩单空白处书写：“本人保证提供所有信息及材料真实、准确”，并签字（手签））；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请将上述材料的扫描件合并成一个PDF文档，以“省立医院+姓名+夏令营申请材料”命名，以附件形式发送至linchuangzhaosheng@vip.163.com（请尽量直接以附件形式发送，不选择超大附件）。</t>
  </si>
  <si>
    <t>1.本夏令营属于非盈利性质的文化交流活动，不收取任何费用。主办单位不承担参加者活动期间所产生的任何法律和经济责任。</t>
  </si>
  <si>
    <t>2021年6月7号—2021年06月30日</t>
  </si>
  <si>
    <t>预计2021年7月下旬举办夏令营，具体时间和日程安排后续通知。</t>
  </si>
  <si>
    <t xml:space="preserve">夏令营招生规模约为100名营员，最终人数视报名情况适当调整，择优录取。
</t>
  </si>
  <si>
    <t>1.省立医院医院优秀大学生暑期夏令营申请表.doc
2.截止到报名前的本科成绩单（需教务部门盖章，如因疫情原因无法提供教务部门盖章，请申请人在成绩单空白处书写：“本人保证提供所有信息及材料真实、准确”，并签字（手签））；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请将上述材料的扫描件合并成一个PDF文档，以“省立医院+姓名+夏令营申请材料”命名，以附件形式发送至linchuangzhaosheng@vip.163.com（请尽量直接以附件形式发送，不选择超大附件）。</t>
  </si>
  <si>
    <t>本夏令营属于非盈利性质的文化交流活动，不收取任何费用。主办单位不承担参加者活动期间所产生的任何法律和经济责任。</t>
  </si>
  <si>
    <t>全国985、211高校及其他具有推免资格高校的2021届本科毕业生，大学本科前四学年(学制五年)总评成绩在专业名列前茅</t>
  </si>
  <si>
    <t>有较高的外语应用水平和能力</t>
  </si>
  <si>
    <t>医院、学科介绍；参观重点实验室；师生座谈交流；学生和导师双向选择等。</t>
  </si>
  <si>
    <t>起始时间7月5号，报名截止时间为7月21日。</t>
  </si>
  <si>
    <t>2019年7月28日—7月30</t>
  </si>
  <si>
    <t>1.山东大学第二医院夏令营申请表（见附件，需所在学院审核签字盖章）；
2.截止到报名前的本科成绩单原件（需教务部门盖章）；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上述材料扫描后变成一个pdf，连同汇总表（见附件）以“姓名+本科学校”为文件名发送至zhenghua@sdu.edu.cn。材料无需邮寄，报到时带原件。</t>
  </si>
  <si>
    <t>1.山东大学全国优秀大学生暑期夏令营属于非盈利性质的文化交流活动，举办单位不承担参加者活动期间及往返途中不可抗力事故所产生的任何法律和经济责任。
2.营员报到时需携带身份证、学生证及要求的相关审核材料，并在夏令营期间严格遵守举办单位的各项规定及要求。
3.食宿及交通费：夏令营将为入选的外地营员提供夏令营期间的食宿，报销往返车票（高铁二等座及以下或汽车票；飞机、卧铺票、高铁一等座不予报销）；根据山东大学财务部要求，报销火车票的时间必须为夏令营期间，由所在学校至我校往返的，每位参加夏令营的学生需要在报到时登记车票，规定时间内快递寄回回程车票。
4.医院不安排接送站，发放市内交通补助。
5.夏令营参加者务必做好个人安全防范措施。</t>
  </si>
  <si>
    <t>具体日程安排后续通知</t>
  </si>
  <si>
    <t>截止时间为7月10日</t>
  </si>
  <si>
    <t>预计2020年7月举办夏令营，具体日程安排后续通知。</t>
  </si>
  <si>
    <t>共有29位学生入营</t>
  </si>
  <si>
    <t>1.山东大学第二医院夏令营申请表;(见附件)
2.截止到报名前的本科成绩单原件和总成绩排名证明(需教务部门盖章);如因疫情影响，暂时无法盖章，请申请人在成绩单、总评成绩排名证明空白处标注“本人保证提供所有信息及材料真实、准确”并签名。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请将上述材料的扫描件合并成一个PDF文档，以“山大二院+姓名+夏令营申请材料”命名，以附件形式发送至linchuangzhaosheng@vip.163.com(请尽量直接以附件形式发送，不选择超大附件)。</t>
  </si>
  <si>
    <t>1. 山东大学第二医院夏令营申请表.doc
2.截止到报名前的本科成绩单（需教务部门盖章）；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请将上述材料的扫描件合并成一个PDF文档，以“医院+姓名+夏令营申请表”命名，以附件形式发送至linchuangzhaosheng@vip.163.com（请尽量直接以附件形式发送，不选择超大附件）。</t>
  </si>
  <si>
    <t>同2019</t>
  </si>
  <si>
    <t>5月2日—6月30日（以寄到日为准）</t>
  </si>
  <si>
    <t>2018年7月10--13日</t>
  </si>
  <si>
    <t>学院介绍、课题组交流和联谊、外出参观等活动，同时根据国家推免生要求,选拔优秀营员免试进入我所攻读2020级研究生</t>
  </si>
  <si>
    <t>2019年5月31—6月15日</t>
  </si>
  <si>
    <t>2019年7月9---12日</t>
  </si>
  <si>
    <t>我所现面向全国高校招收营员30名</t>
  </si>
  <si>
    <t>通过初步资格审查的同学请于6月15日（以寄到日为准）前以邮寄方式提交以下材料：① 《放射所2019年暑期夏令营申请表》②加盖教务处公章的本科学习成绩单复印件；③获奖证书或科研成果证明复印件；④国家英语四、六级考试成绩或其他英语水平的证明复印件。</t>
  </si>
  <si>
    <t>届时为营员提供在津的食宿以及往返火车票费用（按硬卧或硬座火车票标准报销）。</t>
  </si>
  <si>
    <t xml:space="preserve"> 成绩优秀，功底扎实</t>
  </si>
  <si>
    <t>研究所介绍、与师生线上交流等活动，同时根据国家推免生要求，选拔优秀营员免试进入我所攻读2022级研究生</t>
  </si>
  <si>
    <t>2021年6月16日-6月30日</t>
  </si>
  <si>
    <t>2021年7月份</t>
  </si>
  <si>
    <t xml:space="preserve">（1）个人简历及个人陈述：包括个人基本情况、教育经历、本科期间参与的科研工作、未来学习研究计划、参与过的社团活动、兴趣爱好、联系方式等。
（2）身份证明材料：身份证正反面和学生证扫描件。
（3）成绩证明材料：本科成绩单、专业排名证明（教务处盖章）、英语水平证明（四、六级成绩或证书）的扫描件各1份。
（4）其他参考材料：获奖证书、发表文章、科研成果等的扫描件。
</t>
  </si>
  <si>
    <t>学习成绩优秀，能够在就读学校获得推荐免试攻读研究生资格</t>
  </si>
  <si>
    <t>报到
7月1日 高峰论坛开幕和夏令营开营仪式，专家主题报告，学科前沿介绍
7月2日 圆桌会议、互动讨论、学术交流实验室参观
7月3日 高科技产业考察、调研，夏令营闭幕式、离营</t>
  </si>
  <si>
    <t>起始5月9号，截止2019年6月16日</t>
  </si>
  <si>
    <t>6月30到7月3号</t>
  </si>
  <si>
    <t>本期夏令营医学技术研究院拟招收营员60--80人</t>
  </si>
  <si>
    <t>1.提交电子版材料（截止2019年6月16日）
申请者按要求完整填写以下材料，并按以下顺序将其电子版打包发送至报名邮箱：pucmt@bjmu.edu.cn。邮件主题名为：XX大学-XX学院-XX（姓名）医学技术2019夏令营申请。
(1)“北京大学医学部医学技术全国优秀大学生暑期夏令营活动报名表”(附件1)1份；
(2)“北京大学医学部医学技术全国优秀大学生暑期夏令营活动申请表”(附件2)1份；
(3)“北京大学医学部医学技术全国优秀大学生暑期夏令营活动个人陈述”(附件3)1份；
(4)教务部门盖章的本科阶段成绩单扫描件1份（PDF文件）；
(5)体现自身英语水平的证明的扫描件1份（包括但不限于国家英语四六级成绩、TOEFL成绩、雅思成绩）；
(6)其他证明材料扫描件（如体现自身学术水平的代表性学术论文、出版物或原创性工作成果、获奖证书）。
2.提交纸质版报名材料（6月30日入营报到时提交）
(1)上述电子版材料除报名表以外纸质版签字盖章原件和纸质版复印件（英语证明，其他证明材料）；
(2)专家推荐信（附件4）2封，即需要2位副教授以上职称专家分别推荐。</t>
  </si>
  <si>
    <t>学生享受待遇（全免费）
1.报销往返路费（火车硬座或高铁二等座）；
2.提供营期住宿（本校或北京地区学生不安排住宿）；
3.提供活动期间餐饮。</t>
  </si>
  <si>
    <t>活动形式：
（1）各二级学科、实验室介绍；
（2）线上学术讲座；
（3）师生交流，了解课题内容、学科发展前沿。</t>
  </si>
  <si>
    <t>2020年7月2号到7月15号</t>
  </si>
  <si>
    <t>1. 扫描二维码提交报名信息（截止2020年7月15日）；
2. 按照要求提交以下报名材料，并按照顺序合并到一个PDF附件，将电子版发送至pucmt@bjmu.edu.cn。邮件主题名为：XX大学-XX学院-XX（姓名）2020夏令营申请。
1）“北京大学医学技术全国优秀大学生暑期夏令营活动申请表”(附件1) 1份；
2）教务部门盖章的本科阶段成绩单扫描件1份（PDF文件，不能返校盖章的提供教务系统查询截图）；
3）体现自身英语水平的证明的扫描件1份（包括但不限于国家英语四六级成绩、TOEFL成绩、雅思成绩）；
4）其他证明材料扫描件（如体现自身学术水平的代表性学术论文、出版物或原创性工作成果、获奖证书）；
5）专家推荐信（附件2）3封：3位副教授以上职称专家分别推荐。
3．申请人承诺提交材料真实有效，如有虚假情况，将取消申请人资格。</t>
  </si>
  <si>
    <t>2021.05.27-2021.06.20</t>
  </si>
  <si>
    <t>2021年6月29日至30日</t>
  </si>
  <si>
    <t>1. 扫描二维码提交报名信息（截止2021年6月20日）；
2. 按照要求提交以下报名材料，并按照顺序合并到一个PDF附件，将电子版发送至pucmt@bjmu.edu.cn。邮件 主题名为：XX大学-XX学院-XX（姓名）2021夏令营申请。
1) “北京大学医学技术全国优秀大学生暑期夏令营活动申请表”(附件1) 1份；
2) 教务部门盖章的本科阶段成绩单扫描件1份（PDF文件，不能返校盖章的提供教务系统查询截图）；
3) 体现自身英语水平的证明的扫描件1份（包括但不限于国家英语四六级成绩、TOEFL成绩、雅思成绩）
4) 其他证明材料扫描件（如体现自身学术水平的代表性学术论文、出版物或原创性工作成果、获奖证书）
5) 专家推荐信（附件2）2封： 2位副教授以上职称专家分别推荐。</t>
  </si>
  <si>
    <t>报到、校园参观
开营仪式
统一测试
实验室参观、课题组交流和联谊
营员个人风采展示及专业面试</t>
  </si>
  <si>
    <t>开始时间5月9号，报名截止时间为2019年6月10日。
学院将于5月20日开始对网上报名同学进行资格审核，请申请人及时关注网上审核状态，逾期报名不再审核信息。</t>
  </si>
  <si>
    <t>2019年7月1-3日</t>
  </si>
  <si>
    <t>以快递方式提交下列材料：
（1）通过网上报名资格审查的同学请于6月10日前（以寄出日邮戳为准）以快递方式提交以下材料：
①《优秀大学生暑期夏令营申请表》（进行网上报名并确认后生成此表，按照系统提示打印此表，本人签字）；
② 加盖教务处公章的本科学习成绩单和专业排名证明；
③《南开大学药学院2019年夏令营申请表》（附件下载）；
④ 副教授以上级别的专家推荐信2封（附件下载，需专家亲笔签字）；
⑤ 其他证明材料，包括：国家英语四、六级考试成绩或其他英语水平的证明复印件；获奖证书或科研成果证明复印件；本人代表性学术论文、出版物或原创性成果等。</t>
  </si>
  <si>
    <t>1. 我院将免费为营员提供在津参加夏令营活动期间7月1日、2日、3日的食宿安排（住宿为7月1日、2日两晚）。
2.营员请自行预订往返车票，我院不承担交通费用。
3. 我院将为营员统一购买夏令营活动期间的团体意外保险。</t>
  </si>
  <si>
    <t>具体活动时间与活动形式视天津市疫情防控形势另行通知</t>
  </si>
  <si>
    <t>夏令营主要活动内容有学院及学科介绍，与青年科学家畅谈信息科学前沿；参观实验室，体验我院科研环境及实验平台建设等。</t>
  </si>
  <si>
    <t>报名截止时间为2020年6月15日</t>
  </si>
  <si>
    <t>通过网上资格审查者，请于审查通过后5个工作日内提交以下材料电子版至nkyxy2020@163.com，邮件标题为“夏令营材料-报考专业-本科学校-姓名”：
（1）《优秀大学生暑期夏令营申请表》（进行网上报名并确认后生成此表，按照系统提示打印此表，本人签字）；
（2）个人简历
（3）加盖教务处公章的本科学习成绩单和专业排名证明；
（4）副教授以上级别的专家推荐信2封（附件下载，需专家亲笔签字）；
（5）其他证明材料，包括：科研成果（发表论文等，论文仅提供首页即可）、毕业论文摘要、英语四六级成绩单、其他考生认为需要展示的材料。
注：请将上述材料按照顺序制成一个PDF文档，并以“报考专业+本科学校+姓名”命名，作为附件放在邮件中。</t>
  </si>
  <si>
    <t>1、夏令营不收取任何费用，统一安排夏令营期间营员食宿。
2、学院将为入选营员统一购买夏令营活动期间的团体意外保险。
3、请外地营员保留好往返交通票据。待推免生录取工作结束后，为所有录取营员报销往返交通费（报销标准为高铁二等座或火车硬卧）。</t>
  </si>
  <si>
    <t xml:space="preserve">具体活动时间与活动形式视天津市疫情防控形势另行通知。若夏令营确定为线下举办，我院为所有参营营员提供以下保障：
1、夏令营不收取任何费用，统一安排夏令营期间营员食宿。
2、学院将为入选营员统一购买夏令营活动期间的团体意外保险。
</t>
  </si>
  <si>
    <t>报名截止时间为2021年6月10日</t>
  </si>
  <si>
    <t>通过网上资格审查者，请于审查通过后5个工作日内提交以下材料电子版至nkyxy2020@163.com，邮件标题为“夏令营材料-报考专业-本科学校-姓名”：
（1）《南开大学2022年推荐免试研究生报名信息表》（进行网上报名并确认后生成此表，按照系统提示打印此表，本人签字）；
（2）个人简历
（3）加盖教务处公章的本科学习成绩单和专业排名证明；
（4）副教授以上级别的专家推荐信2封（附件下载，需专家亲笔签字）；
（5）其他证明材料，包括：科研成果（发表论文等，论文仅提供首页即可）、毕业论文摘要、英语四六级成绩单、其他考生认为需要展示的材料。
注：请将上述材料按照顺序制成一个PDF文档，并以“报考专业+本科学校+姓名”命名，作为附件放在邮件中。</t>
  </si>
  <si>
    <t>1、夏令营不收取任何费用，统一安排夏令营期间营员食宿。
2、学院将为入选营员统一购买夏令营活动期间的团体意外保险。</t>
  </si>
  <si>
    <t>同2020</t>
  </si>
  <si>
    <t xml:space="preserve">学术讲座、专业介绍、招生政策宣讲、重点实验室及临床科室参观、优秀营员评选。具体活动日程表以报到日通知为准。 </t>
  </si>
  <si>
    <t xml:space="preserve"> 自即日起开始报名，截止日期2019年7月20日。 </t>
  </si>
  <si>
    <t xml:space="preserve">7月22日-29日 </t>
  </si>
  <si>
    <t>同2020年</t>
  </si>
  <si>
    <t xml:space="preserve"> 1．取得所在学校“推免资格”的优秀营员，在规定时间内进入教育部推免系统报名我院的推免生，报考专业及方向与暑期夏令营报考的专业及方向一致，可免复试接收为我校2020年推免生。 2．部分未取得所在学校“推免资格”的优秀营员，第一志愿报考我院，且报考专业及方向与暑期夏令营专业方向一致，参加2020年硕士研究生招生考试，初试成绩达到“我院相应复试分数线”，体检合格，可录取免复试。</t>
  </si>
  <si>
    <t>学习成绩优秀，本科期间综合成绩达到年级排名前30%</t>
  </si>
  <si>
    <t>口腔医学专题讲座、学院总体介绍、研究生招生介绍、云参观口腔学院 （口腔医院）；专业综合面试、外语专业水平测试、思想政治和品德素质考核</t>
  </si>
  <si>
    <t>自即日起开始报名，截止日期2020年6月20日</t>
  </si>
  <si>
    <t>1.申请表(“兰州大学口腔医学院2020年优秀大学生暑期夏令营”申请表1份)；
2.个人陈述1份；
3.其他证明材料（如：本科成绩单和专业排名证明(各1份;需加盖所在教务处公章)；获奖证书复印件；各类证书；国家英语四、六级考试成绩或TOEFL/GRE/GMAT/IELTS成绩等体现外语水平的证明；体现学术水平的代表性论文、出版物或原创性成果等。</t>
  </si>
  <si>
    <t>（一）夏令营活动期间提供营员食宿（兰州市本地学校学生不提供住宿）。
（二）提供来自外地高校的营员往返硬卧火车票或汽车票资助（凭票）。
（三）为营员购买夏令营活动期间人身意外伤害保险，保险期为报到后至闭营。</t>
  </si>
  <si>
    <t>优秀营员享受以下优惠政策：
1．取得所在学校“推免资格”的优秀营员，在规定时间内进入教育部推免系统报名我院的推免生，报考专业及方向与暑期夏令营报考的专业及方向一致，可直接接收为我校2021年推免生。
2．部分未取得所在学校“推免资格”的优秀营员，第一志愿报考我院，参加2020年硕士研究生招生考试，初试成绩达到“我院相应复试分数线”，参加复试且体检合格，可优先录取。</t>
  </si>
  <si>
    <t>学习成绩优异、综合能力突出，本科期间成绩达到年级排名前30%</t>
  </si>
  <si>
    <t>本次活动包括多场海内外专家讲座、开营仪式、医院参观、招生宣讲会，具体日程将在营员招募完成后公布。我院初步拟定线下举办本次夏令营活动，具体形式及活动日程以通知为准。</t>
  </si>
  <si>
    <t>自即日起至2021年6月25日</t>
  </si>
  <si>
    <t>（1）夏令营报名表（附件1，申请人声明处须签字确认）；
（2）学业成绩单（须加盖院系或学校教务部门公章）；
（3）总评成绩排名证明（须加盖院系或学校教务部门公章）；
（4）英语四六级成绩单或同等类别外语考试成绩单；
（5）学科专家推荐书（附件2，推荐人为副高级职称及以上专家）。
（6）已发表论文或接受函（可选）；
（7）校级及以上获奖证书复印件（可选）；
本次报名申请采用线上提交的方式，不再单独接收纸质版材料，请报名同学将申请材料以（1）-（7）的顺序扫描成PDF文件后，打包发送至邮箱kqyyjsms@163.com（邮件主题：姓名—夏令营—本科院校）。邮件发送时间截止2021年6月25日，逾期申请视为无效。</t>
  </si>
  <si>
    <t>1.夏令营活动期间提供营员食宿（兰州市本地学校学生不提供住宿）。
2.提供来自外地高校的营员往返高铁二等座、硬卧火车票或汽车票资助（凭票）。
3.我院将为营员购买夏令营活动期间人身意外伤害保险，保险期自报到日起至闭营日。
4.若因疫情防控无法组织线下活动，我院将根据现实情况改变活动方式，具体解释权归我院所有。</t>
  </si>
  <si>
    <t>1.取得所在学校“推免资格”的优秀营员，在规定时间内进入教育部推免系统报名我院的推免生，报考专业及方向与暑期夏令营报考的专业及方向一致，可直接接收为我校2022年推免生。
2.未取得所在学校“推免资格”的优秀营员，第一志愿报考我院，参加2022年硕士研究生招生考试，初试成绩达到“我院相应复试分数线”，参加复试且体检合格，可在同等条件下优先录取。</t>
  </si>
  <si>
    <t>检索时网页缺失</t>
  </si>
  <si>
    <t>学习成绩优秀，综合成绩排名前30%，在校期间无重修及补考科目；</t>
  </si>
  <si>
    <t>英语水平：CET-4或CET-6≥425分</t>
  </si>
  <si>
    <t>活动内容：此次夏令营活动，营员将从学科及科研平台介绍、实验室参观、导师面对面及师兄师姐座谈会等方面全面深入了解输血所科研实力和研究生培养特色；参观成都市血液中心，直观感受输血行业发展前景；体验巴蜀文化，领略天府风光。</t>
  </si>
  <si>
    <t>2019年6月20日前提交申请材料至教育培训处邮箱。教育培训处认真评审后，将于2019年6月23日电话通知录取同学。</t>
  </si>
  <si>
    <t>2019年7月3日~7月4日</t>
  </si>
  <si>
    <t>1.个人简历、个人陈述各1份(个人基本信息、学术背景、科研经历以及个人未来学习和研究的规划等)；2.本科历年成绩单1份；3. CET-4、6成绩单或其他英语考试成绩证明；4.其它相关能力证明材料(如发表论文、专利，各类获奖等)。</t>
  </si>
  <si>
    <t>食宿及交通费用：输血所将为营员统一安排免费食宿并提供往返交通补助，报销标准参考往返成都的汽车、高铁或动车二等座及普通列车硬卧，营员需提供相应车票。</t>
  </si>
  <si>
    <t>学习成绩优秀，能够获得推免资格者优先</t>
  </si>
  <si>
    <t>英语水平优良：CET4≥450分</t>
  </si>
  <si>
    <t>观看输血所视频，所领导主旨发言，线上了解参观科研平台和实验室，我所导师分享新冠抗疫经历与科研报告
，导师与营员面对面交流，营员与师兄师姐交流学习、生活以及就业等问题</t>
  </si>
  <si>
    <t>2020年6月30日——2020年7月18日。申请材料请于7月18日前提交至邮箱：ibtetd@126.com</t>
  </si>
  <si>
    <t>1. 个人简历2. 大学期间成绩单（截至2020年6月）和专业排名，须由教务部门盖章；3. 英语四级考试成绩证明；4. 其他证明材料（如体现自身学术水平的代表性学术论文或其他原创性工作成果复印件、获奖证书复印件等）。</t>
  </si>
  <si>
    <t>优秀营员提前锁定录取</t>
  </si>
  <si>
    <t>英语水平优良：CET4≥450分或同等级别英语水平测试相当成绩，CET6≥425分</t>
  </si>
  <si>
    <t>届时将根据疫情防控要求决定是否举办线下活动。</t>
  </si>
  <si>
    <t>即日起至2021年6月23日。发送至邮ibtetd@126.com。</t>
  </si>
  <si>
    <t>1.个人简历
2.大学期间成绩单（截至2021年6月）和专业排名，须由教务部门盖章；
3.英语四、六级考试成绩证明或其他英语水平证明复印件；
4.其他证明材料（如体现自身学术水平的代表性学术论文或其他原创性工作成果复印件、获奖证书复印件等）。
注：各申请人务必保证所提交申请材料的真实性和准确性，若有虚报、谎报等不端行为，一经查实，将取消入营资格。</t>
  </si>
  <si>
    <t>夏令营期间，提供食宿
往返路费（硬座）凭对应车票即可报销</t>
  </si>
  <si>
    <t>在校期间学习优秀</t>
  </si>
  <si>
    <t>参观兰州大学第二医院、兰州大学校本部、兰州大学榆中校区和研究生科研实验室，兰州大学第二医院研究生教育介绍、专家学术报告、导师面对面交流、学生互动与风采展示、优秀营员选拨等内容。</t>
  </si>
  <si>
    <t>即日起至2019年6月10日</t>
  </si>
  <si>
    <t>2019年6月25日-6月28日</t>
  </si>
  <si>
    <t>①《兰州大学第二医院2019年暑期夏令营申请表》(附件1);
② 本科成绩单与本专业排名证明扫描件（需加盖教务处或院系公章）;
③ 外语水平证明，全国大学英语四/六级成绩单或其他同类别英语考试成绩单扫描件；
④ 其他证明材料，如已发表论文或专利扫描件、本科期间各类获奖证书扫描件等。</t>
  </si>
  <si>
    <t>1. 将为入选营员统一提供免费食宿。2. 外地学生请自行预定往返车票，我院将按普通硬座火车票价报销交通费，学生需保存并在返校后以快递形式提交相关票据。3. 兰州大学第二医院为参营人员购买夏令营活动期间人身意外伤害保险，在学习期间发生的医疗费用及因个人行为导致的意外事故，由学员本人或其派出单位承担。</t>
  </si>
  <si>
    <t>获得本次活动结业证书者，在我院研究生推免、调剂等招生过程中优先考虑。</t>
  </si>
  <si>
    <t>在校期间学习优秀（本科期间综合成绩年级排名前50%）</t>
  </si>
  <si>
    <t>活动内容包括：研究生招生政策解读、研究生教育介绍、分专业导师面对面、优秀研究生交流、学生互动与风采展示等内容。</t>
  </si>
  <si>
    <t>即日起至2020年7月25日</t>
  </si>
  <si>
    <t>2020年8月4日-5日</t>
  </si>
  <si>
    <t>1. 将为入选营员统一提供免费食宿。
2. 外地学生请自行预定往返车票，我院将按普通硬座火车票价报销交通费，学生需保存并在返校后以快递形式提交相关票据。</t>
  </si>
  <si>
    <t>初步计划参观兰州大学和兰州大学第二医院学习科研环境，兰州大学第二医院研究生教育介绍、专家学术报告、导师面对面交流、学生互动与风采展示、优秀营员选拨等内容。</t>
  </si>
  <si>
    <t>即日起至2021年5月30日</t>
  </si>
  <si>
    <t>2021年6月16日-6月18日</t>
  </si>
  <si>
    <t>①《兰州大学第二医院2021年暑期夏令营申请表》(附件1);
②本科成绩单与本专业排名证明扫描件（需加盖教务处或院系公章）;
③外语水平证明，全国大学英语四/六级成绩单或其他同类别英语考试成绩单扫描件；
④其他证明材料，如已发表论文或专利扫描件、本科期间各类获奖证书扫描件等。</t>
  </si>
  <si>
    <t>1.将为入选营员统一提供免费食宿。
2.外地学生请自行预定往返车票，我院将按普通硬座火车票价报销交通费，学生需保存并在返校后以快递形式提交相关票据。
3.兰州大学第二医院为参营人员购买夏令营活动期间人身意外伤害保险，在学习期间发生的医疗费用及因个人行为导致的意外事故，由学员本人或其派出单位承担。</t>
  </si>
  <si>
    <t>1. 7月16日：开营仪式、各专业介绍；2. 7月17日：学术讲座、团队介绍等，结营。</t>
  </si>
  <si>
    <t>即日至2020年7月10日</t>
  </si>
  <si>
    <t>2020年7月16日-17日</t>
  </si>
  <si>
    <t>1. 2020年夏令营申请表（报名成功后系统自动生成，申请人本人签字后扫描）；
2. 本科阶段前五个学期成绩单1份（须加盖院系或学校教务部门公章）；
3. 个人简历1份；
4. 考生结合自身情况选择提交：相关证明材料复印件1份（如国家英语四、六级证书等英语水平证明材料；已发表学术论文、出版物或原创性工作成果；各类获奖或资格证书等体现自身学习和工作能力的材料）。</t>
  </si>
  <si>
    <t>1.6月28日：学院介绍、各专业介绍、“学霸说”；
2.6月29日：各科研团队介绍，学长交流会等。
注：本日程为拟定计划，具体安排可能会适当调整，具体以最终通知为准。</t>
  </si>
  <si>
    <t>即日至2021年6月24日</t>
  </si>
  <si>
    <t>2021年6月28日-29日</t>
  </si>
  <si>
    <t>1.2021年夏令营申请表（报名成功后系统自动生成，申请人本人签字后扫描）；
2.护理学专业本科阶段前五个学期、临床医学专业前七学期成绩单1份（须加盖院系或学校教务部门公章）；
3.个人简历1份；
4.考生结合自身情况选择提交：相关证明材料复印件1份（如国家英语四、六级证书等英语水平证明材料；已发表学术论文、出版物或原创性工作成果；各类获奖或资格证书等体现自身学习和工作能力的材料）
注：以上申请材料请按照1-4顺序通过扫描方式整理为一份PDF格式的电子文件，文件名为：学校名称-院（系）-姓名-夏令营预报名材料。</t>
  </si>
  <si>
    <t>石河子大学</t>
  </si>
  <si>
    <t>学习成绩优秀(本科期间综合成绩年级排名前30%)</t>
  </si>
  <si>
    <t>英语水平良好，通过全国大学外语四级水平考试或全国大学外语六级水平成绩合格(425分以上)，或TOEFL、GRE等考试成绩优秀者。</t>
  </si>
  <si>
    <t>为大家提供了解石河子大学医学院学术科研与医疗工作环境的机会，安排与知名专家、学者见面交流，同时组织拟推免或报考我院研究生的学生进行提前考查，作为石河子大学医学院选拔2020年推荐免试硕士方式之一。</t>
  </si>
  <si>
    <t>截止2019年7月5日</t>
  </si>
  <si>
    <t>2019年7月12日-7月14日</t>
  </si>
  <si>
    <t>1、报名方式：提交电子版材料（截止2019年7月5日）
申请者按要求完整填写以下材料，并按以下顺序将其电子版打包发送至报名邮箱：398882567@qq.cm。邮件主题名为：XX大学-XX学院-XX（姓名）临床医学或基础医学医学2019夏令营申请。
1）“石河子大学医学院全国优秀大学生暑期夏令营活动申请表”(附件1) 1份；
2）个人简历及个人陈述(关于个人学术背景、曾经做过的研究工作以及未来学习和研究的计划、目标等)1份；
3）教务部门盖章的本科阶段成绩单扫描件1份（PDF文件）；
4）体现自身英语水平的证明的扫描件1份（包括但不限于国家英语四六级成绩、TOEFL成绩、雅思成绩）；
5）身份证复印件2份；
6）其他证明材料扫描件（如体现自身学术水平的代表性学术论文、出版物或原创性工作成果、获奖证书等）；
2、提交纸质版报名材料（7月12日入营报到时提交）
1）上述电子版材料除报名表以外纸质版签字盖章原件和纸质版复印件（英语证明，其他证明材料）；
2）专家推荐信2封，即需要2位副教授以上职称专家分别推荐。</t>
  </si>
  <si>
    <t>1、夏令营期间的住宿费由我院免费安排;
2、报销学校所在城市至新疆石河子的往返程火车票价，报销标准参照学校相关规定执行(火车硬卧标准) , 请妥善保管票据作为报销凭据。</t>
  </si>
  <si>
    <t>学习成绩优秀(本科期间综合成绩年级排名前30%)；</t>
  </si>
  <si>
    <t>英语水平良好，通过全国大学外语四级水平考试或全国大学外语六级水平成绩合格(425分以上)，或TOEFL、GRE等考试成绩优秀者；</t>
  </si>
  <si>
    <t>7月17日11:00-13:00开营仪式、17:00-19:00兵团发展史；
7月18日11:00-13:00硕导名师讲座、17:00-19:00专业介绍；
7月19日11:00-13:00导师“云”见面、17:00-19:00闭营仪式。</t>
  </si>
  <si>
    <t>截止2020年7月12日）</t>
  </si>
  <si>
    <t>a.“石河子大学医学院2020年全国优秀大学生暑期夏令营活动申请表”(附件1) 1份；
b.个人简历及个人陈述(关于个人学术背景、曾经做过的研究工作以及未来学习和研究的计划、目标等)1份；
c.教务部门盖章的本科阶段成绩单扫描件1份；
d.体现自身英语水平的证明的扫描件1份（包括但不限于国家英语四六级成绩、TOEFL成绩、雅思成绩）；
e.身份证复印件1份；
f.其他证明材料扫描件（如体现自身学术水平的代表性学术论文、出版物或原创性工作成果、获奖证书等）。</t>
  </si>
  <si>
    <t>营员按要求全程参加夏令营活动者均可获得石河子大学医学院颁发的“夏令营活动”结业证书。合格营员将有机会被我校提前面试录取为2021年研究生。</t>
  </si>
  <si>
    <t>具有良好的品德，在学期间学习成绩优秀，截止目前本科 总评成绩排名（班级或年级）前 30％，身体健康；</t>
  </si>
  <si>
    <t>给全国重点院校的优秀应届毕业生提供了解天津医科
大学基础医学研究中心学术、科研环境和日常学习生活环境的机
会，了解当前医学及生命科学领域的发展现状</t>
  </si>
  <si>
    <t>所有材料一经提交不再退还，邮寄材料前请再次确定是否有意向参加我校夏令营，请于2018年6月29日前寄至以下地址：天津市和平区气象台路22号天津医科大学基础医学研究中心</t>
  </si>
  <si>
    <t>2018 年 7 月 23-29 日</t>
  </si>
  <si>
    <t>1.申请人填写天津医科大学优秀大学生夏令营活动申请表
及个人信息汇总表.xls（本汇总表发邮箱：yjzx2@tmu.edu.cn）；
2.个人陈述（关于个人学术背景、曾经做过的研究工作以及
未来学习和研究的计划、目标等）；
3.本科阶段成绩单（截至目前），专业排名证明，需加盖教
务或学生部门公章；
 4.大学英语六级成绩单或其他英语水平证明（如近两年内
TOEFL 成绩或近三年内 GRE 成绩等）复印件；
 5.其他证明材料（如体现自身学术水平的代表性学术论文或
其他原创性工作成果复印件、获奖证书复印件等）。</t>
  </si>
  <si>
    <t>1.住宿：学校统一安排（不含本校以及本市学生）；
2.活动期间每人每日补助餐费 30 元（直接存入就餐卡中，
本校学生除外）；
3.报销本次往返硬座火车票（动车或高铁仅限二等座）费用；</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</si>
  <si>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此外，我校录取的学术学位推荐免试硕士研究生，在学期间表现优秀者，可优先申请硕博连读、公派出国等项目。相关说明参见天津医科大学研究生院的有关规定。</t>
  </si>
  <si>
    <t>具有良好的品德，在学期间学习成绩优秀，截止目前本科 总评成绩排名（班级或年级）前 31％，身体健康；</t>
  </si>
  <si>
    <t>通过国家英语六级考试，且成绩不低于 450 分；</t>
  </si>
  <si>
    <t>于2019年7月1日前（以邮戳为准）寄至以下地址：天津市和平区气象台路22号天津医科大学基础医学院97号信箱</t>
  </si>
  <si>
    <t>2019 年 7 月 15—18 日</t>
  </si>
  <si>
    <t>未提及</t>
  </si>
  <si>
    <t>1．申请人填写天津医科大学优秀大学生夏令营活动申请表.doc
及个人信息汇总表.xls（本汇总表发邮箱：ydjcyjs@163.com）；
2．个人陈述（关于个人学术背景、曾经做过的研究工作以及未
来学习和研究的计划、目标等）；
3．专家推荐信.doc2 封，即需要 2 位相关或相近专业副教授（含）
及以上职称的专家分别推荐，且密封并在封口骑缝处签字；
4．本科阶段成绩单（截至目前），专业排名证明，需加盖教务
或学生部门公章；
5．大学英语六级成绩单或其他英语水平证明（如近两年内 TOEFL
成绩或近三年内 GRE 成绩等）复印件；
6．其他证明材料（如体现自身学术水平的代表性学术论文或其
他原创性工作成果复印件、获奖证书复印件等）。</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</si>
  <si>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此外，我校录取的学术学位推荐免试硕士研究生，在学期间表现优秀者，可优先申请硕博连读、公派出国等项目。相关说明参见天津医科大学研究生院的有关文件。</t>
  </si>
  <si>
    <t>具有良好的品德，在学期间学习成绩优秀，截止目前本科总评成绩排名（班级或年级）前 30％，身体健康；</t>
  </si>
  <si>
    <t>今年夏令营采取线上视频形式，具体安排由各专业自行制定、组织、实施。</t>
  </si>
  <si>
    <t>7 月 15 日下午 5 点前发送至基础医学院研究生邮箱：ydjcyjs@163.com</t>
  </si>
  <si>
    <t> 2020 年 7 月 20—24 日</t>
  </si>
  <si>
    <t>1. 申请人填写天津医科大学优秀大学生暑期夏令营活动申请表.doc及个人信息汇总表.xls；
2. 个人陈述（关于个人学术背景、曾经做过的研究工作以及未来学习和研究的计划、目标等）；
3. 专家推荐信.doc2 封，即需要 2 位相关或相近专业副教授（含）及以上职称的专家分别推荐； 
4. 本科阶段成绩单（截至目前），专业排名证明，需加盖教务部门公章；
5. 大学英语六级成绩单或其他英语水平证明（如近两年内 TOEFL成绩或近三年内 GRE 成绩等）复印件；
6. 其他证明材料（如体现自身学术水平的代表性学术论文或其他原创性工作成果复印件、获奖证书复印件等）</t>
  </si>
  <si>
    <t>1.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体检和心理测试，审查合格后将不再参加复试其他环节，优先拟录取。
2.我校录取的学术学位推荐免试硕士研究生，在学期间表现优秀者，可优先申请硕博连读、公派出国等项目。相关说明参见天津医科大学研究生院的有关规定。</t>
  </si>
  <si>
    <t xml:space="preserve">具有良好的品德，在学期间学习成绩优秀，截止目前本科总评成绩排名（班级或年级）前 30％，身体健康； </t>
  </si>
  <si>
    <t xml:space="preserve">学校统一进行线上直播开营仪式。今年夏令营采取线上视频形式，具体安排由各专业自行制定、组织、实施。 </t>
  </si>
  <si>
    <t>6月28日下午5点前发送至基础医学院研究生邮箱：ydjcyjs@163.com</t>
  </si>
  <si>
    <t>2021年7月15—20日</t>
  </si>
  <si>
    <t>获得优秀营员的名额不得超过2021年硕士研究生各专业招生计划数。</t>
  </si>
  <si>
    <t>1、申请人填写天津医科大学优秀大学生暑期夏令营活动申请表.doc 及个人信息汇总表.xls；
2、个人陈述 PPT（关于个人学术背景、曾经做过的研究工作以及未 来学习和研究的计划、目标等）； 
3、专家推荐信.doc2封，即需要2位相关或相近专业副教授（含） 及以上职称的专家分别推荐； 
4、本科阶段成绩单（截至目前），专业排名证明，需加盖教务部门 公章； 
5、大学英语六级成绩单复印件或其它英语水平证明 TOEFL/GRE 等； 
6、其他证明材料（如体现自身学术水平的代表性学术论文或其他原 创性工作成果复印件、获奖证书复印件等）。</t>
  </si>
  <si>
    <t>1、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 本分数线（含总分、单科分数）标准后，需参加复试资格审查、体检和心理测试，审查合格后将不再参加复试其他环节，优先拟录取。
2、我校录取的学术学位推荐免试硕士研究生，在学期间表现优秀者，可优先申请硕博连读、公派出国等项目。相关说明参见天津医科大学研究生院的有关规定。</t>
  </si>
  <si>
    <t>具有良好的品德，在学期间学习成绩优秀，截止目前本科总评成绩排名（班 级或年级）前 30％，身体健康；</t>
  </si>
  <si>
    <t>时间 地点 活动内容
7 月 16 日
天津医科大学第二医院
教学办公室
夏令营学员报到（15：00 之前）
7 月 17 日上午 天津医科大学研究生院 开营仪式、参观校史
7 月 17 日下午 天津医科大学第二医院 参加研究生组会/各专业师生交流
7 月 18 日上午 天津医科大学第二医院 参观与交流
7 月 18 日下午 2:00-4:00
7 月 18 日下午 4:00
天津医科大学第二医院
各专业面试
办理毕营手续</t>
  </si>
  <si>
    <t>请于 2018 年 6 月 22 日前（以邮戳为准） 寄至以下地址：天津市河西区平江道 23 号天津医科大学第二医院，收件人：教 学办，邮编：300211。过</t>
  </si>
  <si>
    <t xml:space="preserve"> 2018 年 7 月 16-18 日</t>
  </si>
  <si>
    <t>1.申请人填写天津医科大学优秀大学生夏令营活动申请表.doc 及个人信息
汇总表.xls（本汇总表发邮箱：jaoxueban211@163.com）；
2.个人陈述（关于个人学术背景、曾经做过的研究工作以及未来学习和研究
的计划、目标等）；
3.专家推荐信.doc2 封，即需要 2 位相关或相近专业副教授（含）及以上职
称的专家分别推荐，且密封并在封口骑缝处签字；
4.本科阶段成绩单（截至目前），专业排名证明，需加盖教务或学生部门公
章；
5.大学英语六级成绩单或其他英语水平证明（如近两年内 TOEFL 成绩或近
三年内 GRE 成绩等）复印件；
6.其他证明材料（如体现自身学术水平的代表性学术论文或其他原创性工作
成果复印件、获奖证书复印件等）。</t>
  </si>
  <si>
    <t>1.免费提供住宿（天津地区高校学生不安排住宿）；
2.活动期间每人每日补助餐费 40 元（直接存入就餐卡中，本校学生除外）；
3.获得优秀营员资格者，入学报到后报销本次往返硬座火车票（动车或高铁
仅限二等座）费用。</t>
  </si>
  <si>
    <t>获得优秀营员者，如获得所在学校的研究生推荐免试资格，报考相同专业、 学位类型可优先拟录取为我校推荐免试硕士研究生；如未获得所在学校的研究生 推荐免试资格，但通过参加全国统考硕士研究生，报考相同专业、学位类型，考 试成绩达到我校当年该专业复试基本分数线（含总分、单科分数）标准后，需参 加复试资格审查和体检，审查和体检合格后将不再参加复试其他环节，优先拟录 取。 此外，我校录取的学术学位推荐免试硕士研究生，在学期间表现优秀者，可 优先申请硕博连读、公派出国等项目。相关说明参见天津医科大学研究生院的有关规定</t>
  </si>
  <si>
    <t>具有良好的品德，在学期间学习成绩优秀，截止目前本科总评成绩排名 （班级或年级）前 30％，身体健康</t>
  </si>
  <si>
    <t>通过国家英语六级考试，且成绩达到 500 分及以上；</t>
  </si>
  <si>
    <t>为了给全国重点院校的优秀应届毕业生提供了解天津医科大学第二医院学
术、科研环境和日常学习生活环境的机会，了解当前医学及生命科学领域的发展
现状</t>
  </si>
  <si>
    <t>2019 年 7 月 3 日前（以邮戳为准）寄 至以下地址：天津市河西区平江道 23 号天津医科大学第二医院，收件人：教学 办，邮编：300211。过期不再受理申请，请使用中国邮政的 EMS 方式或顺丰快递 邮寄，其它快递不予受理</t>
  </si>
  <si>
    <t>于 2019 年 7 月 15-17 日</t>
  </si>
  <si>
    <t>1．申请人填写天津医科大学优秀大学生夏令营活动申请表.doc 及个人信息
汇总表.xls（本汇总表发邮箱：jiaoxueban2019@126.com）；
2．个人陈述（关于个人学术背景、曾经做过的研究工作以及未来学习和研
究的计划、目标等）；
3．专家推荐信.doc2 封，即需要 2 位相关或相近专业副教授（含）及以上
职称的专家分别推荐，且密封并在封口骑缝处签字；
4．本科阶段成绩单（截至目前），专业排名证明，需加盖教务或学生部门
公章；
5．大学英语六级成绩单或其他英语水平证明（如近两年内 TOEFL 成绩或近
三年内 GRE 成绩等）复印件；
6．其他证明材料（如体现自身学术水平的代表性学术论文或其他原创性工
作成果复印件、获奖证书复印件等）</t>
  </si>
  <si>
    <t>1．免费提供住宿（天津地区高校学生不安排住宿）；
2．活动期间每人每日补助餐费 30 元（直接存入就餐卡中，本校学生除外）；
3．获得优秀营员资格者，入学报到后报销本次往返硬座火车票（动车或高
铁仅限二等座）费用。</t>
  </si>
  <si>
    <t>给全国重点院校的优秀应届毕业生提供了解天津医科大学第二医院学术、科研环境和日常学习生活环境的机会，了解当前医学及生命科学领域的发展现状。</t>
  </si>
  <si>
    <t>于 2020 年7月15日前（以邮戳为准）寄至以下地址：天津市河西区平江道 23 号天津医科大学第二医院，收件人：教学办，邮编：300211。</t>
  </si>
  <si>
    <t>2020 年 7 月 20-21 日</t>
  </si>
  <si>
    <t xml:space="preserve">1. 申请人填写天津医科大学优秀大学生夏令营活动申请表及个人信息汇总表（本汇总表发邮箱： jiaoxueban2019@126.com ）；
2. 个人陈述（关于个人学术背景、曾经做过的研究工作以及未来学习和研究的计划、目标等）；
3. 专家推荐信2封，即需要2位相关或相近专业副教授（含）及以上职称的专家分别推荐，且密封并在封口骑缝处签字；
4. 本科阶段成绩单（截至目前），专业排名证明，需加盖教务或学生部门公章；
5. 大学英语六级成绩单或其他英语水平证明（如近两年内TOEFL成绩或近三年内GRE成绩等）复印件；
6. 其他证明材料（如体现自身学术水平的代表性学术论文或其他原创性工作成果复印件、获奖证书复印件等）。
</t>
  </si>
  <si>
    <t>1. 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2. 我校录取的学术学位推荐免试硕士研究生，在学期间表现优秀者，可优先申请硕博连读、公派出国等项目。相关说明参见天津医科大学研究生院的有关规定。</t>
  </si>
  <si>
    <t>7月15日上午：天津医科大学开营仪式；7月15日下午：学院介绍、营员个人展示等；7月16日：各专业线上面试</t>
  </si>
  <si>
    <t>请于 2021 年 6 月 30 日前（以到津邮戳日 期为准）寄至以下地址：天津市河西区平江道 23 号天津医科大学第二医院，收 件人：教学办公室，邮编：300211。</t>
  </si>
  <si>
    <t>2021年7月15-16日</t>
  </si>
  <si>
    <t xml:space="preserve">1．申请人填写天津医科大学优秀大学生夏令营活动申请表.doc、个人信息汇总表.xls；  
2．个人陈述（关于个人学术背景、曾经做过的研究工作以及未来学习和研 究的计划、目标等）；
3．专家推荐信.doc2 封，即需要 2 位相关或相近专业副教授（含）及以上 职称的专家分别推荐，且密封并在封口骑缝处签字；  
4．本科阶段成绩单（截至目前），专业排名证明，需加盖教务或学生部门 公章；  
5．大学英语六级成绩单或其他英语水平证明（如近两年内 TOEFL 成绩或近 三年内 GRE 成绩等）复印件；  
6．其他证明材料（如体现自身学术水平的代表性学术论文或其他原创性工 作成果复印件、获奖证书复印件等）。
以上材料《天津医科大学优秀大学生暑期夏令营活动申请表》和《个人信息 汇总表》分别以.doc 文件和.xls 文件提交，其他材料电子版按顺序扫描合成为 一个.PDF 文件
</t>
  </si>
  <si>
    <t xml:space="preserve">1.获得优秀营员者，如获得所在学校的研究生推荐免试资格，报考相同专业、 学位类型可优先拟录取为我校推荐免试硕士研究生；如未获得所在学校的研究生 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 取。
2.我校录取的学术学位推荐免试硕士研究生，在学期间表现优秀者，可优先申请硕博连读、公派出国等项目。相关说明参见天津医科大学研究生院的有关规 定。 </t>
  </si>
  <si>
    <t>具有良好的品德，在校期间学习成绩优秀，截至目前本科 总评成绩排名（班级或年级）前 30%，身体健康；</t>
  </si>
  <si>
    <t>四、暑期夏令营主要活动安排（拟定）
日期 活动主题
7 月 13 日（周一） 报到（护理学院一楼会议室）
7 月 14 日（周二） 开营仪式及参观
师生交流及座谈
7 月 15 日（周三） 营员个人展示及面试
夏令营闭营
注：以上活动安排以夏令营报到时领取的具体议程安排为准</t>
  </si>
  <si>
    <t>请于 2018 年 6 月 22 日前（以邮戳为准）寄至以下地址：天津市和平区气 象台路 22 号天津医科大学护理学院办公室，邮编：300070。收 件人：许老师，联系电话：022-83336900。过期不再受理申请。</t>
  </si>
  <si>
    <t>2018年7月13至15日</t>
  </si>
  <si>
    <t>1、申请人填写天津医科大学优秀大学生夏令营活动申请表及
个人信息汇总表 .xls （个人信息 汇总表发邮箱
jingrui0921@163.com）；
2、个人陈述（关于个人学术背景、曾经做过的研究工作以及
未来学习和研究的计划、目标等）；
3、专家推荐信 2 封，即需要 2 位相关或相近专业具有高级职
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</si>
  <si>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1、免费提供住宿（天津地区高校学生不安排住宿）。
2、活动期间每人每日补助餐费 30 元（直接存入就餐卡中，
本校学生除外）。
3、获得优秀营员资格者，入学报到后报销本次往返硬座火
车票（动车或高铁仅限二等座）费用。</t>
  </si>
  <si>
    <t>暑期夏令营主要活动安排（拟定）
日期 活动主题
7 月 10 日（周三） 报到（护理学院一楼会议室）
7 月 11 日（周四）
开营仪式及参观
师生交流及座谈
7 月 12 日（周五）
营员个人展示及面试
夏令营闭营</t>
  </si>
  <si>
    <t>请于2019年 6 月 28 日前（以邮戳为准）寄至以下地址：天津市和平区气象台路 22 号天津医科大学护理学院办公室</t>
  </si>
  <si>
    <t>于 2019 年 7 月 10 至 12 日</t>
  </si>
  <si>
    <t>1、申请人填写天津医科大学优秀大学生夏令营活动申请表及
个人信息汇总表 .xls （个人信息 汇总表发邮箱
jingrui0921@163.com）；
2、个人陈述（关于个人学术背景、曾经做过的研究工作以及
未来学习和研究的计划、目标等）；
3、专家推荐信 2 封，即需要 2 位相关或相近专业具有高级职
称的专家分别推荐，且密封并在封口骑缝处签字；
4、本科阶段成绩单（截至目前），专业排名证明，需加盖教
务或学生部门公章；
6、大学英语六级成绩单或其他英语水平证明（如近两年内
TOEFL 成绩或近三年内</t>
  </si>
  <si>
    <t>四、暑期夏令营主要活动安排（拟定）
日期 活动主题
7 月 19 日上午（周日） 测试（视频软件测试）
7 月 20 日上午 开营仪式
7 月 20 日下午 学院介绍
护理实验室教学中心介绍
7 月 21 日全天 师生交流会、营员面试
7 月 22 日 夏令营闭营
注：以上活动安排以夏令营测试时领取的具体议程安排为准</t>
  </si>
  <si>
    <t>请于 2020 年 7 月 15 日前（以邮戳为准）寄至 以下地址：天津市和平区气象台路 22 号天津医科大学护理学院 办公室，邮编：300070。收件人：张华老师。过期不再受理申请。</t>
  </si>
  <si>
    <t>2020 年 7 月 19 至 21 日举 办</t>
  </si>
  <si>
    <t>1、申请人填写天津医科大学优秀大学生夏令营活动申请表及
个 人 信 息 汇 总 表 .xls （ 个 人 信 息 汇 总 表 发 邮 箱
snzhanghua@tmu.edu.cn）；
2、个人陈述（关于个人学术背景、曾经做过的研究工作以及
未来学习和研究的计划、目标等）；
3、专家推荐信 2 封，即需要 2 位相关或相近专业具有高级职
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</si>
  <si>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四、暑期夏令营主要活动安排（拟定）
7 月 14 日上午 测试（视频软件测试）
7 月 15 日上午 学校开营仪式
7 月 15 日下午 学院介绍，护理实验室教学中心介绍
7 月 16 日全天 师生交流会、营员面试
7 月 17 日 夏令营闭营
注：以上活动安排以夏令营测试时领取的具体议程安排为准</t>
  </si>
  <si>
    <t xml:space="preserve">请于2021年6月30日前（以邮戳为准）寄至 以下地址：天津市和平区气象台路 22 号天津医科大学护理学院 办公室，邮编：300070。收件人：张华老师。过期不再受理申请。 </t>
  </si>
  <si>
    <t>2021年7月15至17日</t>
  </si>
  <si>
    <t xml:space="preserve">1、申请人填写天津医科大学优秀大学生夏令营活动申请表及 个 人 信 息 汇 总 表 .xls （ 个 人 信 息 汇 总 表 发 邮 箱 snzhanghua@tmu.edu.cn）；
2、个人陈述（关于个人学术背景、曾经做过的研究工作以及 未来学习和研究的计划、目标等）； 
3、专家推荐信2封，即需要2位相关或相近专业具有高级职 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 </t>
  </si>
  <si>
    <t>1.获得优秀营员者，如获得所在学校的研究生推荐免试资格， 报考相同专业、学位类型可优先拟录取为我校推荐免试硕士研究 生；如未获得所在学校的研究生推荐免试资格，但通过参加全国 统考硕士研究生，报考相同专业、学位类型，考试成绩达到我校 同年该专业复试基本分数线（含总分、单科分数）标准后，需参 加复试资格审查、体检和心理测试，审查合格后将不再参加复试， 优先拟录取。 
2.我校录取的学术学位推荐免试硕士研究生，在学期间表现 优秀者，可优先申请硕博连读、公派出国等项目。相关说明参见 天津医科大学研究生院的有关规定</t>
  </si>
  <si>
    <t>具有良好的品德，在学期间学习成绩优秀，截止目前本科总评 成绩排名（班级或年级）前 30％，身体健康；</t>
  </si>
  <si>
    <t>日期 活动主题
7 月 16 日（周一）
14：30--17：00
报到、资格审查及参观
（口腔医学院四楼教学办公室）
7 月 16 日（周一）
晚
天津文化体验
7 月 17 日（周二）
上午
学校研究生院集体活动
7 月 17 日（周二）
14：30--17：00
师生交流座谈及临床技能考核</t>
  </si>
  <si>
    <t xml:space="preserve"> 2018 年 6 月 22 日前（以邮戳为准）</t>
  </si>
  <si>
    <t>7.16-7.17</t>
  </si>
  <si>
    <t>1、申请人填写天津医科大学优秀大学生夏令营活动申请表
及 个人信息汇总表 .xls （个人信息 汇总表发邮箱
kqoff@tmu.edu.cn）；
2、个人陈述（关于个人学术背景、曾经做过的研究工作以
及未来学习和研究的计划、目标等）；
3、专家推荐信 2 封，即需要 2 位相关或相近专业具有高级
职称的专家分别推荐，且密封并在封口骑缝处签字；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
或其他原创性工作成果复印件、获奖证书复印件等）。
以上材料按照顺序左侧装订，所有材料一经提交不再退还，
邮寄材料前请再次确定是否有意向参加我校夏令营，请于 2018
年 6 月 22 日前（以邮戳为准）寄至以下地址：天津市和平区气
象台路 12 号天津医科大学口腔医学院教学办公室，邮编：300070。
收件人：王老师，联系电话：022-83336935。过期不再受理申请。</t>
  </si>
  <si>
    <t>1、免费提供住宿（天津地区高校学生不安排住宿）。
2、活动期间每人每日补助餐费 30 元（直接存入就餐卡中，
本校学生除外）。
3、获得优秀营员资格者，入学报到后报销本次往返硬座火车票
（动车或高铁仅限二等座）费用。</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</si>
  <si>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同年该专业复试基本分数线（含总分、单科分数）标准后，需参加复试资格审查和体检，审查和体检合格后将不再参加复试，优先拟录取。此外，我校录取的学术学位推荐免试硕士研究生，在学期间表现优秀者，可优先申请硕博连读、公派出国等项目。相关说明参见天津医科大学研究生院的有关规定。</t>
  </si>
  <si>
    <t>日期 活动主题
7 月 15 日（周一）
14：30--17：00
报到、资格审查
（口腔医学院四楼教学办公室）
7 月 15 日（周一）
晚
天津文化体验
7 月 16 日（周二）
上午
学校研究生院集体活动
7 月 16 日（周二）
14：30--17：00
师生交流座谈及临床技能考核</t>
  </si>
  <si>
    <t>2019年 6 月 28 日前</t>
  </si>
  <si>
    <t>7.15-7.16</t>
  </si>
  <si>
    <t>1.申请人填写天津医科大学优秀大学生夏令营活动申请
表 .doc 及 个 人 信 息 汇 总 表 .xls （ 个 人 信 息 汇 总 表 发 邮 箱
kqoff@tmu.edu.cn）；
2.个人陈述（关于个人学术背景、曾经做过的研究工作以及
未来学习和研究的计划、目标等）；
3.专家推荐信 2 封，即需要 2 位相关或相近专业具有高级职
称的专家分别推荐，且密封并在封口骑缝处签字；
4.本科阶段成绩单（截至目前），专业排名证明，需加盖教务
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</si>
  <si>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日期 活动主题
7 月 20 日（周一）上午 学校统一开营仪式
7 月 20 日（周一）下午 学院介绍、专家讲座、师生交流
7 月 21 日（周二）上午
夏令营学生风采展示
（PPT 形式，3 分钟）
面试</t>
  </si>
  <si>
    <t>2020年 7 月 14 日前</t>
  </si>
  <si>
    <t>7.20-7.21</t>
  </si>
  <si>
    <t>1.申请人填写天津医科大学优秀大学生夏令营活动申请
表 .doc 及 个 人 信 息 汇 总 表 .xls （ 个 人 信 息 汇 总 表 发 邮 箱
kqoff@tmu.edu.cn）；
2.个人陈述（关于个人学术背景、曾经做过的研究工作以及
未来学习和研究的计划、目标等）；
3.专家推荐信 2 封，即需要 2 位相关或相近专业具有高级职
称的专家分别推荐，且密封并在封口骑缝处签字；
4.本科阶段成绩单（截至目前），专业排名证明，需加盖教务
或学生部门公章；
6.大学英语六级成绩单或其他英语水平证明</t>
  </si>
  <si>
    <t>1.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2.我校录取的学术学位推荐免试硕士研究生，在学期间表现优秀者，可优先申请硕博连读、公派出国等项目。相关说明参见天津医科大学研究生院的有关规定。</t>
  </si>
  <si>
    <t>日期 活动主题
7 月 15 日（周四）上午 学校统一开营仪式
7 月 15 日（周四）下午 学院介绍、专家讲座、师生交流
7 月 16 日（周五）上午 夏令营学生风采展示、（PPT 形式，3 分钟）、面试</t>
  </si>
  <si>
    <t>2021年 6 月 29 日前</t>
  </si>
  <si>
    <t>1.申请人填写天津医科大学优秀大学生暑期夏令营活动申请表.doc及
个人信息汇总表.xls（ 个人信息汇总表发邮箱kqoff@tmu.edu.cn）；
2.个人陈述（关于个人学术背景、曾经做过的研究工作以及未来学习
和研究的计划、目标等）；
3.专家推荐信2封，即需要2位相关或相近专业具有高级职称的专家分
别推荐，且密封并在封口骑缝处签字；
4.本科阶段成绩单（截至目前），专业排名证明，需加盖教务或学生
部门公章；
5.大学英语六级成绩单或其他英语水平证明（如近两年内TOEFL成绩
或近三年内GRE成绩等）复印件；
6. 其他证明材料（如体现自身学术水平的代表性学术论文或其他原
创性工作成果复印件、获奖证书复印件等）。</t>
  </si>
  <si>
    <t>1.获得优秀营员者，如获得所在学校的研究生推荐免试资格，报考相
同专业、学位类型可优先拟录取为我校推荐免试硕士研究生；如未获
得所在学校的研究生推荐免试资格，但通过参加全国统考硕士研究
生，报考相同专业、学位类型，考试成绩达到我校当年该专业复试基
本分数线（含总分、单科分数）标准后，需参加复试资格审查和体检，
审查和体检合格后将不再参加复试其他环节，优先拟录取。
2.我校录取的学术学位推荐免试硕士研究生，在学期间表现优秀者，
可优先申请硕博连读、公派出国等项目。相关说明参见天津医科大学
研究生院的有关规定。</t>
  </si>
  <si>
    <t>时间 内容
7月15日
报到（17:00 之前）,报到地点：南开医院附属楼二楼临床学
院办公室
7月16日上午 学校组织开营仪式
7月16日下午 医院总体介绍，参观院士展、研究所、技能中心
7月17日上午 导师见面会、夏令营学生风采展示（以PPT形式，每人5分钟）
7月17日下午 办理毕营手续</t>
  </si>
  <si>
    <t>2019年7月1日前</t>
  </si>
  <si>
    <t>于2019 年 7 月 15—17日</t>
  </si>
  <si>
    <t xml:space="preserve">1.申请人填写天津医科大学优秀大学生夏令营活动
申请表，doc及个人信息汇总表.xls，并将电子版发送
至邮箱：cuiwei913@126.com；
2.个人陈述（关于个人学术背景、曾经做过的研究
工作以及未来学习和研究的计划、目标等）；
3.专家推荐信.doc2 封，即需要 2 位相关或相近
专业副教授（含）及以上职称的专家分别推荐，且密封
并在封口骑缝处签字；
4.本科阶段成绩单（截至目前），专业排名证明，
需加盖务或学生部门公章；
5.大学英语六级成绩单或其他英语水平证明（如近
两年内TOEFL 成绩或近三年内 GRE 成绩等）复印件；
6.其他证明材料（如体现自身学术水平的代表性学
术论文或其他原创性工作成果复印件、获奖证书复印件
等）。
</t>
  </si>
  <si>
    <t>1.免费提供住宿（不含本校及本市学生）；
2.活动期间每人每日补助餐费30元（直接存入就餐
卡中，本校学生除外）。
3.获得优秀营员资格者，入学报到后报销本次往返
硬座火车票（动车或高铁仅限二等座）费用。</t>
  </si>
  <si>
    <t xml:space="preserve">获得优秀营员者，如获得所在学校的研究生推荐免试资格， 报考相同专业、学位类型可优先拟录取为我院推荐免试硕士研究生；如未获得所在学校的研究生推荐免试资格，但通过参加全国统考硕士研究生，报考相同专业、学位类型，考试成绩达到我院同年该专业复试基本分数线（含总分、单科分数）标准后，需参加试资格审查、体检和心理测试，审查合格后将不再参加复试其他环节，优先拟录取。
此外，我院录取的学术学位推荐免试硕士研究生，在学期间表现优秀者，可优先申请硕博连读、公派出国等项目。相关说明参见天津市医科大学研究生院的有关规定。
</t>
  </si>
  <si>
    <t>时间 内容
7月20日上午 学校组织开营仪式
7月21日
医院总体介绍，导师见面会，夏令营学生风采展示（以PPT形
式，每人5分钟），面试
7月22日上午 夏令营闭营</t>
  </si>
  <si>
    <t>收截止日期：2020年7月15日</t>
  </si>
  <si>
    <t>2020 年 7 月 20—22日</t>
  </si>
  <si>
    <t>1.申请人填写天津医科大学优秀大学生夏令营活动
申请表.doc及个人信息汇总表.xls，并将电子版发送至邮
箱：cuiwei913@126.com；
2.个人陈述（关于个人学术背景、曾经做过的研究
工作以及未来学习和研究的计划、目标等）；
3.专家推荐信.doc2 封，即需要 2 位相关或相近专
业副教授（含）及以上职称的专家分别推荐，且密封并
在封口骑缝处签字；
4.本科阶段成绩单（截至目前），专业排名证明，需
加盖务或学生部门公章；
5.大学英语六级成绩单或其他英语水平证明（如近
两年内TOEFL 成绩或近三年内 GRE 成绩等）复印件；
6.其他证明材料（如体现自身学术水平的代表性学
术论文或其他原创性工作成果复印件、获奖证书复印件
等）。</t>
  </si>
  <si>
    <t>获得优秀营员者，如获得所在学校的研究生推荐免试资格， 报考相同专业、学位类型可优先拟录取为我院推荐免试硕士研究生；如未获得所在学校的研究生推荐免试资格，但通过参加全国统考硕士研究生，报考相同专业、学位类型，考试成绩达到我院同年该专业复试基本分数线（含总分、单科分数）标准后，需参加复试资格审查、体检和心理测试，审查合格后将不再参加复试其他环节，优先拟录取。
此外，我院录取的学术学位推荐免试硕士研究生，在学期间表现优秀者，可优先申请硕博连读、公派出国等项目。详情见天津医科大学研究生院相关规定。</t>
  </si>
  <si>
    <t>时间 内容
7月15日上午 学校组织开营仪式
7月16日     医院总体介绍，导师见面会，夏令营学生风采展示（以PPT形
式，每人5分钟），面试
7月17日上午 夏令营闭营</t>
  </si>
  <si>
    <t>截止日期：2021年6月30日，过期不再受理申请。</t>
  </si>
  <si>
    <t>2020 年 7 月15 —17日</t>
  </si>
  <si>
    <t>1.申请人填写天津医科大学优秀大学生暑期夏令营 活动申请表.doc及个人信息汇总表.xls，并将电子版发 送至邮箱：cuiwei913@126.com； 
2.个人陈述（关于个人学术背景、曾经做过的研究 工作以及未来学习和研究的计划、目标等）；
3.专家推荐信.doc2封，即需要2位相关或相近专业 副教授（含）及以上职称的专家分别推荐，且密封并在 封口骑缝处签字； 
4.本科阶段成绩单（截至目前），专业排名证明， 需加盖务或学生部门公章；
5.大学英语六级成绩单或其他英语水平证明（如近 两年内TOEFL成绩或近三年内GRE成绩等）复印件； 
6.其他证明材料（如体现自身学术水平的代表性学 术论文或其他原创性工作成果复印件、获奖证书复印件 等）。</t>
  </si>
  <si>
    <t>1.获得优秀营员者，如获得所在学校的研究生推荐 免试资格， 报考相同专业、学位类型可优先拟录取为 我院推荐免试硕士研究生；如未获得所在学校的研究生 推荐免试资格，但通过参加全国统考硕士研究生，报考 相同专业、学位类型，考试成绩达到我校同年该专业复 试基本分数线（含总分、单科分数）标准后，需参加复 试资格审查、体检和心理测试，审查合格后将不再参加 时间 内容 7月15日上午 学校组织开营仪式 7月16日 医院总体介绍，导师见面会，夏令营学生风采展示（以PPT形 式，每人5分钟），面试 7月17日上午 夏令营闭营 复试其他环节，优先拟录取。 
2.我院录取的学术学位推荐免试硕士研究生，在学 期间表现优秀者，可优先申请硕博连读、公派出国等项 目。相关说明参见天津市医科大学研究生院的有关规定；</t>
  </si>
  <si>
    <t>在学期间学习成绩优秀，一流大学建设高校学生学习成绩 排名须在班级或专业前 30%；一流学科建设高校学生学习成绩排 名须在班级或专业前 10%；本校学生在班级或专业前 30%</t>
  </si>
  <si>
    <t>.通过国家英语六级考试，且成绩达到 500 分及以上。</t>
  </si>
  <si>
    <t>时间 内容 地点 备注
7 月 16 日下午
4:00 之前 报到 天津医科大学肿瘤医院 C
座 4 楼科教处教室
带身份证、学生
证、意外保险证明
复印件、父母签字
的知情同意书
7 月 17 日上午
8:30 开营仪式 天津医科大学
7 月 17 日下午
2:00 专业见习
临床专业：观摩手术、出
门诊、参加科室教学查房、
病例讨论等活动
基础专业：实验室参观、
基本实验操作等活动
自带白大衣
7 月 18 日上午
8:00
学院介绍、职业生
涯规划讲座、师生
交流、优秀研究生
学长交流等
天津医科大学肿瘤医院
7 月 18 日下午
2:00 面试考核毕营 天津医科大学肿瘤医院 自带个人简历 5-7份</t>
  </si>
  <si>
    <t>2018 年 6 月 20 日前</t>
  </si>
  <si>
    <t>2018 年 7 月 16 -18 日</t>
  </si>
  <si>
    <t>1.申请人填写天津医科大学优秀大学生夏令营活动申请
表.doc 及个人信息汇总表.xls（本汇总表电子版于 2018 年 6 月
20 日前发到邮箱：zlyyxly@163.com）；
2.个人陈述（关于个人专业背景、科研或临床经历、兴趣特
长、未来学习计划等）；
 3.专家推荐信.doc2 封，即需要 2 位相关或相近专业副教授
（含）及以上职称的专家分别推荐，且密封并在封口骑缝处签字；
 4.本科阶段成绩单（截至目前），专业排名证明，需加盖教
务或学生部门公章；
 5.大学英语六级成绩单；
 6.其他证明材料（如体现自身学术水平的代表性学术论文或
其他原创性工作成果复印件、获奖证书复印件等）。</t>
  </si>
  <si>
    <t>活动期间免费提供住宿（天津地区高校学生不安排住宿），并提供职工食堂自助餐</t>
  </si>
  <si>
    <t>1.如获得所在学校的研究生推荐免试资格，并报考我院相同专业、 学位类型硕士研究生，可优先拟录取为我校推荐免试硕士研究生，入学后医院将提供奖学金（学术学位研究生 4000 元；专业学位研究生 5000 元）。
2.如未获得所在学校的研究生推荐免试资格，但通过参加全国统考硕士研究生，报考相同专业、学位类型，考试成绩达到我校当年该专业复试基本分数线（含总分、单科分数）标准后，复试资格审查和体检合格后将不再参加复试其他环节，优先拟录取，入学后医院将提供奖学金（学术学位研究生 2000 元；专业学位研究生 2500 元）。</t>
  </si>
  <si>
    <t>在学期间学习成绩优秀，在学期间平均成绩在 85 分以上，无不及格科目。选报基础专业的同学需为具有推荐免试研究生资格的全国重点高校 2020 年应届本科毕业生，截止目前本科总评成绩排名（班级或年级）前 30％。选报临床专业的同学需满足一下三个条件之一：（1）一流大学 2020 年应届生，截止目前本科总评成绩排名（班级或年级）前 30%；（2）一流学科建设高校或省部共建高校 2020 年应届毕业生，截止目前本科总评成绩排名（班级或年级）前 10%；（3）本校 2020 年应届生，截止目前本科总评成绩排名（班级或年级）前 30%</t>
  </si>
  <si>
    <t>时间 内容 地点 备注
7 月 15 日下午
4:00 之前
报到
天津医科大学肿瘤医院
C 座 4 楼科教处教室
带身份证、学生证、《天
津医科大学优秀大学
生暑期夏令营活动申
请表》原件
7 月 16 日上午
8:30 开营仪式 天津医科大学
7 月 16 日下午
2:00 专业见习
临床专业：观摩手术、
出门诊、参加科室教学
查房、病例讨论等活动
基础专业：实验室参观、
基本实验操作等活动
自带白大衣
7 月 17 日上午
8:00
学院介绍、职业生
涯规划讲座、师生
交流、优秀研究生
学长交流等
天津医科大学肿瘤医院
7 月 17 日下午
2:00 面试考核毕营 天津医科大学肿瘤医院 自带个人简历 5-7 份</t>
  </si>
  <si>
    <t>7.15-7.18</t>
  </si>
  <si>
    <t>申 请 人 登 录 医 院 网 址
（http://www.tjmuch.com/kyjx/yjsjy/index.shtml）或扫描后
方二维码进行网上报名。
个人材料请按照以下顺序扫描合成一个 PDF 文件上传，文件
不超过 5M。
1. 本人签字、带照片、单位盖章的《天津医科大学优秀
大学生暑期夏令营活动申请表》
2. 加盖教务部门公章的成绩单
3. 英语成绩单或证明（如四级证书、六级证书、托福、
雅思、GRE 等证书）
4. 专家推荐信扫描件（需要 2 位相关或相近专业副教授
（含）及以上职称的专家推荐，且加盖专家单位公章）
5. 荣誉与奖励证书（限 5 项）
6. 发表文章（文章首页，并标出作者）
7. 专利：专利申请书/授权书扫描件
8. 社会实践获奖证书
（备注：1-4 为必须提供项，5-8 为可选项）</t>
  </si>
  <si>
    <t>1.如获得所在学校的研究生推荐免试资格，并报考我院相同专业、 学位类型硕士研究生，可优先拟录取为我校推荐免试硕士研究生，入学后医院将提供奖学金（学术学位研究生 4000 元；专业学位研究生 5000 元）。
2.如未获得所在学校的研究生推荐免试资格，但通过参加全国统考硕士研究生，报考相同专业、学位类型，考试成绩达到我校当年该专业复试基本分数线（含总分、单科分数）标准后，复试资格审查和体检合格后将不再参加复试其他环节，优先拟录取，入学后医院将提供奖学金（学术学位研究生 2000元；专业学位研究生2500元）</t>
  </si>
  <si>
    <t>在学期间学习成绩优秀，在学期间平均成绩在 85 分以上，无不及格科目。选报基础专业的同学需为具有推荐免试研究生资格的全国重点高校 2020 年应届本科毕业生，截止目前本科总评成绩排名（班级或年级）前 30％。选报临床专业的同学需满足一下三个条件之一：（1）一流大学 2020 年应届生，截止目前本科总评成绩排名（班级或年级）前 30%；（2）一流学科建设高校或省部共建高校 2020 年应届毕业生，截止目前本科总评成绩排名（班级或年级）前 10%；（3）本校 2021 年应届生，截止目前本科总评成绩排名（班级或年级）前 30%</t>
  </si>
  <si>
    <t>7 月 20 日上午 开营仪式 天津医科大学
7 月 20 日下午 介绍医院概况 天津医科大学肿瘤医院
7 月 21 日 面试考核 天津医科大学肿瘤医院</t>
  </si>
  <si>
    <t>2020 年 7 月 15 日。</t>
  </si>
  <si>
    <t>报名网址：https://www.wjx.cn/jq/84326484.aspx
报名时间：报名截止时间为 2020 年 7 月 15 日。
报名材料：个人材料请按照以下顺序扫描合成一个 PDF 文件
上传，文件不超过 5M。
1. 本人签字、带照片、单位盖章的《天津医科大学优秀
大学生暑期夏令营活动申请表》
2. 加盖教务部门公章的成绩单
3. 英语成绩单或证明（如四级证书、六级证书、托福、
雅思、GRE 等证书）
4. 专家推荐信扫描件（需要 2 位相关或相近专业副教授
（含）及以上职称的专家推荐，且加盖专家单位公章）
5. 荣誉与奖励证书（限 5 项）
6. 发表文章（文章首页，并标出作者）
7. 专利：专利申请书/授权书扫描件
8. 社会实践获奖证书
（备注：1-4 为必须提供项，5-8 为可选项）</t>
  </si>
  <si>
    <t xml:space="preserve">2.在学期间学习成绩优秀，在学期间平均成绩在 85 分以上， 无不及格科目。 选报基础专业的同学需为具有推荐免试研究生资格的全国 重点高校 2022 年应届本科毕业生，截止目前本科总评成绩排名 （班级或年级）前30％。 选报临床专业的同学需满足以下三个条件之一：
（1）大学 2022 年应届生，截止目前本科总评成绩排名（班级或年级）前30%；
（2）学科建设高校或省部共建高校 2022 年应届毕 业生，截止目前本科总评成绩排名（班级或年级）前 10%；
（3） 本校2022年应届生，截止目前本科总评成绩排名（班级或年级） 前 30%。 </t>
  </si>
  <si>
    <t>7 月 15 日上午 开营仪式 天津医科大学
7 月 15 日下午 介绍医院概况 天津医科大学肿瘤医院
7 月 16 日 面试考核 天津医科大学肿瘤医院</t>
  </si>
  <si>
    <t>2021 年 6 月 30 日。</t>
  </si>
  <si>
    <t xml:space="preserve">报名网址：https://ks.wjx.top/vj/O5uXvVy.aspx 报名时间：报名截止时间为2021年6月30日。 报名材料：个人材料请按照以下顺序扫描合成一个 PDF 文件上传，文件不超过5M。 
1.本人签字、带照片、单位盖章的《天津医科大学优秀大学生暑期夏令营活动申请表》 
2.加盖教务部门公章的成绩单 
3.英语成绩单或证明（如四级证书、六级证书、托福、 雅思、GRE 等证书） 
4.专家推荐信扫描件（需要 2 位相关或相近专业副教授 （含）及以上职称的专家推荐，且加盖专家单位公章） 
5.荣誉与奖励证书（限 5 项） 
6.发表文章（文章首页，并标出作者）
7.专利：专利申请书/授权书扫描件 
8.社会实践获奖证书 （备注：1-4 为必须提供项，5-8 为可选项） </t>
  </si>
  <si>
    <t>总医院</t>
  </si>
  <si>
    <t>.英语水平良好，达到英语六级水平（成绩≥500 分）</t>
  </si>
  <si>
    <t>时间 内容 地点
7 月 16 日 报到(17 时前) 总医院教学处（行政教
学综合楼 505 室）
7 月 17 日上午 学校统一组织开营仪式 天津医科大学校本部
7 月 17 日下午 医院总体介绍、参观考察、
专家讲座、学长经验分享
天津医科大学总医院
7 月 17 日下午-18 日
导师见面会
7 月 18 日-19 日 办理毕营手续</t>
  </si>
  <si>
    <t>于 2018 年 6 月 20 日前</t>
  </si>
  <si>
    <t>7.16-7.19</t>
  </si>
  <si>
    <t>1.申请人于 6 月 15 日前下载并填写天津医科大学优秀大学
生夏令营活动申请表.doc 及个人信息汇总表.xls，并将电子版
发送至邮箱：zyyjiaoxuechu@163.com；
2.个人陈述（关于个人学术背景、曾经做过的研究工作以及
未来学习和研究的计划、目标等）；
3.专家推荐信.doc2 封，即需要 2 位相关或相近专业副教授
（含）及以上职称的专家分别推荐，且密封并在封口骑缝处签字；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</si>
  <si>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2.免费提供住宿（天津地区高校学生不安排住宿）；
3.活动期间每人每日补助餐费 30 元（直接存入就餐卡中，
本校学生除外）；
4.获得优秀营员资格者，入学报到后报销本次往返硬座火车
票（动车或高铁仅限二等座）费用。录</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</si>
  <si>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此外，我校录取的学术学位推荐免试硕士研究生，在学期间表现优秀者，可优先申请硕博连读、公派出国等项目。相关说明参见天津医科大学研究生院的有关规定。</t>
  </si>
  <si>
    <t>时间 内容 地点 7 月 15 日 报到(17 时前) 7 月 16 日上午 学校统一组织开营仪式 天津医科大学校本部 7 月 16 日下午 医院总体介绍、参观考察、 专家讲座、学长经验分享 天津医科大学总医院 7 月 16 日下午 -18 日 导师见面会 7 月 18 日-19 日 办理毕营手续</t>
  </si>
  <si>
    <t>2019 年 7 月 1 日前</t>
  </si>
  <si>
    <t>7.15-7.19</t>
  </si>
  <si>
    <t>1.申请人下载并填写天津医科大学优秀大学生夏令营活动
申请表.doc 及个人信息汇总表.xls，并于 6 月 25 日前将电子版
发送至邮箱：zyyjiaoxuechu@126.com；
2.个人陈述（关于个人学术背景、曾经做过的研究工作以及
未来学习和研究的计划、目标等）；
3.专家推荐信.doc2 封，即需要 2 位相关或相近专业副教授
（含）及以上职称的专家分别推荐，且密封并在封口骑缝处签字；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</si>
  <si>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1.免费提供住宿（天津地区高校学生不安排住宿）；
2.活动期间每人每日补助餐费 30 元（直接存入就餐卡中，
本校学生除外）；
3.获得优秀营员资格者，入学报到后报销本次往返硬座火车
票（动车或高铁仅限二等座）费用。录</t>
  </si>
  <si>
    <t>时间 内容 地点
7 月 20 日上午 学校夏令营开营仪式 线上视频
7 月 21 日上午 总医院夏令营开营仪式 线上视频
7 月 21-24 日 导师见面会 各学科(专业)线上视频</t>
  </si>
  <si>
    <t>7 月 10 日前</t>
  </si>
  <si>
    <t>7.20-7.24</t>
  </si>
  <si>
    <t>1.申请人下载并填写天津医科大学优秀大学生暑期夏令营
活动申请表.doc 及个人信息汇总表.xls；
2.个人陈述（关于个人学术背景、曾经做过的研究工作以及
未来学习和研究的计划、目标等）；
3.专家推荐信.doc2 封，即需要 2 位相关或相近专业副教授
（含）及以上职称的专家分别推荐，且密封并在封口骑缝处签字；
4.本科阶段成绩单（截至目前），专业排名证明，需加盖教
务或学生部门公章；
5.大学英语六级成绩单或其他英语水平证明（如近两年内
TOEFL 成绩或近三年内 GRE 成绩等）复印件；
6.其他证明材料（如体现自身学术水平的代表性学术论文或
其他原创性工作成果复印件、获奖证书复印件等）。</t>
  </si>
  <si>
    <t>时间 内容 地点
7 月 15 日上午 学校夏令营开营仪式 线上视频
7 月 15 日上午 总医院夏令营开营仪式 线上视频
7 月 16-20 日 导师见面会 各学科(专业)线上视频</t>
  </si>
  <si>
    <t xml:space="preserve"> 6 月 27 日前</t>
  </si>
  <si>
    <t>7.15-7.20</t>
  </si>
  <si>
    <t>1. 申请人下载并填写天津医科大学优秀大学生暑期夏令营活动申请表.doc 及个人信息汇总表.xls；
2. 个人陈述（关于个人学术背景、曾经做过的研究工作以及未来学习和研究的计划、目标等）；
3. 专家推荐信.doc2 封，即需要 2 位相关或相近专业副教授
（含）及以上职称的专家分别推荐，且密封并在封口骑缝处签字； 4.本科阶段成绩单（截至目前），专业排名证明，需加盖教
务或学生部门公章；
5. 大学英语六级成绩单或其他英语水平证明（如近两年内TOEFL 成绩或近三年内 GRE 成绩等）复印件；
6. 其他证明材料（如体现自身学术水平的代表性学术论文或其他原创性工作成果复印件、获奖证书复印件等）。</t>
  </si>
  <si>
    <t>1. 获得优秀营员者，如获得所在学校的研究生推荐免试资格， 报考相同专业、学位类型可优先拟录取为我校推荐免试硕士研究 生；如未获得所在学校的研究生推荐免试资格，但通过参加全国 统考硕士研究生，报考相同专业、学位类型，考试成绩达到我校 当年该专业复试基本分数线（含总分、单科分数）标准后，需参 加复试资格审查、体检和心理测试，审查合格后将不再参加复试 其他环节，优先拟录取。
2. 我校录取的学术学位推荐免试硕士研究生，在学期间表现优秀者，可优先申请硕博连读、公派出国等项目。相关说明参见天津医科大学研究生院的有关规定。</t>
  </si>
  <si>
    <t>成绩优秀，</t>
  </si>
  <si>
    <t>2018年7月17-20日</t>
  </si>
  <si>
    <t>加盖教务处公章的本科学习成绩单；获奖证书或科研成果证明；国家英语四、六级考试成绩或其他英语水平的证明</t>
  </si>
  <si>
    <t>届时为营员提供在宁的食宿以及往返火车票费用（往返总费用最高限额500元）</t>
  </si>
  <si>
    <t>7月12日前</t>
  </si>
  <si>
    <t>2019年8月6-9日</t>
  </si>
  <si>
    <t>加盖教务处公章的本科学习成绩单；获奖证书或科研成果证明；国家英语四、六级考试成绩或其他英语水平的证明）扫描电子版</t>
  </si>
  <si>
    <t>报名截止日期为7月20日</t>
  </si>
  <si>
    <t>7月底前</t>
  </si>
  <si>
    <t>填写夏令营报名申请表，并在申请表内上传相关证明材料电子版（加盖教务处公章的本科学习成绩单；
获奖证书或科研成果证明；
国家英语四、六级考试成绩或其他英语水平的证明等</t>
  </si>
  <si>
    <t>1. 对参加夏令营表现优异的同学发放优秀营员证书，凭优秀营员证书在同等条件下可优先录取为北京协和医学院研究生。2. 凡在面试中表现优秀，获得夏令营优秀营员证书，且获得所在高校推免资格的同学，可提前进入协和2021年接收外校推免生的预录取名单，最终录取的推免生均可获得新生奖学金（推免硕士8000元，推免直博10000元），并可以参评肇育奖学金</t>
  </si>
  <si>
    <t>扫描网站提供的二维码进行线上报名</t>
  </si>
  <si>
    <t>医学检验学院</t>
  </si>
  <si>
    <t>具有良好的品德，在学期间学习成绩优秀，截止目前本
科总评成绩排名（班级或年级）前 30％，身体健康；</t>
  </si>
  <si>
    <t>时间 内容
7 月 16 日（截止下午 3
点）
报到（地点：天津市河西区广东路
一号 6 号楼 402）
7 月 16 日 15:00 至
16:30
学院介绍、导师见面会、参观学院
科研实验室
7 月 16 日 17:00 自由活动
7 月 17 日 上午 天津医科大学夏令营开营仪式
7 月 17 日 下午 夏令营学生风采展示（以 ppt 形
式，每人 3 分钟）
7 月 17 日 下午 结束后，看实际情况，可办理离校
手续</t>
  </si>
  <si>
    <t>2018年 6 月 22 日前</t>
  </si>
  <si>
    <t>2018 年 7 月 16 -17 日</t>
  </si>
  <si>
    <t>1．申请人填写天津医科大学优秀大学生夏令营活动申请
表.doc（附件 2）及 2018 年度夏令营学生情况汇总表.xls(附件
3)（本汇总表发至邮箱：jianyanjiaoxue123@163.com）；
2．个人风采展示 ppt（包括自我介绍、曾经做过的研究工
作以及未来学习和研究的计划、目标等）（ppt 发邮箱：
jianyanjiaoxue123@163.com）；
3．专家推荐信.doc（附件 4）2 封，即需要 2 位相关或相近
专业副教授（含）及以上职称的专家分别推荐，且密封并在封口
骑缝处签字；
4．本科阶段成绩单（截至目前），专业排名证明，需加盖
教务或学生部门公章；
5．大学英语六级成绩单或其他英语水平证明（如近两年内
TOEFL 成绩或近三年内 GRE 成绩等）复印件；
6．其他证明材料（如体现自身学术水平的代表性学术论文
或其他原创性工作成果复印件、获奖证书复印件等）。</t>
  </si>
  <si>
    <t>1、免费提供住宿（学校统一安排）（天津地区高校学生不
安排住宿）；
2、活动期间每人每日补助餐费 30 元（直接存入就餐卡中，
本校学生除外）；
3、获得优秀营员资格者，入学报到后报销本次往返硬座火
车票（动车或高铁仅限二等座）费用。</t>
  </si>
  <si>
    <t>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
需参加复试资格审查和体检，审查和体检合格后将不再参加复试其他环节，优先拟录取。此外，我校录取的学术学位推荐免试硕士研究生，在学期间表现优秀者，可优先申请硕博连读、公派出国等项目。相关说明参见天津医科大学研究生院的有关规定。</t>
  </si>
  <si>
    <t>具有良好的品德，在学期间学习成绩优秀，截止目前本
科总评成绩排名（班级或年级）前 40％，身体健康；</t>
  </si>
  <si>
    <t>通过国家英语六级考试，且成绩达到 450 分及以上；</t>
  </si>
  <si>
    <t>时间 内容
7 月 15 日（截止下午 2
点）
报到（地点：天津市河西区广东路
一号 6 号楼 402）
7 月 15 日 14:00 至
17:30
学院介绍、导师见面会、参观学院
科研实验室
7 月 16 日 上午 天津医科大学夏令营开营仪式
7 月 16 日 下午 夏令营学生风采展示（以 ppt 形
式，每人 5 分钟）
7 月 16 日 下午 结束后，结合实际情况，可办理离
校手续</t>
  </si>
  <si>
    <t>2019年 6 月 26 日前</t>
  </si>
  <si>
    <t>2019 年 7 月 15-16 日</t>
  </si>
  <si>
    <t>1．申请人填写天津医科大学优秀大学生夏令营活动申请
表.doc（附件 2）及 2019 年度夏令营学生情况汇总表.xls(附件
3)（本汇总表发至邮箱：jianyanjiaoxue123@163.com）；
2．个人风采展示 ppt（包括自我介绍、曾经做过的研究工
作以及未来学习和研究的计划、目标等）（ppt 发邮箱：
jianyanjiaoxue123@163.com）；
3．专家推荐信.doc（附件 4）2 封，即需要 2 位相关或相近
专业副教授（含）及以上职称的专家分别推荐，且密封并在封口
骑缝处签字；
4．本科阶段成绩单（截至目前），专业排名证明，需加盖
教务或学生部门公章；
5．大学英语六级成绩单或其他英语水平证明（如近两年内
TOEFL 成绩或近三年内 GRE 成绩等）复印件；
6．其他证明材料（如体现自身学术水平的代表性学术论文
或其他原创性工作成果复印件、获奖证书复印件等）。</t>
  </si>
  <si>
    <t>1．免费提供住宿（学校统一安排）（天津地区高校学生不
安排住宿）；
2．活动期间每人每日补助餐费 30 元（直接存入就餐卡中，
本校学生除外）；
3．获得优秀营员资格者，入学报到后报销本次往返硬座火
车票（动车或高铁仅限二等座）费用。</t>
  </si>
  <si>
    <t>学校于 2020 年 7 月 20 日上午统一进行开营仪式。 学院具体活动另行通知</t>
  </si>
  <si>
    <t>邮件截止接受时间为 2020 年 7 月 15 日</t>
  </si>
  <si>
    <t>2020
年 7 月 20-24 日</t>
  </si>
  <si>
    <t>1．申请人填写天津医科大学优秀大学生夏令营活动申请
表.doc 及 2020 年度夏令营学生情况汇总表.xls（本汇总表发至
邮箱：tyyxjyxy@163.com）；
2．个人风采展示 ppt（包括自我介绍、曾经做过的研究工
作以及未来学习和研究的计划、目标等）（ppt 发邮箱：
tyyxjyxy@163.com）；
3．专家推荐信.doc 2 封，即需要 2 位相关或相近专业副教
授（含）及以上职称的专家分别推荐；
4．本科阶段成绩单（截至目前），专业排名证明，需加盖
教务或学生部门公章；
5．大学英语六级成绩单或其他英语水平证明（如近两年内
TOEFL 成绩或近三年内 GRE 成绩等）复印件；
6．其他证明材料（如体现自身学术水平的代表性学术论文
或其他原创性工作成果复印件、获奖证书复印件等）。</t>
  </si>
  <si>
    <t>学院另行通知。</t>
  </si>
  <si>
    <t xml:space="preserve">邮件截止接受时间为2021年6月30 日。 </t>
  </si>
  <si>
    <t>1．申请人填写天津医科大学优秀大学生暑期夏令营活动申 请表及2021年度夏令营学生情况汇总表.xls（本汇总表发至邮 箱：tyyxjyxy@163.com）；
2．个人风采展示ppt（包括自我介绍、曾经做过的研究工作以及未来学习和研究的计划、目标等）（ppt 发邮箱： tyyxjyxy@163.com）； 
3．专家推荐信2封，即需要2位相关或相近专业副教授（含）及以上职称的专家分别推荐；
4．本科阶段成绩单（截至目前），专业排名证明，需加盖教务或学生部门公章；
5．大学英语六级成绩单或其他英语水平证明（如近两年内TOEFL 成绩或近三年内GRE 成绩等）复印件；
6．其他证明材料（如体现自身学术水平的代表性学术论文或其他原创性工作成果复印件、获奖证书复印件等）。 以上材料务必原件（佐证材料盖章，手签专家推荐信），扫描成一份 pdf 文件。</t>
  </si>
  <si>
    <t xml:space="preserve">获得优秀营员者，如获得所在学校的研究生推荐免试资格， 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需参加复试资格审查和体检，审查和体检合格后将不再参加复试其他环节，优先拟录取。
我校录取的学术学位推荐免试硕士研究生， 在学期间表现优秀者，可优先申请硕博连读、公派出国等项目。 相关说明参见天津医科大学研究生院的有关规定。 </t>
  </si>
  <si>
    <t>截止目前本科总评成绩排名（班级或年级）前 30％</t>
  </si>
  <si>
    <t>通过国家英语六级考试，且成绩达到 500 分及以上。</t>
  </si>
  <si>
    <t>2018 年 6 月 22 日前（以邮戳为准）</t>
  </si>
  <si>
    <t>7 月 16 -18 日</t>
  </si>
  <si>
    <t>1．申请人填写天津医科大学优秀大学生夏令营活动申请 表.doc 及个人信息汇总表.xls（本汇总表发邮箱： gongweiyjs@tmu.edu.cn）； 2．个人陈述（关于个人学术背景、曾经做过的研究工作以 及未来学习和研究的计划、目标等）； 3．本科阶段成绩单（截至目前），专业排名证明，需加盖 教务或学生部门公章； 4．大学英语六级成绩单或其他英语水平证明（如近两年内 TOEFL 成绩或近三年内 GRE 成绩等）复印件； 5．其他证明材料（如体现自身学术水平的代表性学术论文 或其他原创性工作成果复印件、获奖证书复印件等）。 以上材料按照顺序左侧装订，所有材料一经提交不再退还， 邮寄材料前请再次确定是否有意向参加我院夏令营，请于 2018 年 6 月 22 日前（以邮戳为准）寄至以下地址： 天津市和平区气象台路 22 号天津医科大学公共卫生学院， 收件人：研究生管理办公室，邮编：300070。 请使用中国邮政的 EMS 方式邮寄，其它快递不予受理，过期 不再受理申请。</t>
  </si>
  <si>
    <t>1.免费提供住宿（天津地区高校学生不安排住宿）；2.活动期间每人每日补助餐费 30 元（直接存入就餐卡中， 本校学生除外）；3.获得优秀营员资格者，入学报到后报销本次往返硬座火 车票（动车或高铁仅限二等座）费用。</t>
  </si>
  <si>
    <t>1. 获得优秀营员者，如获得所在学校的研究生推荐免试资 格，报考相同专业、学位类型可优先拟录取为我校推荐免试硕士 研究生；如未获得所在学校的研究生推荐免试资格，但通过参加 全国统考硕士研究生，报考相同专业、学位类型，考试成绩达到 我校当年该专业复试基本分数线（含总分、单科分数）标准后， 需参加复试资格审查和体检，审查和体检合格后将不再参加复试 其他环节，优先拟录取。 此外，我院录取的学术学位推荐免试硕士研究生，在学期间 表现优秀者，可优先申请硕博连读、公派出国等项目。相关说明 参见天津医科大学研究生院的有关规定。</t>
  </si>
  <si>
    <t>2019年 6 月 30 日前</t>
  </si>
  <si>
    <t>7 月 10-13 日</t>
  </si>
  <si>
    <t>20 人</t>
  </si>
  <si>
    <t xml:space="preserve">1．申请人填写天津医科大学优秀大学生夏令营活动申请
表.doc 及个人信息汇总表.xls（本汇总表发邮箱：
gongweiyjs@tmu.edu.cn）；
2．个人陈述（关于个人学术背景、曾经做过的研究工作以
及未来学习和研究的计划、目标等）；
3．本科阶段成绩单（截至目前），专业排名证明，需加盖
教务或学生部门公章；
4．大学英语六级成绩单或其他英语水平证明（如近两年内
TOEFL 成绩或近三年内 GRE 成绩等）复印件；
5．其他证明材料（如体现自身学术水平的代表性学术论文
或其他原创性工作成果复印件、获奖证书复印件等）。
以上材料按照顺序左侧装订，所有材料一经提交不再退还，
邮寄材料前请再次确定是否有意向参加我院夏令营，请于 2019
年 6 月 30 日前（以邮戳为准）寄至以下地址：
天津市和平区气象台路 22 号天津医科大学公共卫生学院，
收件人：研究生管理办公室，邮编：300070。
请使用中国邮政的 EMS 方式邮寄，其它快递不予受理，过期
不再受理申请。 </t>
  </si>
  <si>
    <t>1. 获得优秀营员者，如获得所在学校的研究生推荐免试资 格，报考相同专业、学位类型可优先拟录取为我校推荐免试硕士 研究生；如未获得所在学校的研究生推荐免试资格，但通过参加 全国统考硕士研究生，报考相同专业、学位类型，考试成绩达到 我校当年该专业复试基本分数线（含总分、单科分数）标准后， 需参加复试资格审查和体检，审查和体检合格后将不再参加复试 其他环节，优先拟录取。 此外，我院录取的学术学位推荐免试硕士研究生，在学期间 表现优秀者，可优先申请硕博连读、公派出国等项目。相关说明 参见天津医科大学研究生院的有关规定</t>
  </si>
  <si>
    <t>线上视频面试</t>
  </si>
  <si>
    <t>7 月 20 日 学校统一组织开营仪式。 7 月 21 日-7 月 24 日 各专业组织复试。</t>
  </si>
  <si>
    <t>7 月 14 日之前</t>
  </si>
  <si>
    <t>7 月 20 日至 7 月 24 日</t>
  </si>
  <si>
    <t>请将以下材料的电子版，打包压缩，发送至gongweiyjs@tmu.edu.cn，
以“姓名+申报专业”命名。
1．申请人填写 天津医科大学优秀大学生夏令营活动申请表
（word 文档和签字版 PDF 文档）、个人信息汇总表（excel 文档）、
专家推荐信(PDF 文档)；
2．个人陈述（关于个人学术背景、曾经做过的研究工作以
及未来学习和研究的计划、目标等）（word 文档）；
3．本科阶段成绩单（截至目前），专业排名证明，需加盖
教务或学生部门公章(PDF 文档)；
4．大学英语六级成绩单或其他英语水平证明（如近两年内
TOEFL 成绩或近三年内 GRE 成绩等）复印件(PDF 文档)；
5．其他证明材料（如体现自身学术水平的代表性学术论文
或其他原创性工作成果复印件、获奖证书复印件等）(PDF 文档)。
以上电子版材料，请于 7 月 14 日之前发送至邮箱，以邮箱
接收时间为准，过期不再受理申请。</t>
  </si>
  <si>
    <t xml:space="preserve">在学期间学习成绩优秀，截止目前本科总评成绩排名（班级或年级）前30％，身体健康； </t>
  </si>
  <si>
    <t xml:space="preserve">夏令营将按专业进行分组面试，由于疫情原因，均采用线上视频面试的形式。7月15日学校统一组织线上开营仪式。 7月16日-7月17日各专业组织复试。 </t>
  </si>
  <si>
    <t xml:space="preserve">请于6月30日之前发送至邮箱，以邮箱接收时间为准，过期不再受理申请。 </t>
  </si>
  <si>
    <t>2021年7月15日至7月17日</t>
  </si>
  <si>
    <t xml:space="preserve">1．申请人填写天津医科大学优秀大学生夏令营活动申请表 （word文档和签字版 PDF文档）、个人信息汇总表（excel文档）、 专家推荐信(PDF 文档)；
2．个人陈述（关于个人学术背景、曾经做过的研究工作以 及未来学习和研究的计划、目标等）（word 文档）；
3．本科阶段成绩单（截至目前），专业排名证明，需加盖 教务或学生部门公章(PDF 文档)；
4．大学英语六级成绩单或其他英语水平证明（如近两年内TOEFL 成绩或近三年内GRE 成绩等）复印件(PDF文档)；
5．其他证明材料（如体现自身学术水平的代表性学术论文或其他原创性工作成果复印件、获奖证书复印件等）(PDF文档)。 以上电子版材料，请于6月30日之前发送至邮箱，以邮箱接收时间为准，过期不再受理申请。 </t>
  </si>
  <si>
    <t xml:space="preserve">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后， 需参加复试资格审查和体检，审查和体检合格后将不再参加复试 其他环节，优先拟录取。 
2.我院录取的学术学位推荐免试硕士研究生，在学期间表现优秀者，可优先申请硕博连读、公派出国等项目。相关说明参见 天津医科大学研究生院的有关规定。 </t>
  </si>
  <si>
    <t>国家英语六级成绩达到 500 分及以上</t>
  </si>
  <si>
    <t>开营仪式、学术讲座、参观实验室</t>
  </si>
  <si>
    <t>2018 年 6 月 22 日之前</t>
  </si>
  <si>
    <t>7 月 16 日-18 日</t>
  </si>
  <si>
    <t>1．申请人填写《天津医科大学优秀大学生暑期夏令营活动 申请表》（见附件）； 2．个人简介（着重介绍个人学术背景、曾经做过的研究工 作以及未来学习和研究的计划、目标等）； 3．本科阶段成绩单（截至目前），专业排名证明，需加盖教 务或学生部门公章； 4．大学英语六级成绩单复印件； 5．其他证明材料（如体现自身学术水平的代表性学术论文 或其他原创性工作成果复印件、获奖证书复印件等）。 以上材料电子版打包发至邮箱：BME-PG@tmu.edu.cn，邮件 标题为“夏令营报名-姓名-本科学校”；纸质版材料按照顺序左 侧装订，邮寄至以下地址：天津市和平区气象台路 22 号天津医 科大学生物医学工程与技术学院 306 办公室，收件人：颜老师， 邮编：300070，联系电话：022-83336939。请务必使用顺丰快递 邮寄，其它快递不予受理。电子版材料及纸质版材料接收截止日 期为：2018 年 6 月 22 日，过期将不再受理申请。</t>
  </si>
  <si>
    <t>1．本次夏令营不收取任何费用，学校提供营员的餐食费用（30 元/人/天,不含本校生），并为外地营员提供在夏令营期间的住宿（本校及天津地区高校除外）；</t>
  </si>
  <si>
    <t>获得优秀营员者，可获得以下奖励： 1.如获得所在学校的研究生推荐免试资格，报考相同专业、 学位类型，可优先拟录取为我校推荐免试硕士研究生，入学后学 院一次性奖励 2000 元奖学金。 2.如未获得所在学校的研究生推荐免试资格，但通过参加全 国统考硕士研究生，报考相同专业、学位类型，考试成绩达到我 校当年该专业复试基本分数线（含总分、单科分数）标准后，复 试资格审查和体检合格后将不再参加复试其他环节，优先拟录取， 入学后学院一次性奖励 1000 元奖学金； 3.学院报销本次夏令营活动往返硬座火车票（动车或高铁仅 限二等座）费用。 此外，我院录取的推荐免试硕士研究生，在学期间表现优秀者，可优先申请硕博连读、公派出国等项目。相关说明参见天津医科大学研究生院的有关规定。</t>
  </si>
  <si>
    <t>7月1日之前</t>
  </si>
  <si>
    <t>7 月 15 日-17 日</t>
  </si>
  <si>
    <t>1．申请人填写《天津医科大学优秀大学生暑期夏令营活动
申请表》（见附件）；
2．个人简介（着重介绍个人学术背景、曾经做过的研究工
作以及未来学习和研究的计划、目标等）；
3．本科阶段成绩单（截至目前），专业排名证明，需加盖教
务或学生部门公章；
4．大学英语六级成绩单复印件；
5．其他证明材料（如体现自身学术水平的代表性学术论文
或其他原创性工作成果复印件、获奖证书复印件等）。
以上材料电子版打包发至邮箱：BME-PG@tmu.edu.cn，邮件
标题为“2019 夏令营报名-姓名-本科学校”
；纸质版材料按照顺
序左侧装订，邮寄至以下地址：天津市和平区气象台路 22 号天
津医科大学生物医学工程与技术学院 306 办公室，收件人：颜老
师，邮编：300070，联系电话：022-83336939。请务必使用顺丰
快递邮寄，其它快递不予受理。电子版材料及纸质版材料接收截
止日期为：2019 年 7 月 1 日，过期将不再受理申请。</t>
  </si>
  <si>
    <t>获得优秀营员者，可获得以下奖励：1.如获得所在学校的研究生推荐免试资格，报考相同专业、学位类型，可优先拟录取为我校推荐免试硕士研究生，入学后学院一次性奖励 2000 元奖学金。2.如未获得所在学校的研究生推荐免试资格，但通过参加全国统考硕士研究生，报考相同专业、学位类型，考试成绩达到我校当年该专业复试基本分数线（含总分、单科分数）标准后，复试资格审查、体检和心理测试合格后将不再参加复试其他环节，优先拟录取，入学后学院一次性奖励 1000 元奖学金。3.学院报销本次夏令营活动往返硬座火车票（动车或高铁仅限二等座）费用。此外，我院录取的推荐免试硕士研究生，在学期间表现优秀者，可优先申请硕博连读、公派出国等项目。相关说明参见天津医科大学研究生院的有关规定。</t>
  </si>
  <si>
    <t>线上视频方式（zoom 会议）</t>
  </si>
  <si>
    <t>学校开营仪式，学院组织面试，学院学术讲座（学院导师专题学术讲座、学术交
流）</t>
  </si>
  <si>
    <t>7月15日之前</t>
  </si>
  <si>
    <t>7月20日-7月21日</t>
  </si>
  <si>
    <t xml:space="preserve"> 10 人</t>
  </si>
  <si>
    <t>1．申请人填写《天津医科大学优秀大学生暑期夏令营活动 申请表》（见附件）； 2．个人简介（着重介绍个人学术背景、曾经做过的研究工 作以及未来学习和研究的计划、目标等）； 3．本科阶段成绩单（截至目前），专业排名证明，需加盖教 务或学生部门公章； 4．大学英语六级成绩单复印件； 5．其他证明材料（如体现自身学术水平的代表性学术论文 或其他原创性工作成果复印件、获奖证书复印件等）； 6.个人汇总表。 以上材料电子版打包发至邮箱：yanfeiaggie@126.com，邮 件标题为“2020 夏令营报名-姓名-本科学校”。电子版材料接收 截止日期为：2020 年 7 月 15 日，过期将不再受理申请。</t>
  </si>
  <si>
    <t>线上视频方式（腾讯会议）</t>
  </si>
  <si>
    <t>1.  申请人填写《天津医科大学优秀大学生暑期夏令营活动申请表》；
2．个人简介（着重介绍个人学术背景、曾经做过的研究工 作以及未来学习和研究的计划、目标等）； 
3．本科阶段成绩单（截至目前），专业排名证明，需加盖教务或学生部门公章； 
4．大学英语六级成绩单复印件； 
5．其他证明材料（如体现自身学术水平的代表性学术论文或其他原创性工作成果复印件、获奖证书复印件等）；
6.个人汇总表。 以上材料电子版打包发至邮箱：yanfeiaggie@126.com，邮件标题为“2021夏令营报名-姓名-本科学校”。</t>
  </si>
  <si>
    <t>1.获得优秀营员者，可获得以下奖励： 
如获得所在学校的研究生推荐免试资格，报考相同专业、 学位类型，可优先拟录取为我校推荐免试硕士研究生。 
2.如未获得所在学校的研究生推荐免试资格，但通过参加全 国统考硕士研究生，报考相同专业、学位类型，考试成绩达到我 校当年该专业复试基本分数线（含总分、单科分数）标准后，复 试资格审查、体检和心理测试合格后将不再参加复试其他环节， 优先拟录取。 此外，我院录取的推荐免试硕士研究生，在学期间表现优秀 者，可优先申请硕博连读、公派出国等项目。相关说明参见天津 医科大学研究生院的有关规定。</t>
  </si>
  <si>
    <t>学校开营仪式，学院组织面试，学院学术讲座（学院导师专题学术讲座、学术交流）</t>
  </si>
  <si>
    <t>1.申请人填写《天津医科大学优秀大学生暑期夏令营活动申 请表》（见附件）； 2.个人简介（着重介绍个人学术背景、曾经做过的研究工作 以及未来学习和研究的计划、目标等）； 3.本科阶段成绩单（截至目前），专业排名证明，需加盖教 务或学生部门公章； 4.大学英语六级成绩单复印件； 5.其他证明材料（如体现自身学术水平的代表性学术论文或 其他原创性工作成果复印件、获奖证书复印件等）。 以上材料电子版打包发至邮箱：snzl2007@126.com。签字 或盖章的纸质文件请上传 PDF 格式化的扫描件，并将原件于报 道日交给科教科管理人员。电子版材料接收截止日期为：2018 年 6 月 22 日，过期将不再受理申请</t>
  </si>
  <si>
    <t>获得优秀营员者，如获得所在学校的研究生推荐免试资格， 报考相同专业、学位类型可优先拟录取为我校推荐免试硕士研究 生；如未获得所在学校的研究生推荐免试资格，但通过参加全国 统考硕士研究生，报考相同专业、学位类型，考试成绩达到我校 当年该专业复试基本分数线（含总分、单科分数）标准后，需参 加复试资格审查和体检，审查和体检合格后将不再参加复试其他环节，优先拟录取。</t>
  </si>
  <si>
    <t>本科总评成绩排名（班级或年级）前 30％</t>
  </si>
  <si>
    <t>2020 年 7 月 9 日-15 日</t>
  </si>
  <si>
    <t>7月20日-7月24日</t>
  </si>
  <si>
    <t>1．申请人填写《天津医科大学优秀大学生暑期夏令营活动
申请表》（见附件）；
2．个人简介（着重介绍个人学术背景、曾经做过的研究工
作以及未来学习和研究的计划、目标等）；
3．本科阶段成绩单（截至目前），专业排名证明，需加盖教
务或学生部门公章；
4．大学英语六级成绩单复印件；
5．其他证明材料（如体现自身学术水平的代表性学术论文
或其他原创性工作成果复印件、获奖证书复印件等）。
以上材料电子版打包发至邮箱：dxbkjk@126.com，邮件标题
为“夏令营报名-姓名-本科学校”；电子版材料接收截止日期为：
2020 年 7 月 15 日，过期将不再受理申请。</t>
  </si>
  <si>
    <t>学校组织开营仪式、夏令营学院线上面试</t>
  </si>
  <si>
    <t>2021年6月30日前</t>
  </si>
  <si>
    <t>7月15日-7月20日</t>
  </si>
  <si>
    <t>1．申请人填写《天津医科大学优秀大学生暑期夏令营活动申请表》（见附件）；
2．个人简介（着重介绍个人学术背景、曾经做过的研究工作以及未来学习和研究的计划、目标等）； 
3．本科阶段成绩单（截至目前），专业排名证明，需加盖教务或学生部门公章； 
4．大学英语六级成绩单复印件；
5．其他证明材料（如体现自身学术水平的代表性学术论文 或其他原创性工作成果复印件、获奖证书复印件等）。</t>
  </si>
  <si>
    <t xml:space="preserve">获得优秀营员者，如获得所在学校的研究生推荐免试资格， 报考相同专业、学位类型可优先拟录取为我校推荐免试硕士研究 生；如未获得所在学校的研究生推荐免试资格，但通过参加全国统考硕士研究生，报考相同专业、学位类型，考试成绩达到我校当年该专业复试基本分数线（含总分、单科分数）标准后，需参加复试资格审查、体检和心理测试，学校各项审核均合格后将不再参加复试其他环节，优先拟录取。 </t>
  </si>
  <si>
    <t>光华口腔医学院</t>
  </si>
  <si>
    <t>英语达到国家大学英语六级水平（425分以上）</t>
  </si>
  <si>
    <t>专题班会、实践拓展课程、开营典礼、学术讲座、推免生面试、广府文化体验</t>
  </si>
  <si>
    <t>7月29日-8月2日</t>
  </si>
  <si>
    <t>请按顺序提交以下材料（所有材料请合并为同一PDF格式文件，文件命名为“高校+姓名”，如华中科技大学-张明）：
1.《第八届中山大学光华口腔医学院优秀大学生夏令营申请表》（请到光华口腔医学院网站下载并打印、签字，扫描PDF版）；
2.提交学业阶段成绩单（教务部门盖章，扫描PDF版）；
3.国家大学英语六级考试成绩或TOEFL等体现自身英语水平的证明材料（扫描PDF版）；
4.相关获奖情况证明材料（扫描PDF版）；</t>
  </si>
  <si>
    <t>活动期间，学员保险费、食宿（广州市高校学生不提供住宿）及异地高校学生往返交通费（火车票硬座标准）等均由光华口腔医学院提供</t>
  </si>
  <si>
    <t>8月3日-8月4日</t>
  </si>
  <si>
    <t>请按顺序提交以下材料（所有材料请合并为同一PDF格式文件，文件命名为“高校+姓名”，如华中科技大学-张明）：
1.《第九届中山大学光华口腔医学院优秀大学生夏令营申请表》（请到光华口腔医学院网站下载并打印、签字，扫描PDF版）；
2.提交学业阶段成绩单（教务部门盖章，扫描PDF版）；
3.国家大学英语六级考试成绩或TOEFL等体现自身英语水平的证明材料（扫描PDF版）；
4.相关获奖情况证明材料（扫描PDF版）；
另请填写夏令营报名问卷：https://www.wjx.top/jq/41271589.aspx</t>
  </si>
  <si>
    <t>活动期间，学员保险费、食宿（广州市高校学生不提供住宿）及异地高校学生往返交通费（火车票硬座标准）等均由光华口腔医学院提供。</t>
  </si>
  <si>
    <t>包括名师讲学、营员展示与师生互动以及优秀营员评选等</t>
  </si>
  <si>
    <t>7月20日之前</t>
  </si>
  <si>
    <t>请按顺序提交以下材料（所有材料请合并为同一PDF格式文件，文件命名为“高校+姓名”，如华中科技大学-张明）：
1.《2020年中山大学光华口腔医学院优秀大学生夏令营申请表》（请到光华口腔医学院网站下载并打印、签字，扫描PDF版）；
2. 个人简历；
3.提交学业阶段成绩单（教务部门盖章，扫描PDF版）；
4.国家大学英语六级考试成绩或TOEFL等体现自身英语水平的证明材料（扫描PDF版）；
5.相关获奖情况、科研成果证明材料（扫描PDF版）
补充说明：因疫情原因可以提交未盖章的本科成绩单和排名证明，但需要在相关材料空白处抄写以下承诺并签名：“本人保证提供的信息和材料真实有效；如有弄虚作假、信息错误，后果由申请者自行负责。”
另请填写夏令营报名问卷：https://www.wjx.cn/jq/84318568.aspx</t>
  </si>
  <si>
    <t>本次夏令营活动将通过营员展示对营员进行综合考察，被评选为优秀营员的同学，获得所在学校推荐免试研究生资格，若报读中山大学2021年推荐免试研究生，将优先进入推免生名单。</t>
  </si>
  <si>
    <t>原则上CET6≥500分</t>
  </si>
  <si>
    <t>学术讲座、专题讨论、参观访问、教授座谈、学长交流和文艺表演等</t>
  </si>
  <si>
    <t>7月4日之前</t>
  </si>
  <si>
    <t>7月25日—7月27日</t>
  </si>
  <si>
    <t>1、《复旦大学优秀大学生夏令营活动申请表》1份，复旦大学研究生招生网上报名后在线打印并签名;
2、在读证明、本科阶段成绩单和专业排名证明（均须由教务部门盖章〉各1份;
3、个人陈述1份（注明为何选择本医院和专业);
4、具有副高以上职称专家推荐信⒉封（申请直博生须出具正高职称专家推荐信);
5、其他证明材料复印件（如发表的学术论文、获奖或资格证书、国家英语四、六级等各类英语考试成绩单）各1份;
6、申请中山医院、儿科医院的学生请提供个人生活照一张，个人兴趣爱好代表作若千（可制作单张A4纸简历一份)。
建议使用抽杆透明文件夹整理上述材料，并按照申请表、推荐信、成绩单、奖状复印件、各类证书、其他材料的顺序进行排列。如有较厚的论文及出版物可附在后面。</t>
  </si>
  <si>
    <t>提供食宿（上海高校学生只提供用餐），最终录取，凭火车票报销动车二等座或硬座部分，否则不予报销</t>
  </si>
  <si>
    <t>外校学生在校期间成绩排名10%以内，本校学生达到推荐免试资格要求</t>
  </si>
  <si>
    <t>CET4≥550或CET6≥520</t>
  </si>
  <si>
    <t xml:space="preserve">  </t>
  </si>
  <si>
    <t>8月4日—8月7日</t>
  </si>
  <si>
    <t>7月2日之前</t>
  </si>
  <si>
    <t>8月2日—8月5日</t>
  </si>
  <si>
    <t>卫生管理学院</t>
  </si>
  <si>
    <t>本科阶段总成绩排名在该校同年级本专业前15％之内（985、211、双一流院校和部委省共建高校可排名在30%以内）在校学习期间无不良记录；</t>
  </si>
  <si>
    <t>英语水平良好，达到国家六级通过或相当水平，科研潜力突出者可适当放宽。</t>
  </si>
  <si>
    <t>开营仪式、参观人体科学馆、校史馆、学科交流、导师交流、学科面试、市内参观</t>
  </si>
  <si>
    <t>7月5日之前</t>
  </si>
  <si>
    <t>7月15日－17日</t>
  </si>
  <si>
    <t>（一）南方医科大学2019年全国优秀大学生夏令营申请表
（二）个人简历1份；
（三）本科阶段成绩单及同年级总成绩排名表（由教务部门或院系盖章）；
（四）英语水平证明；
（五）本科阶段获奖及论文发表证明；
（六）其他重要获奖证明或材料。</t>
  </si>
  <si>
    <t>为营员提供夏令营期间免费食宿（本校及广州市内学生不提供住宿）及报销异地学校学生往返硬座火车票费用（含硬卧、高铁二等票，单程不超500元）。</t>
  </si>
  <si>
    <t>1.获得预录取通知书并之后取得所在学校“推免”资格的优秀营员，可直接接收为南方医科大学公共管理学2020级“推免硕士研究生”。为营员提供夏令营期间免费食宿（本校及广州市内学生不提供住宿）及报销异地学校学生往返硬座火车票费用（含硬卧、高铁二等票，单程不超500元）。
2.通过夏令营并最终确认录取的学生将享受南方医科大学“推免生奖学金”奖励2万元。</t>
  </si>
  <si>
    <t>本科阶段总成绩排名在该校同年级本专业前15％之内（985、211、双一流院校和部委省共建高校可排名在30%以内）在校学习期间无不良记录。</t>
  </si>
  <si>
    <t>开营仪式、专家交流、学科面试</t>
  </si>
  <si>
    <t>7月31日之前</t>
  </si>
  <si>
    <t>（一）南方医科大学2020年全国优秀大学生夏令营申请表
（二）个人简历1份；
（三）本科阶段成绩单及同年级总成绩排名表（由教务部门或院系盖章）；
（四）英语水平证明；
（五）本科阶段获奖及论文发表证明；
（六）其他重要获奖证明或材料；
（七）加盖有效注册印章的在校学生证原件；
（八）个人自我简介（以视频方式录制简单自我介绍，需包括姓名、就读院校、个人情况介绍，时间在3分钟以内，视频格式为MP4或AVI）</t>
  </si>
  <si>
    <t>（一）获得预录取通知书并之后取得所在学校“推免”资格的优秀营员，可直接接收为南方医科大学公共管理学2021级“推免硕士研究生”。  （二）通过夏令营并最终确认推免录取的同学将享受南方医科大学“推免生奖学金”奖励2万元。</t>
  </si>
  <si>
    <t>开营仪式、专家交流、线上学科面试、宣布优秀营员</t>
  </si>
  <si>
    <t>即日起至7月11日24:00</t>
  </si>
  <si>
    <t>（一）个人简历1份；
  （二）本科阶段成绩单及同年级总成绩排名表（由教务部门或院系盖章）；
  （三）英语水平证明；
  （四）本科阶段获奖及论文发表证明；
  （五）其他重要获奖证明或材料；
  （六）加盖有效注册印章的在校学生证原件。</t>
  </si>
  <si>
    <t>（一）获得优秀营员称号并取得所在学校“推免”资格的优秀营员，可直接接收为南方医科大学公共管理学2022级“推免硕士研究生”。
 （二）通过夏令营并最终确认推免录取的同学将享受南方医科大学“推免生奖学金”奖励2万元。</t>
  </si>
  <si>
    <t>基础医学与临床药学学院</t>
  </si>
  <si>
    <t>本科期间学习成绩优异，来自于“双一流”建设高校的学生截至目前总评成绩在本专业排名前20%；普通类高校的学生截至目前总评成绩在本专业排名前3%，或预计可获得所在高校免试推荐资格的学生。</t>
  </si>
  <si>
    <t>具有良好的英语水平，CET-6成绩合格（≥425分）</t>
  </si>
  <si>
    <t>学科面试、导师交流</t>
  </si>
  <si>
    <t>6月30日之前</t>
  </si>
  <si>
    <t>7月12-14日</t>
  </si>
  <si>
    <t>1、系统申请：（1）申请人须登录“中国药科大学优秀大学生研究生报考服务系统”（http://yzas.cpu.edu.cn）先注册，注册时须填写个人真实有效信息。（2）登录后根据要求填写相关信息，每人只可填报一个申请志愿，不可兼报。（3）申请信息填写完毕并确认无误后，点击“确认并提交”，提交后信息不可更改。
2、我校“全国优秀大学生夏令营（推免生预报名）”系统须上传的材料：
（1）近期正面免冠彩色证件照片，电子版JPG格式，150×200像素，大小100K以内；
（2）本科阶段历年成绩单（须加盖教务处公章，PDF格式）；
（3）本科阶段综合成绩排名证明（含申请人所在专业同年级人数、本科三年的综合成绩总评名次、排名比例等内容，并加盖学校教务部门公章）。
（4）外语水平证明，如CET-6成绩、雅思、托福、专业英语等；
（5）有关获奖证书和学术科研成果，如发表论文、出版物或其他原创性工作。</t>
  </si>
  <si>
    <t>1、本次活动中非本校营员往返南京的交通费用（高铁二等座或普通硬座或普通硬卧，按照学生票标准，实报实销）、参营期间的住宿伙食费用由我校承担，因学校须提前预定酒店等，所以请同学准确提供是否参营等信息，便于提前做好安排。
2、我校将为入选营员统一购买在中国药科大学活动期间的意外保险。</t>
  </si>
  <si>
    <t>各学院将根据预选拔综合考核结果评定“优秀营员”。具有“优秀营员”资格的学生若获得所在学校推荐免试研究生资格，征得拟报考导师同意后优先拟录取为我校2020年硕士研究生，无需再参加我校推免生复试。“优秀营员”资格仅限在其所参加考核的二级学科内录取时才有效。</t>
  </si>
  <si>
    <t>本科期间学习成绩优异，来自于“双一流”建设高校的学生截至目前总评成绩在本专业排名前25%；普通类高校的学生截至目前总评成绩在本专业排名前5%；或预计可获得所在高校免试推荐资格的学生。</t>
  </si>
  <si>
    <t>具有良好的英语水平，CET-6成绩合格（≥425分）等。</t>
  </si>
  <si>
    <t>收到入围参营的申请人加入学院指定的钉钉群，参加学院、学科组织的线上夏令营活动，包括学院、专业介绍宣讲，与课题组导师交流等活动，并接收优秀营员选拨考核。考核形式为线上（钉钉视频）面试，营员需准备3分钟以内的PPT自我介绍。</t>
  </si>
  <si>
    <t>7月17日之前</t>
  </si>
  <si>
    <t>7月21日至23日</t>
  </si>
  <si>
    <t>夏令营不收取任何费用。</t>
  </si>
  <si>
    <t>在充分考察的基础上，凡全程参加学院暑期夏令营，且学科组考核被评为优秀营员的学生，若获得所在学校推荐免试研究生资格，同等条件下征得拟报考导师同意后优先拟录取为我校2021年硕士研究生，无需再参加我校推免生复试。“优秀营员”资格仅限在其所参加考核的同一学院同一个二级学科内录取时有效。</t>
  </si>
  <si>
    <t>具有良好的英语水平，CET-6成绩合格（≥425分）等。
其中申报直博生的营员，CET-6成绩≥500分；或托福（TOEFL）成绩≥90分；或雅思（IELTS）成绩≥7；或以第一作者（排位第一）在SCI期刊（不含扩展版）上发表过一篇专业学术论文。</t>
  </si>
  <si>
    <t>5月17日9：00至6月10日17：00</t>
  </si>
  <si>
    <t>2021年6月17日—21日</t>
  </si>
  <si>
    <t>不超过80人</t>
  </si>
  <si>
    <t>（1）近期正面免冠彩色证件照片，电子版JPG格式，150×200像素，大小100K以内；
（2）本科阶段历年成绩单（须加盖学校教务部门公章）；
（3）本科阶段综合成绩排名证明（含申请人所在专业同年级人数、本科三年的综合成绩总评名次、排名比例等内容，并加盖学校教务部门公章）；
（4）外语水平证明，如CET-6成绩、雅思、托福、专业英语等；
（5）有关获奖证书和学术科研成果，如发表论文、出版物或其他原创性工作。
（6）个人简介，包括本人专业背景、实习经历和/或研究经历、个人特长等。
（7）申请直博生的营员还应提供至少2份《专家推荐书》，由所报考学科专业领域内的正高级教授（或相当专业技术职称的专家）撰写的书面推荐意见（模板在系统中“推荐人信息维护”模块生成下载）。</t>
  </si>
  <si>
    <t>在充分考察的基础上，凡全程参加学院暑期夏令营，且学科组考核被评为优秀营员的学生，若获得所在学校推荐免试研究生资格，同等条件下征得拟报考导师同意后优先拟录取为我校2022年硕士研究生（含直博生），无需再参加我校推免生复试。“优秀营员”资格仅限在其所参加考核的同一学院同一学科专业内录取时有效。</t>
  </si>
  <si>
    <t>CET6≥440或TOEFL≥90或IELTS≥6.0</t>
  </si>
  <si>
    <t>学院介绍、专题报告、参观院史馆、午餐交流会、市内参观、开展科研实训、交流活动、组织面试</t>
  </si>
  <si>
    <t>6月23日之前</t>
  </si>
  <si>
    <t>7月8日-12日</t>
  </si>
  <si>
    <t>69人</t>
  </si>
  <si>
    <t>1) 《上海交通大学医学院研究生招生夏令营申请表》（报名系统生成）
2) 身份证、学生证复印件各1份
3) 本科期间成绩单复印件1份
4) 其他证明材料复印件（如发表的学术论文、获奖或资格证书、国家英语四、六级等各类英语考试成绩单）各1份
5) 2位副高（含）以上职称的专家推荐信（可参考附件2模板）</t>
  </si>
  <si>
    <t>我院将承担营员大学所在地城市往返上海的路费（原则上按动车二等座标准，营员需在报到时提供往返车票作为报销凭证），营员参加夏令营日程安排中的活动及其期间的食宿费（上海生源原则上不提供住宿）。夏令营不收取营员任何费用，夏令营日程安排以外的时间由学员自行安排，所产生的费用由营员自理。</t>
  </si>
  <si>
    <t>基础医学院各系根据营员综合素质、科研能力和学术潜质等进行考核，考核评审结束后给予相应的考核等第（经医学院研究生院统一公示后生效），具体如下：A等，申请者须符合医学院接收优秀本科毕业生推荐免试攻读博士学位研究生招生要求，且与夏令营参加的培养单位及专业一致，则可直接录取为当年度博士研究生；B等，申请者须符合医学院接收优秀本科毕业生推荐免试攻读硕士学位研究生招生要求，且与夏令营参加的培养单位及专业一致，则可直接录取为硕士研究生；C等，申请者须符合医学院接收优秀本科毕业生推荐免试攻读硕士学位研究生招生要求，且与夏令营参加的培养单位及专业一致，可直接获得推荐免试硕士研究生的复试资格，通过复试后优先录取；D等，申请者以全国统考方式报考医学院硕士研究生，达到我院报考学科专业门类基本复试分数线后，可优先参加复试；E等，不适合申请学科的研究工作，建议申请其他学科。</t>
  </si>
  <si>
    <t>6月25日之前</t>
  </si>
  <si>
    <t>7月10日-7月13日</t>
  </si>
  <si>
    <t>院将承担营员大学所在地城市往返上海的路费（原则上按动车二等座标准，营员须提供车票作为报销凭证），营员参加夏令营日程安排中的活动及其期间的食宿费（上海生源原则上不提供住宿）。夏令营不收取营员任何费用，夏令营日程安排以外的时间由学员自行安排，所产生的费用由营员自理。</t>
  </si>
  <si>
    <t>线上笔试和面试考核</t>
  </si>
  <si>
    <t>7月26日之前</t>
  </si>
  <si>
    <t>7月30日-7月31日</t>
  </si>
  <si>
    <t>如无特殊情况，本年度研究生夏令营活动以线下实地的形式举办，具体安排以及防疫要求待后续详细通知，可关注上海交通大学基础医学院主页（https://www.shsmu.edu.cn/cbms）。</t>
  </si>
  <si>
    <t>网上报名系统将于6月20日-7月4日开放，如有特殊情况，在学院主页上提前发布。</t>
  </si>
  <si>
    <t>7月14日-7月17日</t>
  </si>
  <si>
    <t>85人</t>
  </si>
  <si>
    <t>基础医学院各系将于7月8日左右根据学生报名信息，综合教育背景、学业水平、综合素质等情况进行遴选，确定入围名单，并由各系老师通知入围同学具体报到事宜。申请者也可以登录报名系统查询是否被选中，未入围同学将不再通知。所有入营同学报到时须递交以下材料：
1)《上海交通大学医学院研究生招生夏令营申请表》（报名系统生成）；
2)身份证、学生证复印件各1份；
3)本科期间成绩单复印件1份（学院盖章）；
4)其他证明材料复印件（如发表的学术论文、获奖或资格证书、国家英语四、六级等各类英语考试成绩单）各1份；
5)2位所在学院副教授（含）以上职称的专家推荐信（附件2模板）。</t>
  </si>
  <si>
    <t>基础医学院各系根据营员综合素质、科研能力和学术潜质等进行考核，考核评审结束后给予相应的考核等第（经医学院研究生院统一公示后生效），具体如下：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</si>
  <si>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平均成绩80分以上(GPA3.0以上)，排名在年级前20%</t>
  </si>
  <si>
    <t>英语水平优良：CET6≥500分</t>
  </si>
  <si>
    <t>夏令营测试、开营仪式、科室活动、导师见面会</t>
  </si>
  <si>
    <t>7月16日-18日</t>
  </si>
  <si>
    <t>1.个人简历，点击请下载模板;
2. 推免资格证明;
3. 大学期间成绩单(截至2019年6月)和专业排名，须由教务部门盖章;
4. 英语六级考试成绩;
5.其他证明材料(如体现自身学术水平的代表性学术论文或其他原创性工作成果复印件、获奖证书复印件等)。</t>
  </si>
  <si>
    <t>医院提供7月16-17日两个晚上的住宿，以及夏令营期间的餐饮和保险。往返路费等请自理</t>
  </si>
  <si>
    <t>优秀营员将颁发证书</t>
  </si>
  <si>
    <t>英语水平优良：CET6≥440分；CET4≥500分或雅思成绩不低于6.0分，托福成绩不低于90分</t>
  </si>
  <si>
    <t>参观我院日常医疗、科研和教学活动，加深对我院优势学科的了解，与全国知名教授进行面对面交流，并近距离了解在读研究生的学习和生活</t>
  </si>
  <si>
    <t>7月19日之前</t>
  </si>
  <si>
    <t>7月下旬，营期3天</t>
  </si>
  <si>
    <t>1、个人简历（模板见下方二维码）
2、推免资格证明；
3、大学期间成绩单（截止2020年6月）和专业排名，须由教务部门盖章；
4、英语成绩证明；
5、其他证明材料（如体现自身学术水平的代表性学术论著或其他原创性工作成果复印件、获奖证书复印件等）
备注：因疫情部分材料无法按时提供，可等入营后补交。各申请人务必保证所提交申请材料的真实性和准确性，若有虚假等行为，一经查实，取消入营资格。</t>
  </si>
  <si>
    <t>即日起至2021年6月28日24时</t>
  </si>
  <si>
    <t>2021年7月中下旬</t>
  </si>
  <si>
    <t>45人</t>
  </si>
  <si>
    <t>1、夏令营申请表；
2、推免资格证明（须由所在学校教务部门盖章）；
3、大学期间成绩单和专业排名（须由所在学校教务部门盖章）；
4、英语成绩证明；
5、两位副教授（或相当职称）或以上专家的专家推荐信；
6、其他材料（如：发表论文、专利、获奖证书复印件等）。</t>
  </si>
  <si>
    <t>夏令营期间的住宿费和伙食费由我院免费安排（北京市高校营员不提供住宿）</t>
  </si>
  <si>
    <t>开营仪式，情况介绍、参观、交流、面试</t>
  </si>
  <si>
    <t>6月28日之前</t>
  </si>
  <si>
    <t>1.填写夏令营申请表（见附件），填写后学校教务处或院系负责人签字盖章；
2.个人简历及个人陈述（关于个人学术背景、曾经做过的研究工作以及未来学习和研究的计划、目标等）；
3.本科历年成绩单１份，须加盖所在学校教务部门公章；
4.英语六级水平证书或相关成绩证明；
5.其他有关能力的证明材料（如：发表论文、专利，各类获奖等）；
6.两位副教授或以上专家的推荐信。
上述材料打印或扫描后合并为一个PDF文档，于6月28日前通过电子邮件发送至：bdlyjyc@126.com，夏令营活动时查验原件。文件名和电子邮件标题请注明“2018夏令营-姓名-现就读学校”，学院收到邮件后，会邮件回复。</t>
  </si>
  <si>
    <t>1. 免费提供住宿两天（本校和北京地区高校学生不安排住宿）；
2. 京外学员报销往返交通费用（不超过高铁二等座）；
3. 活动期间提供用餐。</t>
  </si>
  <si>
    <t>达到国家六级或相当水平，科研潜力突出者可适当放宽</t>
  </si>
  <si>
    <t>6月16日之前</t>
  </si>
  <si>
    <t>7月10-12日</t>
  </si>
  <si>
    <t>1.填写夏令营申请表（见附件），填写后学校教务处或院系负责人签字盖章；
2.个人简历及个人陈述（关于个人学术背景、曾经做过的研究工作以及未来学习和研究的计划、目标等）；
3.本科历年成绩单１份，须加盖所在学校教务部门公章；
4.英语六级水平证书或相关成绩证明；
5.其他有关能力的证明材料（如：发表论文、专利，各类获奖等）；
6.两位副教授或以上专家的推荐信。
上述材料打印或扫描后合并为一个PDF文档，于6月28日前通过电子邮件发送至：bdlyjyc@126.com，夏令营活动时查验原件。文件名和电子邮件标题请注明“2019夏令营-姓名-现就读学校”，学院收到邮件后，会邮件回复。</t>
  </si>
  <si>
    <t>1.免费提供住宿两天（本校和北京地区高校学生不安排住宿）；
2.活动期间提供午餐和晚餐。</t>
  </si>
  <si>
    <t>1.学院医、教、研情况总体介绍
2.各科室介绍
3.线上学术讲座
4.师生晤谈交流，了解精神医学研究内容、学科发展前沿及精神科临床诊疗内容。
5.线上参观及观摩活动</t>
  </si>
  <si>
    <t>8月7日之前</t>
  </si>
  <si>
    <t>8月中旬</t>
  </si>
  <si>
    <t>1.填写夏令营申请表(见附件)，填写后学校教务处或院系负责人签字盖章;
2.个人简历及个人陈述(关于个人学术背景、曾经做过的研究工作以及未来学习和研究的计划、目标等);
3.本科或硕士历年成绩单1份，须加盖所在学校教务部门公章;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上述材料打印或扫描后合并为一个PDF文档(命名格式为：姓名+学校+专业)，于8月7日前通过电子邮件发送至：bdlyjyc@126.com。电子邮件标题请注明“夏令营申请：姓名+学校+专业”，学院收到邮件后，会邮件回复。
注：由于疫情原因，部分学生未能返校，成绩单及排名证明等其他材料若无法按时提供，可在上传材料中备注说明，入营后补充提交。各申请人务必保证所提交申请材料的真实性和准确性，若有虚报、谎报等不端行为，一经查实，将取消入营资格。</t>
  </si>
  <si>
    <t>1.学院医、教、研情况总体介绍
2.各科室介绍
3.线上学术讲座
4.师生晤谈交流，了解精神医学研究内容、学科发展前沿及精神科临床诊疗内容。
5.线上参观及观摩活动</t>
  </si>
  <si>
    <t>报名截止时间为6月30日</t>
  </si>
  <si>
    <t>①夏令营申请表，填写后学校教务处或院系负责人签字盖章;
②个人简历及个人陈述(关于个人学术背景、曾经做过的研究工作以及未来学习和研究的计划、目标等);
③本科或硕士历年成绩单1份，须加盖所在学校教务部门公章;
④英语六级水平证书或相关英语成绩证明;
⑤成绩排名证明(含专业成绩排名和综合成绩排名，由学校教务部门盖章或院系出具证明);
⑥其他有关能力的证明材料(如：发表论文、专利，各类获奖等);
⑦两位副教授或以上专家的推荐信。</t>
  </si>
  <si>
    <t>CET6≥430分或相当水平</t>
  </si>
  <si>
    <t>专业介绍与招生咨询；学术讲座；参观研究所科研大楼、动物中心；师生互动；综合考核；游览苏州园林与博物馆。</t>
  </si>
  <si>
    <t>7月9日之前</t>
  </si>
  <si>
    <t>7月22日-24日</t>
  </si>
  <si>
    <t>15人</t>
  </si>
  <si>
    <t>1. 《系统所2019年全国优秀大学生夏令营申请表》1份（下载附件）。
2. 本科、硕士在读期间成绩单（截至目前）1份、专业排名1份，均须由教务部门盖章。
3. 英语六级成绩单或其他英语考试的成绩证明1份。
4. 其他证明材料（如体现自身学术水平的代表性学术论文或其他原创性工作成果复印件、获奖证书复印件等）。
5. 身份证正反面复印件、学生证复印件各1份。
以上申请材料（2-5项）请通过扫描等方式生成PDF文件，与申请表一并压缩后发送至ismzhaosheng@126.com。</t>
  </si>
  <si>
    <t>夏令营不收取任何费用，研究所统一解决食宿，报销往返苏州交通费（火车硬座、硬卧、高铁/动车二等座），学生须提供往返车票票据），提供营服与人身意外保险。</t>
  </si>
  <si>
    <t>根据申请材料、综合考核情况及在营期间表现，选拔出优秀营员，颁发优秀营员证书，如在所读大学取得推免资格，且在2020年全国推荐优秀应届本科毕业生免试攻读研究生报名阶段第一志愿填报我所，则可优先录取。</t>
  </si>
  <si>
    <t>专业介绍与招生咨询、导师宣讲、直播参观研究所科研大楼、动物中心等平台、综合考核、师生一对一交流</t>
  </si>
  <si>
    <t>7月22日之前</t>
  </si>
  <si>
    <t>1. 《系统所2020年全国优秀大学生夏令营申请表》1份，《系统所2020年夏令营营员汇总表》1份（请点击下方相关链接下载）。
2. 本科在读期间成绩单（截至目前）1份、专业排名1份，均须由教务部门盖章。
3. 英语六级成绩单或其他英语考试的成绩证明1份。
4. 专家推荐信2封（需副教授及以上职称专家分别推荐）。
5. 其他证明材料（如体现自身学术水平的代表性学术论文或其他原创性工作成果复印件、获奖证书复印件等）。
6. 学生证复印件1份。
以上申请材料（2-6项）请通过扫描等方式形成一个PDF文件，与申请表、汇总表共同发送至ismzhaosheng@126.com，邮件主题为“张XX申请参加2020年系统所夏令营”，文件名称均为“学校名称-专业-姓名”，如“苏州大学-免疫学-张XX”。</t>
  </si>
  <si>
    <t>根据申请材料、综合考核情况，选拔出优秀营员，颁发优秀营员证书，如在所读大学取得推免资格，且在2021年全国推荐优秀应届本科毕业生免试攻读研究生报名阶段第一志愿填报我所，则可优先录取。</t>
  </si>
  <si>
    <t>专业介绍与招生咨询，导师宣讲，直播参观研究所科研大楼、动物中心等平台，综合考核，师生一对一互动</t>
  </si>
  <si>
    <t>即日起至2021年7月18日</t>
  </si>
  <si>
    <t>2021年7月下旬，另行通知</t>
  </si>
  <si>
    <t>50人左右</t>
  </si>
  <si>
    <t>1. 《系统所2021年全国优秀大学生夏令营申请表》1份，《系统所2021年夏令营营员汇总表》1份（请点击下方相关链接下载）。
2. 本科在读期间成绩单（截至目前）1份、专业排名1份，均须由教务部门盖章。
3. 英语六级成绩单或其他英语考试的成绩证明1份。
4. 专家推荐信2封（需副教授及以上职称专家分别推荐）。
5. 其他证明材料（如体现自身学术水平的代表性学术论文或其他原创性工作成果复印件、获奖证书复印件等）。
6. 身份证正反面复印件、学生证复印件1份（可打水印）。</t>
  </si>
  <si>
    <t>根据申请材料、综合考核情况，选拔出优秀营员，颁发优秀营员证书，如在所读大学取得推免资格，且在2022年全国推荐优秀应届本科毕业生免试攻读研究生报名阶段第一志愿填报我所，则可优先拟录取。</t>
  </si>
  <si>
    <t>非"优质生源"高校学生，综合成绩排名前15%。"优质生源"高校学生，综合成绩排名前30%；</t>
  </si>
  <si>
    <t>学科交流见面会，预面试，评选“优秀学员”</t>
  </si>
  <si>
    <t>8月25日之前</t>
  </si>
  <si>
    <t>9月22日-9月24日</t>
  </si>
  <si>
    <t>1、同济医院2018年夏令营申请表（见附件）；
2、本科阶段成绩单及同年级总成绩排名1份（由教务部门或院系盖章）；
3、英语水平的证明（如国家英语四六级考试成绩、TOEFL成绩或GRE成绩等）；
4、以及其他证明材料（如体现自身学术水平的代表性学术论文或其他原创性工作成果复印件、获奖证书复印件等）；
5、个人陈述1份（格式不限），此材料请上传至系统中的"学术成果、申请表及推荐信"一栏。</t>
  </si>
  <si>
    <t>1、武汉市外高校的学员，夏令营期间的住宿费和伙食费由我院负责；
2、医院免费提供往返火车硬座、硬卧（上限400元）、动车二等座（上限400元）标准的交通费，请妥善保管票据作为报销凭据。
3、飞机票不予报销。</t>
  </si>
  <si>
    <t>9月中旬（具体未说明）</t>
  </si>
  <si>
    <t>1.网上申请提交：申请人在华中科技大学研招网报服务系统上提供申请材料的电子版。申请路径：华中科技大学研究生招生管理系统(http://yanzhao.hust.edu.cn/)。系统开放时间8月10日至8月25日。
2.纸制材料提交：申请人网上提交后再将上述申请材料装入邮寄大信封，信封正面注明姓名、所在学校及院系，并注明“夏令营材料”。邮寄材料截至日期为8月25日（以当地邮戳为准），过期不再接受申请。建议以快递方式邮寄，不接受包裹。
邮寄地址：武汉市解放大道1095号（同济医院研究生科317栋1楼）
邮编：430030     电话：027-83663649
建议用顺丰邮寄，查询到武汉后可拨打027-83663649咨询。信封正面注明“夏令营申请”，并注明姓名、所在学校及院系。
3、需将材料做成电子版发送至邮箱：tjyyyjsk@sina.com。邮件主题名格式为“姓名—学校—专业—排名/人数—移动电话”</t>
  </si>
  <si>
    <t>1、同济医院2020年夏令营申请表（见附件）；
2、本科阶段成绩单及同年级总成绩排名1份（由教务部门或院系盖章）；
3、英语水平的证明（如国家英语四六级考试成绩、TOEFL成绩或GRE成绩等）；
4、以及其他证明材料（如体现自身学术水平的代表性学术论文或其他原创性工作成果复印件、获奖证书复印件等）；
5、个人陈述1份（格式不限），此材料请上传至系统中的“学术成果、申请表及推荐信”一栏。</t>
  </si>
  <si>
    <t>活动拟安排在9月中旬，具体时间安排见群通知。</t>
  </si>
  <si>
    <t>邮寄材料截至日期为8月25日</t>
  </si>
  <si>
    <t>1、同济医院2021年夏令营申请表（见附件）；
2、本科阶段成绩单及同年级总成绩排名1份（由教务部门或院系盖章）；
3、英语水平的证明（如国家英语四六级考试成绩、TOEFL成绩或GRE成绩等）；
4、以及其他证明材料（如体现自身学术水平的代表性学术论文或其他原创性工作成果复印件、获奖证书复印件等）；
5、个人陈述1份（格式不限），此材料请上传至系统中的“学术成果、申请表及推荐信”一栏。</t>
  </si>
  <si>
    <t>外语水平达到CET6≥440或TOEFL≥90或IELTS≥6.0。</t>
  </si>
  <si>
    <t>组织学校参观、临床体验、学术讲座、笔试和面试，详情将在《夏令营参营通知》中告知。</t>
  </si>
  <si>
    <t>6月19日-23日医学院研究生招生信息网报名，6月25日电子邮件报名</t>
  </si>
  <si>
    <t>7月17日-7月21日</t>
  </si>
  <si>
    <t>1、申请材料
（1）《上海交通大学医学院研究生招生夏令营申请表》（报名系统生成）；
（2）身份证、学生证复印件各1份；
（3）本科期间成绩单复印件1份（需所在学校教务部门或院系盖章）；
（4）其他证明材料复印件（如发表的学术论文、获奖或资格证书、国家英语六级等各类英语考试成绩单）各1份；
注意事项：
（1）以上申请材料均为原件的电子扫描件，并以PDF格式分别保存4份文件，文件名“姓名+文件内容”，例：张三+申请表、张三+成绩总表。
（2）需要盖章及粘贴照片的材料，请在完成后再扫描。注：参营学生报到时须提交上述所有申请材料的原件。</t>
  </si>
  <si>
    <t>提供所有参营者夏令营期间在沪的全部伙食和住宿费用、外地院校的学生往返上海的路费（按动车二等座标准，需出示票根报销），以及在营期间由我中心组织的集体课余活动费用。</t>
  </si>
  <si>
    <t>医学院2019年研究生（含直博）优秀生源选拔优惠政策分设A、B、C、D、E五等标准：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
未获得推免资格的A、B、C等学生自动降为D等。</t>
  </si>
  <si>
    <t>组织学校参观、临床体验、学术讲座、笔试和面试等活动，详情将在“正式参营资格”审核后告知。</t>
  </si>
  <si>
    <t>申请人可于6月18日起至6月25日间，通过“上海交通大学医学院研究生教育管理系统”进行网上报名（用IE浏览器, http://gs.shsmu.edu.cn/Equivalent/EquivalentZheCe.aspx）。</t>
  </si>
  <si>
    <t>7月26日-8月2日</t>
  </si>
  <si>
    <t>注册后登录系统，选择“夏令营报名申请”，认真、仔细填写报名系统内各项内容，上传报名照片后下载打印《上海交通大学医学院研究生招生夏令营申请表》（请仔细核对书面版本申请表中的信息，确认无误后再办理签字盖章等事宜）。请申请人根据附件中的“申请志愿代码”进行选择填报，医学院将以第一志愿作为优先志愿。</t>
  </si>
  <si>
    <t>对于全程完整参加优秀生源选拔夏令营活动的参营者，本学科将为其提供夏令营活动期间在本中心的全部伙食和指定地点的住宿费用、外地院校的学生往返上海的路费（无论何种交通工具，均按动车二等座标准。须提交票根进行报销），以及在营期间由我中心组织的集体课余活动费用。</t>
  </si>
  <si>
    <t>医学院2020年研究生（含直博）优秀生源选拔优惠政策分设A、B、C、D、E五等标准：A等，申请者须符合医学院接收优秀本科毕业生推荐免试攻读博士学位研究生招生要求，且与夏令营参加的培养单位及专业一致，则可直接录取为当年度博士研究生；B等，申请者须符合医学院接收优秀本科毕业生推荐免试攻读硕士学位研究生招生要求，且与夏令营参加的培养单位及专业一致，则可直接录取为硕士生；C等，申请者须符合医学院接收优秀本科毕业生推荐免试攻读硕士学位研究生招生要求，且与夏令营参加的培养单位及专业一致，可直接获得推荐免试硕士研究生的复试资格，通过复试后优先录取；D等，申请者以全国统考方式报考医学院硕士研究生，达到我院报考学科专业门类基本复试分数线后，可优先参加复试；E等，不适合申请学科的研究工作，建议申请其他学科；未获得推免资格的A、B、C等学生自动降为D等。</t>
  </si>
  <si>
    <t xml:space="preserve">网络远程方式
</t>
  </si>
  <si>
    <t>组织学科介绍、学术团队宣讲、面试等活动，详情将在“正式参营资格”审核后告知。</t>
  </si>
  <si>
    <t>网上报名申请人可于7月23日起至2020年7月30日间，通过“上海交通大学医学院研究生教育管理系统”进行网上报名用IE浏览器，网址：
http://gs.shsmu.edu.cn/Equivalent/EquivalentZheCe.aspx。</t>
  </si>
  <si>
    <t>8月中下旬</t>
  </si>
  <si>
    <t>注册后登录系统，选择“夏令营报名申请”，认真、仔细填写报名系统内各项内容，上传报名照片后下载打印《上海交通大学医学院研究生招生夏令营申请表》（请仔细核对书面版本申请表中的信息，确认无误后再办理签字盖章等事宜）。</t>
  </si>
  <si>
    <t>医学院2021年研究生（含直博）优秀生源选拔优惠政策分设A、B、C、D、E五等标准：A等，申请者须符合医学院接收优秀本科毕业生推荐免试攻读博士学位研究生招生要求，且与夏令营参加的培养单位及专业一致，则可直接录取为当年度博士研究生；B等，申请者须符合医学院接收优秀本科毕业生推荐免试攻读硕士学位研究生招生要求，且与夏令营参加的培养单位及专业一致，则可直接录取为硕士研究生；C等，申请者须符合医学院接收优秀本科毕业生推荐免试攻读硕士学位研究生招生要求，且与夏令营参加的培养单位及专业一致，可直接获得推荐免试硕士研究生的复试资格，通过复试后优先录取；D等，申请者以全国统考方式报考医学院硕士研究生，达到我院报考学科专业门类基本复试分数线后，可优先参加复试；E等，不适合申请学科的研究工作，建议申请其他学科。</t>
  </si>
  <si>
    <t xml:space="preserve">.夏令营的形式（线下或线上）将根据疫情发展情况确定，具体另行公布
</t>
  </si>
  <si>
    <t>将组织学科介绍、学术团队宣讲、面试等活动，详情将在“正式参营资格”审核后告知。</t>
  </si>
  <si>
    <t>申请人可于即日起至2021年6月30日间，请按照《上海交通大学医学院精神病与精神卫生学专业2022年研究生（含直博生）优秀生源选拔夏令营申请材料清单、资格审核和寄送相关要求》所示（详见【附件1】），将材料发送至指定邮箱。</t>
  </si>
  <si>
    <t>2021年7月下旬</t>
  </si>
  <si>
    <t>注册后登录系统，选择“夏令营报名申请”，认真、仔细填写报名系统内各项内容，上传报名照片后下载打印《上海交通大学医学院研究生招生夏令营申请表》（请仔细核对书面版本申请表中的信息，确认无误后再办理签字盖章等事宜）。请申请人根据附件中的“申请志愿代码”进行选择填报（选择申请志愿代码后，其余志愿信息会根据所选择的志愿代码而自动填充，如无法填充显示请先确认是否使用的是IE浏览器），医学院将以第一志愿作为优先志愿。</t>
  </si>
  <si>
    <t>对于全程完整参加线下优秀生源选拔夏令营活动的参营者，本学科将为其提供夏令营活动期间在本中心的全部伙食和指定地点的住宿费用、外地院校的学生往返上海的路费（无论何种交通工具，均按不高于动车二等座标准报销，须提交票根）。</t>
  </si>
  <si>
    <t>1. 7月23日：报到入营
2. 7月24日：开营仪式，与导师面对面交流
3. 7月25日：笔试
4. 7月26日：面试
5. 7月27日：离营</t>
  </si>
  <si>
    <t>6月19日—6月24日
报名方式：请登陆上海交通大学医学院研究生院官网进行网上报名。
网址：http://gs.shsmu.edu.cn/Equivalent/EquivalentZheCe.aspx</t>
  </si>
  <si>
    <t>7月23-27日</t>
  </si>
  <si>
    <t>1.《上海交通大学医学院研究生招生夏令营申请表》（报名系统生成）；
2. 身份证、学生证复印件各1份；
3. 本科期间成绩单复印件1份；
4. 其他证明材料复印件（如发表的学术论文、获奖或资格证书、国家英语四、六级等各类英语考试成绩单）各1份。</t>
  </si>
  <si>
    <t>1.不收取学生任何费用。
2.活动期间提供食宿（上海生源原则上不提供住宿）。
3.报销往返火车票（原则上按营员大学所在地城市往返上海的动车二等座标准，营员须提供车票作为报销凭证）。</t>
  </si>
  <si>
    <t>夏令营将进行为期一周左右的实训，其余未说明</t>
  </si>
  <si>
    <t>6月12日至25日</t>
  </si>
  <si>
    <t>7月15日至19日</t>
  </si>
  <si>
    <t>1. 《上海交通大学医学院研究生招生夏令营申请表》；
2. 身份证、学生证复印件各1份；
3. 本科期间成绩单复印件1份（需盖章）；
4. 其他证明材料复印件（如发表的学术论文、获奖或资格证书、国家英语四、六级等各类英语考试成绩单）各1份；</t>
  </si>
  <si>
    <t>不收取学生任何费用。本院将为非上海生源提供住宿（上海生源原则上不提供），以及报销本科就读高校至上海的往返火车票（原则上按照动车二等座标准）</t>
  </si>
  <si>
    <t>夏令营将进行为期一周左右的实训，各学科将根据夏令营期间学生的表现，给每位学生一个评定等级。评定等级说明：A等，申请者须符合医学院接收优秀本科毕业生推荐免试攻读博士学位研究生招生要求，且与夏令营参加的培养单位及专业一致，则可直接录取为当年度博士研究生。B等，申请者须符合医学院接收优秀本科毕业生推荐免试攻读硕士学位研究生招生要求，且与夏令营参加的培养单位及专业一致，则可直接录取为硕士研究生；C等，申请者须符合医学院接收优秀本科毕业生推荐免试攻读硕士学位研究生招生要求，且与夏令营参加的培养单位及专业一致，可直接获得推荐免试硕士研究生的复试资格，通过复试后优先录取；D等，申请者以全国统考方式报考医学院硕士研究生，达到我院报考学科专业门类基本复试分数线后，可优先参加复试。E等，不适合申请学科的研究工作，建议申请其他学科。</t>
  </si>
  <si>
    <t>1. 8月17日：报到入营
2. 8月18日：开营仪式（医院介绍、专题报告）；学科介绍、师生交流等
3. 8月19日：笔试、面试
4. 8月20日：面试、离营</t>
  </si>
  <si>
    <t>8月3日至5日，报名方式：登录网上报名系统进行报名
（http://gs.shsmu.edu.cn/Equivalent/EquivalentZheCe.aspx，须用IE浏览器）</t>
  </si>
  <si>
    <t>时间：8月17日至20日
地点：上海市杨浦区控江路1665号 上海交通大学医学院附属新华医院</t>
  </si>
  <si>
    <t xml:space="preserve">1.《上海交通大学医学院研究生招生夏令营申请表》；
2. 身份证、学生证复印件各1份；
3. 其他证明材料复印件（如发表的学术论文、获奖或资格证书、CET6、TOEFL、IELTS等各类英语考试成绩单）1份。1. 严格遵守疫情防控各项规定，做好个人防护；
2. 提供七日内核酸检测报告、随申码为绿码、测量体温正常。
</t>
  </si>
  <si>
    <t>1. 活动期间提供食宿（上海生源原则上不提供住宿），不收取学生费用；
2. 因个人原因产生的费用由学生本人承担；
3. 报销往返火车票（按学生大学所在地往返的动车二等座标准报销，报销时须提供车票作为报销凭证）。</t>
  </si>
  <si>
    <t>2021年8月20日8:00前</t>
  </si>
  <si>
    <t>2021年8月30日 至9月1日</t>
  </si>
  <si>
    <t>24人</t>
  </si>
  <si>
    <t xml:space="preserve">1.《上海交通大学医学院研究生招生夏令营申请表》；
2. 身份证、学生证复印件各1份；
3. 其他证明材料复印件（如发表的学术论文、获奖或资格证书、CET6、TOEFL、IELTS等各类英语考试成绩单）1份。1. 严格遵守疫情防控各项规定，做好个人防护；
</t>
  </si>
  <si>
    <t>A 等：申请者须符合医学院接收优秀本科毕业生推荐免试攻读博士学位研究生招生要求，且与夏令营参加的培养单位及专业一致，则可直接录取为当年度博士研究生；
B 等：申请者须符合医学院接收优秀本科毕业生推荐免试攻读硕士学位研究生招生要求，且与夏令营参加的培养单位及专业一致，则可直接录取为硕士研究生；
C 等：申请者须符合医学院接收优秀本科毕业生推荐免试攻读硕士学位研究生招生要求，且与夏令营参加的培养单位及专业一致，可直接获得推荐免试硕士研究生的复试资格，通过复试后优先录取；
D 等：申请者以全国统考方式报考医学院硕士研究生，达到我院报考学科专业门类基本复试分数线后，可优先参加复试；
E 等：不适合申请学科的研究工作，建议申请其他学科。</t>
  </si>
  <si>
    <t>英语水平CET6≥440或TOEFL≥90或IELTS≥6.0。</t>
  </si>
  <si>
    <t>6月19日-6月24日</t>
  </si>
  <si>
    <t>7月30日-8月3日</t>
  </si>
  <si>
    <t>1)《上海交通大学医学院研究生招生夏令营申请表》；
2)身份证、学生证复印件各1份；
3)本科期间成绩单复印件1份；
4)其他证明材料复印件（如发表的学术论文、获奖或资格证书、国家英语四、六级等各类英语考试成绩单）各1份；</t>
  </si>
  <si>
    <t>费用：不收取学生任何费用。本院将为非上海生源提供住宿（上海生源原则上不提供），以及报销本科就读高校至上海的往返火车票（原则上按照动车二等座标准）</t>
  </si>
  <si>
    <t>夏令营将进行为期一周左右的实训，各学科将根据夏令营期间学生的表现，给每位学生一个评定等级。评定等级说明：A等，申请者获得所在学校推荐免试攻读研究生资格，且符合医学院接收优秀本科毕业生推荐免试攻读博士学位研究生招生要求，结合本人志愿和夏令营活动情况，则直接录取为当年度博士研究生；B等，申请者获得所在学校推荐免试攻读研究生资格，且符合医学院接收优秀本科毕业生推荐免试攻读硕士学位研究生招生要求，结合本人志愿和夏令营活动情况，可直接录取为硕士生；C等，申请者获得所在学校推荐免试攻读研究生资格，且符合医学院接收优秀本科毕业生推荐免试攻读硕士学位研究生招生要求，直接获得参加我院推荐免试研究生的复试资格，通过复试后优先录取；D等，若申请者未获得所在学校推荐免试攻读研究生资格，以全国统考的方式报考医学院硕士研究生，并达到我院公布的报考学科专业门类基本复试分数线后，可优先参加复试。E等，不适合申请学科的研究工作，建议申请其他学科。</t>
  </si>
  <si>
    <t>6 月 12 日—6 月 25 日</t>
  </si>
  <si>
    <t>8月12日-8月16日</t>
  </si>
  <si>
    <t>1) 《上海交通大学医学院研究生招生夏令营申请表》;
2) 身份证、学生证复印件各 1 份;
3) 本科期间成绩单复印件 1 份;
4) 其他证明材料复印件(如发表的学术论文、获奖或资格证书、国家英语四、六级等各类英语考试成绩单)各 1 份;</t>
  </si>
  <si>
    <t>不收取学生任何费用。本院将为非上海生源提供住宿(上海生源原则上不提供)，以及报销本科就读高校至上海的往返火车票(原则上按照动车二等座标准)。</t>
  </si>
  <si>
    <t>根据各专业上报的形式，选择线上或线下</t>
  </si>
  <si>
    <t>8月19日：上午医院统一线上开营仪式（医院介绍、夏令营情况介绍等）; 下午科室参观、学科介绍、师生交流等（根据各专业上报的形式，选择线上或线下）。
8月20日：各学科教学查房、专家讲座（根据各专业上报的形式，选择线上或线下）。
8月21日：各专业面试、笔试。</t>
  </si>
  <si>
    <t>8月7日上午10点开始报名，8月10日上午10点截止报名</t>
  </si>
  <si>
    <t>8月19日-8月21日</t>
  </si>
  <si>
    <t>1. 《上海交通大学医学院研究生招生夏令营申请表》；
2. 身份证、学生证复印件各1份；
3. 其他证明材料复印件（如发表的学术论文、获奖或资格证书、CET6、TOEFL、IELTS等各类英语考试成绩单）1份。
各位同学系统报名的同时，8月10日（周一）10点前将所有材料打包发送到rjyy2016xly@126.com ，文件命名为：姓名+报考专业，逾期不予受理。</t>
  </si>
  <si>
    <t>线下：学生自理</t>
  </si>
  <si>
    <t>8月2日-8月6日</t>
  </si>
  <si>
    <t>八月下旬</t>
  </si>
  <si>
    <t>第一人民医院</t>
  </si>
  <si>
    <t>6月19日—6月24日</t>
  </si>
  <si>
    <t>8月6日-8月10日</t>
  </si>
  <si>
    <t xml:space="preserve">1)《上海交通大学医学院研究生招生夏令营申请表》；
2)身份证、学生证复印件各1份；
3)本科期间成绩单复印件1份；
4)其他证明材料复印件（如发表的学术论文、获奖或资格证书、国家英语四、六级等各类英语考试成绩单）各1份；
</t>
  </si>
  <si>
    <t>费用：不收取学生任何费用。本院将为非上海生源提供住宿（上海生源原则上不提供），以及报销本科就读高校至上海的往返火车票（原则上按照动车二等座标准）。</t>
  </si>
  <si>
    <t>夏令营将进行为期一周左右的实训，各学科将根据夏令营期间学生的表现，给每位学生一个评定等级。评定等级说明：A等，申请者须符合医学院接收优秀本科毕业生推荐免试攻读博士学位研究生招生要求，且与夏令营参加的培养单位及专业一致，则可直接录取为当年度博士研究生。B等，申请者须符合医学院接收优秀本科毕业生推荐免试攻读硕士学位研究生招生要求，且与夏令营参加的培养单位及专业一致，则可直接录取为硕士生；C等，申请者须符合医学院接收优秀本科毕业生推荐免试攻读硕士学位研究生招生要求，且与夏令营参加的培养单位及专业一致，可直接获得推荐免试硕士研究生的复试资格，通过复试后优先录取；D等，申请者以全国统考方式报考医学院硕士研究生，达到我院报考学科专业门类基本复试分数线后，可优先参加复试。E等，不适合申请学科的研究工作，建议申请其他学科。</t>
  </si>
  <si>
    <t>8月5日-8月9日</t>
  </si>
  <si>
    <t>将组织学科介绍、面试等活动，详情将在“正式参营资格”审核后告知。</t>
  </si>
  <si>
    <t>8.13—8.18</t>
  </si>
  <si>
    <t>8月下旬</t>
  </si>
  <si>
    <t>通过“上海交通大学医学院研究生教育管理系统”进行网上报名，用IE浏览器：http://gs.shsmu.edu.cn/Equivalent/EquivalentZheCe.aspx。
注册后登录系统，选择“夏令营报名申请”，认真、仔细填写报名系统内各项内容，上传报名照片后下载打印《上海交通大学医学院研究生招生夏令营申请表》（请仔细核对书面版本申请表中的信息，确认无误后再办理签字盖章等事宜）。请申请人根据附件中的“申请志愿代码”进行选择填报（选择申请志愿代码后，其余志愿信息会根据所选择的志愿代码而自动填充，如无法填充显示请先确认是否使用的是IE浏览器），医学院将以第一志愿作为优先志愿。</t>
  </si>
  <si>
    <t>8月7日-8月18日</t>
  </si>
  <si>
    <t>儿童医学中心</t>
  </si>
  <si>
    <t xml:space="preserve">6月19日—6月24日
</t>
  </si>
  <si>
    <t>8 月 26 日-8 月 30 日</t>
  </si>
  <si>
    <t>第七医院</t>
  </si>
  <si>
    <t>原则上应为985或211工程院校（含中山大学）及“双一流”院校/学科的2019年优秀应届本科毕业生（即将于2018年9月进入最后一学年学习的本科生）；学习成绩优异，达到所在高校推荐免试生要求。已获得或有望获得所读大学免试推荐研究生资格者，本科综合成绩在年级或专业排名居前30%者优先考虑；</t>
  </si>
  <si>
    <t>英语通过四级或四级以上；</t>
  </si>
  <si>
    <t xml:space="preserve">即日起至2018年7月20日18:00
</t>
  </si>
  <si>
    <t>7月30日－8月2日</t>
  </si>
  <si>
    <t>（1）身份证、学生证；
（2）本科阶段成绩证明（包括加盖学校教务部门公章的成绩单及成绩总评排名的证明材料）；
（3）英语四六级证书或成绩单；
（4）其他：已发表论文（包括杂志封面、目录页及论文正文页）、各项获奖证书等。</t>
  </si>
  <si>
    <t>我院将为参加夏令营的正式营员购置保险及提供夏令营期间在校的食宿，以及往返所在学校与深圳之间的路费补助（凭票报销，原则上按照硬座火车票标准补贴，单程不超过300元，乘坐其它交通工具的超额部分自行承担）。返程车费将在营员返回所在学校后将车票（背面签名）邮寄至我院研究生科，研究生科报销后再将票款返还给营员</t>
  </si>
  <si>
    <t>评定合格的营员将获得中山大学附属第七医院（深圳）“优秀大学生夏令营”结业证书</t>
  </si>
  <si>
    <t>原则上应为“985工程”高校、“211工程”高校或“双一流”建设高校的2020年优秀应届本科毕业生（即将于2019年9月进入最后一学年学习的本科生），接受少量其他高校优秀学生报名；学习成绩优异，达到所在高校推荐免试生要求（已获得或有望获得所读大学免试推荐研究生资格者，本科综合成绩在年级或专业排名居前30%者优先考虑）；</t>
  </si>
  <si>
    <t>有良好的听、说、读、写能力，英语四级成绩425分以上；</t>
  </si>
  <si>
    <t>7月15日：8:00-18:00营员报到；                                                                                                            7月16日：9:00-12:00开营式（医院简介、医学教育专题讲座、学校招生政策解读）
14:30-17:30各教研室介绍
19:00-21:00推荐免试手续简介和问答
7月17日：
8:30-11:30参观七院、中大深圳校区、深圳光明新区展览馆
14:30-17:30师生见面会
19:00-21:00闭营礼
7月18日8:30-11:00
离营</t>
  </si>
  <si>
    <t>即日起至2019年7月3日18:00</t>
  </si>
  <si>
    <t>7月15日－7月18日</t>
  </si>
  <si>
    <t>（1）有效身份证、学生证；
（2）本科阶段成绩证明（包括加盖学校教务部门公章的成绩单及成绩总评排名的证明材料）；
（3）英语四、六级成绩单；
（4）其他：已发表论文（包括杂志封面、目录页及论文正文页）、各项获奖证书等。</t>
  </si>
  <si>
    <t xml:space="preserve">我院将为参加夏令营的正式营员购置保险、提供夏令营期间在院的食宿以及往返所在学校与深圳之间的路费补助（凭票报销，原则上按照硬座火车票标准补贴，单程不超过300元，乘坐其它交通工具的超额部分自行承担）。返程车费将在营员返回所在学校后将车票（背面签名）邮寄至我院研究生科，研究生科报销后再将票款返还给营员。
</t>
  </si>
  <si>
    <t xml:space="preserve">评定合格的营员将获得中山大学附属第七医院（深圳）“优秀大学生夏令营”结业证书
</t>
  </si>
  <si>
    <t>本科学习成绩优秀，本专业排名前30%，获得或者可能获得推免资格；就读的本科院校为“985工程”高校、“211工程”高校，或者就读的学科为全国优势学科（全国第四轮学科评估结果为A+、A、A-），其他优秀医学院校等，且将于2021年6月前毕业；</t>
  </si>
  <si>
    <t>具有良好听、说、读、写的英语应用能力，英语六级成绩达到425分及以上。</t>
  </si>
  <si>
    <t>7月25日—7月30日</t>
  </si>
  <si>
    <t>8月11日-12日</t>
  </si>
  <si>
    <t>a. 本科阶段成绩单原件或复印件（由学校教务部门或院系盖章）；
b. 英语水平的证明材料复印件；
c. 二代居民身份证复印件（正反面复印在同一张A4纸内）；
d. 学生证第一页和第二页复印到一张A4纸的复印件；
e. 其他证明材料复印件，如代表性学术论文（首页-即题目、摘要、作者所在页）、其他原创性工作成果、获奖证书等；
f. 中山大学附属第七医院（深圳）2020年全国优秀大学生夏令营申请表；
g. 中山大学附属第七医院（深圳）2020年全国优秀大学生夏令营报名个人信息表。</t>
  </si>
  <si>
    <t>将作为我院2021年研究生选拔的重要参考之一</t>
  </si>
  <si>
    <t>本科学习成绩优秀，本专业排名前30%，获得或者可能获得推免资格;就读的本科院校为原“985工程”高校、“211工程”高校，或者就读的学科为全国优势学科(全国第四轮学科评估结果为A+、A、A-)，其他优秀医学院校等，且将于2022年6月前毕业;</t>
  </si>
  <si>
    <t>2021年8月初</t>
  </si>
  <si>
    <t>(1)个人简历(1个页面)
(2)本科阶段成绩单原件或复印件(由学校教务部门或院系盖章);
(3)英语水平的证明材料复印件;
(4)二代居民身份证复印件(正反面复印在同一张A4纸内);
(5)学生证第一页和第二页复印到一张A4纸的复印件;
(6)其他证明材料，如代表性学术论文(首页即可-即题目、摘要、作者所在页)、其他原创性工作成果、获奖证书等。
(7)中山大学附属第七医院(深圳)2021年全国优秀大学生夏令营申请表
(8)中山大学附属第七医院(深圳)2021年全国优秀大学生夏令营报名个人信息表</t>
  </si>
  <si>
    <t>原则上应为“双一流”、985或211工程院校（含中山大学）、或者就读的学科为全国优势学科（全国第四轮学科评估结果为A+、A、A-）（医学、生物学、药学）的应届毕业生（即将于2020年9月份进入最后一学年学习的本科生）；有志从事科学研究和临床研究工作，学习成绩优秀，具有较强动手能力和较好科研潜质，总成绩排名原则上在所读学校同年级本专业前30％之内者（在其它方面有突出表现的学生除外），已经获得或即将获得所在高校推荐免试生资格者优先。</t>
  </si>
  <si>
    <t>申请直博生者，需通过英语六级，并且为985院校本科毕业生。</t>
  </si>
  <si>
    <t>活动时间为5天，内容包括入营报到、名师讲座、参观访问、相关教研室师生专题交流、组织面试等。</t>
  </si>
  <si>
    <t xml:space="preserve">即日起至2018年7月12日。
</t>
  </si>
  <si>
    <t>7月22日－7月26日</t>
  </si>
  <si>
    <t>1、填写《中山大学附属第六医院2018年全国优秀大学生夏令营申请表》、《报名信息汇总表》，下载网址：中山六院官网-科研教学-研究生招生http://www.zs6y.com/Detail.aspx?id=8350&amp;code=1604
2、将电子版申请材料及相关证明材料发送到报名邮箱zslyxly@126.com，并寄送纸版材料到我院教育科。</t>
  </si>
  <si>
    <t>我院将为参加夏令营的正式营员购置保险及提供夏令营期间的食宿，以及往返所在学校或者实习医院与广州之间的路费补助。</t>
  </si>
  <si>
    <t>7月16日前</t>
  </si>
  <si>
    <t>7月29日－8月2日</t>
  </si>
  <si>
    <t>拟招收广东省外50人、广东省内20人</t>
  </si>
  <si>
    <t>（一）于2019年7月16日前将下列材料电子版打包压缩以“XX大学+XXX姓名”为文件名，发送至zslyxly@126.com：
1、《中山大学附属第六医院2019年全国优秀大学生夏令营申请表》；
2、本科阶段成绩单及同年级总成绩排名（由教务部门或院系盖章）扫描件；
3、英语四六级证书扫描件。
（二）扫描以下二维码填写报名信息
（三）于2019年7月16日前寄送以下材料的纸质版：
1、《中山大学附属第六医院2019年全国优秀大学生夏令营申请表》
2、本科阶段成绩单及同年级总成绩排名（由教务部门或院系盖章）原件1 份；
3、体现自身英语水平的证明以及其他证明材料（如体现自身学术水平的代表性学术论文（包括包括相关杂志封面、目录页及文章正文页）或其他原创性工作成果复印件、获奖证书复印件等）。</t>
  </si>
  <si>
    <t>我院将为参加夏令营的正式营员购置保险及提供夏令营期间在校的食宿，以及往返所在学校或者实习医院与广州之间的路费补助（凭票报销，原则上按照硬座火车票标准补贴，单程不超过300元，学生根据情况可以乘坐动车、高铁、飞机等其他交通工具，但超额部分由学生自行承担）。</t>
  </si>
  <si>
    <t>评定合格的营员将获得中山大学附属第六医院“优秀大学生夏令营”结业证书。</t>
  </si>
  <si>
    <t>8.18上午：开营典礼、学校及医院视频介绍、招生政策介绍等；下午：名师讲座、相关教研室师生专题交流；8.19全天：各专业组织推免生面试；8.20日上午：各专业组织推免生面试；下午：夏令营闭营式</t>
  </si>
  <si>
    <t>8月10日前</t>
  </si>
  <si>
    <t>8月18日－8月20日</t>
  </si>
  <si>
    <t>1. 于2020年8月10日前将下列材料电子版按顺序以“XX大学+XXX姓名”为文件名另存为一个PDF文件，上传至问卷中，具体材料如下：
a.《中山大学附属第六医院2020年全国优秀大学生夏令营申请表》；
b. 本科阶段成绩单及同年级总成绩排名（由教务部门或院系盖章）扫描件；
c. 英语四六级证书扫描件。2. 填写以下问卷完成报名：
https://www.wjx.cn/jq/86537597.aspx
3. 个人30秒自我简介：
以视频形式录制简单自我介绍，须涵盖名字及所就读院校。该视频将会由研究生科整理并发送至所报考的意向专业老师。视频格式要求为AVI或MP4，以邮件形式将发送至以下地址：zslyxly@126.com。
邮件和视频文件命名方式为：夏令营自我介绍+姓名+就读院校名称，如格式不符合要求则不予接收。
4. 于2020年8月10日前寄送以下材料的纸质版：
a.《中山大学附属第六医院2020年全国优秀大学生夏令营申请表》；
b. 本科阶段成绩单及同年级总成绩排名（由教务部门或院系盖章）原件1 份；
c. 体现自身英语水平的证明以及其他证明材料（如体现自身学术水平的代表性学术论文（包括包括相关杂志封面、目录页及文章正文页）或其他原创性工作成果复印件、获奖证书复印件等）。</t>
  </si>
  <si>
    <t>评定合格的营员将获得中山大学附属第六医院“优秀大学生夏令营”结业证书及纪念品一份。</t>
  </si>
  <si>
    <t>夏令营正式举办时间暂定为8月4日至8月6日，夏令营活动将以线上形式组织和安排，具体安排如下：8月4日进行开营典礼、学校及医院视频介绍、招生政策介绍、名师讲座、相关姜堰市师生专题交流等；8月5日各专业组织推免生面试；8月6日上午各专业组织推免生面试，下午进行夏令营闭营式</t>
  </si>
  <si>
    <t>2021年7月28日（以当地邮戳为准）</t>
  </si>
  <si>
    <t>8月4日至8月6日</t>
  </si>
  <si>
    <t>全国重点高等院校拟招收70名医学相关专业（医学、生物学、药学）大学应届毕业生。</t>
  </si>
  <si>
    <t>（一）于2021年7月28日前将下列材料电子版按顺序以“XX大学+XXX姓名”为文件名另存为一个PDF文件，上传至问卷中，具体材料如下：
1、《中山大学附属第六医院2021年全国优秀大学生夏令营申请表》；
2、本科阶段成绩单及同年级总成绩排名（由教务部门或院系盖章）扫描件；
3、英语四六级证书扫描件。
4、其它获奖证书扫描件（非必需项，最多上传三张）
（二）填写以下问卷完成报名：
https://www.wjx.cn/vj/r9v6WR8.aspx
（每位报名的同学请点击网页链接如实填写信息）
（三）于2021年7月28日前寄送以下材料的纸质版：
1、《中山大学附属第六医院2021年全国优秀大学生夏令营申请表》
2、本科阶段成绩单及同年级总成绩排名（由教务部门或院系盖章）原件1 份；
3、体现自身英语水平的证明以及其他证明材料（如体现自身学术水平的代表性学术论文（包括包括相关杂志封面、目录页及文章正文页）或其他原创性工作成果复印件、获奖证书复印件等）。</t>
  </si>
  <si>
    <t>健康科学研究院</t>
  </si>
  <si>
    <t>通过国家大学英语六级考试（425分及以上）或雅思英语成绩总分达到6.0或托福成绩≥90分，且达到所在高校推荐免试生要求；</t>
  </si>
  <si>
    <t>夏令营期间将安排营员聆听学术报告、学科介绍、与导师面对面、参观实验室等活动，同时安排营员的考核选拔工作。</t>
  </si>
  <si>
    <t xml:space="preserve">（一）请登录网站报名，报名截止日期为6月16日；
（二）寄送纸质版材料：请于6月19日前寄达。
</t>
  </si>
  <si>
    <t>原则上分专业接收优秀营员数不超过2020年该专业录取硕士研究生人数的50%。</t>
  </si>
  <si>
    <t xml:space="preserve">（一）中国医科大学全国优秀大学生夏令营活动申请表1份（报名后网上打印）；
（二）个人陈述1份（见附件2）；
（三）本科阶段成绩单（由教务部门或院系盖章）1份；
（四）成绩排名或综合测评排名证明材料（由教务部门或学生管理部门盖章）1份；
（五）英语六级成绩单及其他英语水平证明材料（复印件）；
（六）各项获奖证书复印件或其他获奖材料（如体现自身学术水平的代表性学术论文或其他原创性工作成果复印件、获奖证书复印件等）。
</t>
  </si>
  <si>
    <t>1.获得所在学校推荐免试研究生（以下简称推免生）资格并报考我校,免复试直接拟录取（接收专业目录参考附件1，最终以中国医科大学公布的2018年研究生招生专业目录为准）；
2.第一志愿报考我校硕士研究生，考试成绩达到复试基本分数线（含总分、单科分数）标准,可直接进入复试。
3.入学后享受相关奖助政策：
推免生和第一志愿报考我校并第一志愿录取者直接获得新生奖学金，录取为非临床医学类学术学位奖励金额10000元/生，录取为临床医学类学术学位及所有专业学位奖励金额为8000元/生。</t>
  </si>
  <si>
    <t xml:space="preserve">（一）请登录网站报名，报名截止日期为6月14日；
（二）寄送纸质版材料：请于6月17日前寄达。
</t>
  </si>
  <si>
    <t>7月14日－16日</t>
  </si>
  <si>
    <t xml:space="preserve">（一）中国医科大学全国优秀大学生夏令营活动申请表1份（报名后网上打印）；
（二）个人陈述1份（见附件2）；
（三）本科阶段成绩单（由教务部门或院系盖章）1份；
（四）成绩排名或综合测评排名证明材料（由教务部门或学生管理部门盖章）1份；
（五）英语六级成绩单及其他英语水平证明材料（复印件）；
（六）各项获奖证书复印件或其他获奖材料（如体现自身学术水平的代表性学术论文或其他原创性工作成果复印件、获奖证书复印件等）。
</t>
  </si>
  <si>
    <t>a. 获得所在学校推荐免试研究生（以下简称推免生）资格并报考我校的优秀营员(报考志愿与夏令营志愿一致),免复试直接拟录取（接收专业目录参考附件1，最终录取将以中国医科大学公布的2021年研究生招生专业目录及计划为准）；
b. 第一志愿报考我校硕士研究生的优秀营员(报考志愿与夏令营志愿一致)，考试成绩达到复试基本分数线（含总分、单科分数）标准,同等条件下优先进复试；
c. 入学后享受的相关奖助政策。
推免生和第一志愿报考我校并第一志愿录取的夏令营优秀营员可获得新生奖学金。在学期间可参评学业奖学金、日本第一三共奖学金、国家奖助学金等。</t>
  </si>
  <si>
    <t xml:space="preserve">腾讯会议（主机位）+钉钉（双机位）
</t>
  </si>
  <si>
    <t>夏令营期间将安排营员聆听线上学术报告、线上学科介绍、线上与导师交流等主题活动，同时安排营员的考核选拔工作。</t>
  </si>
  <si>
    <t>8月5至8月7日</t>
  </si>
  <si>
    <t>1. 中国医科大学2020年优秀大学生暑期夏令营申请表1份；
2. 个人简历1份；
3. 本科阶段成绩单（由教务部门或院系盖章）1 份；
4. 成绩排名或综合测评排名证明材料（由教务部门或学生管理部门盖章）1份；
5. 英语六级成绩单及其他英语水平证明材料；
6. 各项获奖证书或其他获奖材料（如体现自身学术水平的代表性学术论文或其他原创性工作成果、获奖证书等）。</t>
  </si>
  <si>
    <t>8月8日17:00前</t>
  </si>
  <si>
    <t>8月9至8月18日</t>
  </si>
  <si>
    <t>原则上分专业接收优秀营员数不超过2021年该专业录取硕士研究生人数的50%</t>
  </si>
  <si>
    <t>（一）中国医科大学2021年优秀大学生暑期夏令营申请表1份；
（二）个人陈述1份；
（三）本科阶段成绩单（由教务部门或院系盖章）1份；
（四）成绩排名或综合测评排名证明材料（由教务部门或学生管理部门盖章）1份；
（五）英语六级成绩单及其他英语水平证明材料（复印件）；
（六）各项获奖证书复印件或其他获奖材料（如体现自身学术水平的代表性学术论文或其他原创性工作成果复印件、获奖证书复印件等）。</t>
  </si>
  <si>
    <t>（一）获得所在学校推荐免试研究生（以下简称推免生）资格并报考我校的优秀营员(报考志愿与夏令营志愿一致),免复试直接拟录取（接收专业目录参考附件1，最终录取将以中国医科大学公布的2022年研究生招生专业目录及计划为准）；
（二）第一志愿报考我校硕士研究生的优秀营员（报考志愿与夏令营志愿一致），考试成绩达到复试基本分数线（含总分、单科分数）标准，同等条件下优先进复试；通过复试后，在同等条件下优先录取。（注：同等条件下是指总分及单科分数均相同）；
（三）入学后享受的相关奖助政策
在学期间可参评学业奖学金、日本第一三共奖学金、国家奖助学金等。</t>
  </si>
  <si>
    <t>法医学院</t>
  </si>
  <si>
    <t xml:space="preserve"> 学习成绩优秀，本科阶段总成绩排名在同年级本专业前50％之内，在校期间必修课程无不及格及重修</t>
  </si>
  <si>
    <t>（一）中国医科大学全国优秀大学生夏令营活动申请表1份（报名后网上打印）；
（二）个人陈述1份（见附件2）；
（三）本科阶段成绩单（由教务部门或院系盖章）1份；
（四）成绩排名或综合测评排名证明材料（由教务部门或学生管理部门盖章）1份；
（五）英语六级成绩单及其他英语水平证明材料（复印件）；
（六）各项获奖证书复印件或其他获奖材料（如体现自身学术水平的代表性学术论文或其他原创性工作成果复印件、获奖证书复印件等）。</t>
  </si>
  <si>
    <t>7月31日17:00前</t>
  </si>
  <si>
    <t xml:space="preserve">1. 中国医科大学2020年优秀大学生暑期夏令营申请表1份；
2. 个人简历1份；
3. 本科阶段成绩单（由教务部门或院系盖章）1 份；
4. 成绩排名或综合测评排名证明材料（由教务部门或学生管理部门盖章）1份；
5. 英语六级成绩单及其他英语水平证明材料；
6. 各项获奖证书或其他获奖材料（如体现自身学术水平的代表性学术论文或其他原创性工作成果、获奖证书等）。
</t>
  </si>
  <si>
    <t>8月6日17:00前</t>
  </si>
  <si>
    <t>线下</t>
    <phoneticPr fontId="5" type="noConversion"/>
  </si>
  <si>
    <t>正式书面版申请书(从网上申请系统中打印出来（从医行）、相关栏目签字、加盖公章)、本科成绩单(由教务处或院系盖章)以及其他证明材料(如：英语水平证明，发表论文、专利，各类获奖或资格证书等)</t>
    <phoneticPr fontId="5" type="noConversion"/>
  </si>
  <si>
    <t>1.夏令营申请表（见附件），填写打印后，学校/学院教务处或院系负责人签字盖章；
2.个人简历及个人陈述（包括兴趣、特点、经历以及你选择北京大学药学院和应该被录取的理由），无特殊格式要求；
3.本科历年成绩单１份，须加盖所在学校或学院教务部门公章；
4.英语六级水平证书或相关英语成绩证明；（从医行）
5.两位副教授（或相当职称）或以上专家的推荐信（原件，推荐专家亲笔签字）；
6.其他有关能力的证明材料（如：发表论文、专利，各类获奖等）</t>
    <phoneticPr fontId="5" type="noConversion"/>
  </si>
  <si>
    <t>1.下载并填写“附件1. 北京大学基础医学院2018年夏令营报名表”，命名为“夏令营+姓名+学校”（例如：夏令营某某郑州大学）。
2.下述申请材料扫描保存为一个PDF文件，命名为“夏令营+姓名+学校”，夏令营活动时查验原件：
①下载并填写“附件2. 北京大学基础医学院优秀大学生暑期夏令营活动申请表”，学校推荐盖章；
②个人陈述（关于个人学术背景、曾经做过的研究工作以及未来学习和研究的计划、目标等）；
③本科阶段成绩单（教务部门盖章）；
④体现自身英语水平的证明（如国家英语四、六级考试成绩、TOEFL成绩或GRE成绩等复印件）；
⑤其他证明材料（如体现自身学术水平的代表性学术论文或其他原创性工作成果、获奖证书等）。
上述1、2两项于6月15日前发送邮件至李老师邮箱（lipingfeng@bjmu.edu.cn）。（cyx标志）
3.专家推荐信两封，即需要两位副教授（含）以上职称的专家分别推荐。请推荐人于6月15日前直接将推荐信发送至李老师邮箱（lipingfeng@bjmu.edu.cn），文件名“推荐信+学生姓名+学校”。</t>
    <phoneticPr fontId="5" type="noConversion"/>
  </si>
  <si>
    <t>(1)将填写完整的电子版申请表（附件1）及个人信息汇总表（附件3）按申请表、个人简历、导师推荐信、成绩单、获奖证书复印件、各类证书复印件、其它材料等顺序于6月20日之前发送至邮箱： 245400977@qq.com。为方便整理，请将文件命名为“夏令营_在读学校_姓名”，邮件主题格式统一为“基础医学院夏令营-在读学校-姓名”。
(2) 请将纸质申请表、成绩单、证书复印件等申请材料一并装入A4档案袋，并在档案袋正面写上姓名、所在学校及院系，并注明“基础医学院夏令营申请”。邮寄材料截至日期为6月20日（以寄出时间为准），过期不再接受申请。建议以快递方式邮寄，不接受平邮和挂号信。</t>
    <phoneticPr fontId="5" type="noConversion"/>
  </si>
  <si>
    <t>1.《上海交通大学生物医学工程学院（含Med-X研究院）研究生自主招生优才夏令营申请表》（签字盖章后的原件）；（cyx标志）2.网上报名后打印的申请表；3.大学期间成绩单（原件、教务部门盖章）；4.英语六级成绩单（复印件）或其他英语考试成绩证明：如托福，雅思，中、高级口译证书等（复印件）；5.学生证、身份证（复印件）；6.其他证明材料（如已发表论文的复印件、奖状复印件、各类证书等）。</t>
    <phoneticPr fontId="5" type="noConversion"/>
  </si>
  <si>
    <t>1、具有2020年推免生资格的学生在推免工作中申请我院，学院将根据接收规模从高分到低分依次录取，额满为止，暑期学校的考核成绩可以视为研究生入学考试复试成绩。2、未获得推免资格的优秀学员若2020年报考我院硕士研究生，其统考初试成绩达到其所报考专业的复试成绩基本要求的，可直接拟录取，暑期学校的考核成绩可以视为研究生入学考试复试成绩。（congyixing）3、提供暑期学校在沪活动期间的食宿、保险及医学院统一安排的参观考察费等，凡报考我院推免或统考研究生的学员均按不高于动车二等座或硬卧的标准实额报销参加本次活动的往返路费。</t>
    <phoneticPr fontId="5" type="noConversion"/>
  </si>
  <si>
    <t>1、申请表(报名成功后由系统自动生成);
2、本科成绩单和全专业成绩排名证明(各1份;院、校两级教务部门盖章均可);（congyixing）
3、大学英语四/六级成绩单、TOEFL、GRE成绩单等英语成绩证明材料;
4、个人简历及相关支撑材料做成一个PDF文件，包括获奖证书、学术成果等有关能力的证明材料(如获奖证书、发表论文、专利等)。</t>
    <phoneticPr fontId="5" type="noConversion"/>
  </si>
  <si>
    <t>第一批报名材料截止日期为2023年6月20日，邮寄材料截止日期为6月20日（以邮戳为准）。第二批报名材料截止日期为2023年7月20日，邮寄材料截止日期为7月20日（以邮戳为准）。</t>
  </si>
  <si>
    <t>研究所招生分2批进行：第一批面试时间大约在6月底7月初，主要针对TIMBR项目的招生；第二批面试时间大约在7月底8月初，主要针对北京协和医学院、北京师范大学和中国农业大学学籍的招生。</t>
  </si>
  <si>
    <t>A. 报名登记表（网上注册时生成的文件，请打印后签名）
B. 个人陈述
C. 在校历年成绩单（盖教务处公章）
D. 国家英语水平考试六级证书或成绩单复印件
E. 专家推荐信2份，推荐信必须装入信封密封，骑缝处由推荐人签名
F. 如有已发表文章，仅需邮寄首页复印件</t>
  </si>
  <si>
    <t>申请者须具备较强的英语 语言能力。项目接受雅思(不低于7分)、托福(iBT不低于100分)或剑桥英语(不低于185分)成绩。</t>
  </si>
  <si>
    <t>2023年 1 月 1 日：在线申请系统开放
2023年 5 月 20日23:59(北京时间)：在线申请系统关闭</t>
  </si>
  <si>
    <t>2023年7月2日</t>
  </si>
  <si>
    <t>2023年6月20日24:00前</t>
  </si>
  <si>
    <t>1.呼吸疾病国家重点实验室2023年暑期大学生夏令营申请表。
2.专家推荐信1封（副高及以上职称教师签名、教师联系方式）。
3.本科阶段成绩单1份（由教务部门或院系盖章）。
4.总评成绩排名证明文件1份（由教务部门或院系盖章）。
5.学生证复印件（将个人信息页和注册信息页复印在1张A4纸上）。
6.身份证复印件1份（将正反面复印在1张A4纸上）。
7.其他相关证明材料：英语水平及获奖证书复印件等。</t>
  </si>
  <si>
    <t>实验室将对所有申请人进行入营资格审核，择优录取。</t>
  </si>
  <si>
    <t>2023年4月12日00:01:00到2023年5月31日23:59:00</t>
  </si>
  <si>
    <t xml:space="preserve">7月3日上午营员报到，下午夏令营开始;7月7日返程离校。
生命学院，医学院基础医学方向、药学院生命科学相关方向和生命科学联合中心全面情况介绍。
各学科方向导师与营员见面、交流。
分组参观校级平台。
夏令营优秀营员选拔。
注：营员报到后要求全程参加夏令营活动。
</t>
  </si>
  <si>
    <t>2023年6月9日16：00前</t>
  </si>
  <si>
    <t>2023年7月3日-7月7日</t>
  </si>
  <si>
    <t xml:space="preserve">1. 清华大学相关专业为生物学或者基础医学，不定导师，入学第一年一边学习研究生课程，一边进行轮转。轮转在生命学院、医学院基础医学系、生命科学联合中心和药学院生命科学相关方向的所有实验室中选择进行。轮转结束根据导师和学生双向自愿选择定导，定导在医学院的学生需选择基础医学专业，定导在其他学院的学生选择生物学专业，并按各自学科方向的要求完成博士生培养。
2. 夏令营“报名服务系统”中需选择意向单位和学科方向意向，欢迎学生了解所有导师的研究方向。最终项目由四方统筹决定。 </t>
  </si>
  <si>
    <t>活动主要包括PI宣讲、实验室参观、师生交流、校园参观，同时进行2024年接收推荐免试攻读博士研究生的初步选拔工作。</t>
  </si>
  <si>
    <t>2023年6月8日16:00前</t>
  </si>
  <si>
    <t>2023年7月3日-5日</t>
  </si>
  <si>
    <t>1. 有效身份证明。申请人须提供有效中华人民共和国居民身份证，正反页复印在一页扫描上传。
2. 在学证明，并附学信网《教育部学籍在线验证报告》。
3. 本人自述（中英文均可）。
4. 英语4级或6级通过证书或成绩单，或其他外语成绩证明。
5. 本科阶段各学期成绩单(原件，有学校教务处或院系公章)。
6. 本科阶段前两年半或前三年成绩排名证明(原件，有学校教务处或院系公章)。
7. 两份与申请学科相关的职称为副教授（或相当职称）及以上专家的“专家推荐信”。
8. 如果有在核心刊物或会议上发表学术论文、出版物或取得具有学术水平的工作成果，请提交接收函或证明文件，发表文章仅需提供首页。
9. 如果在学期间从事课外科技活动中有获奖或突出表现，请提交由学校教务部门出具并加盖公章的证明材料。
10. 其他可证明科研水平和能力的材料。
注：申请人在线邀请两位与申请学科相关的副教授以上职称专家在线填写推荐信。推荐专家按申请服务系统要求，在报名规定的时间内填写、上传专家推荐信，同时请专家协助妥善保存推荐信原件，待后续接到通知后再寄送推荐信原件。</t>
  </si>
  <si>
    <t>1.申请以下导师的同学，请按照本通知的要求报名参加“清华大学药学院2023年优秀大学生夏令营”。
白净卫、陈立功、储凌、杜娟娟、何伟、胡泽平、蒯锐、廖学斌、钱锋、饶燏、唐叶峰、王戈林、汪舰、张永辉、祖连锁。
2.申请药学院以下导师的同学，请按照“清华大学2023年生命科学与基础医学夏令营”通知要求报名参加联合夏令营。详见链接：https://www.sps.tsinghua.edu.cn/info/1075/1834.htm
丁胜、李寅青、刘翔宇、秦为、唐海东、田博学、王霞、肖百龙、尹航、张从刚、张敏、张数一。
注：入选为“清华大学2023年生命科学与基础医学云夏令营”优秀营员的同学，相关专业为生物学、基础医学或者药学，不定导师，入学第一年一边学习研究生课程，一边进行轮转。轮转在生命学院、医学院基础医学系、生命科学联合中心和药学院生命科学相关方向的所有实验室中选择进行。轮转结束根据导师和学生双向自愿选择定导。根据导师所在学科和所属院系确定学生的专业和学籍。学生一旦选择导师并确定专业和学籍后，将按照所属专业培养方案的要求完成博士生培养。
3.以下导师不参加2023年夏令营：
蒋宇扬、刘刚、鲁白、王钊、杨悦。
欢迎同学们在清华大学药学院官方网站上查询并提前了解所有导师的研究方向。</t>
  </si>
  <si>
    <t>开始时间：2023年4月12日；申请截止时间：2023年6月18日（含）</t>
  </si>
  <si>
    <t>夏令营活动暂定于2023年7月10-13日、7月17-20日（其中10日、17日报到）、
暑期班暂定于2023年7月10-21日（其中10日报到）</t>
  </si>
  <si>
    <t>截止时间为2023年6月15日</t>
  </si>
  <si>
    <t>1.《生物与化学交叉研究中心2023年暑期夏令营申请表》
2. 本科成绩单（需加盖教务处或院系公章）
3. 专业排名证明或其他证明材料（需加盖公章或辅导员签字）
4. 英语四/六级成绩单复印件
5. 身份证复印件
6. 学生证复印件
7. 其他等级证书或校级以上获奖证书复印件
8. 副教授以上职称专家推荐信（需有推荐教师签名）
9. 已发表论文或出版物复印件</t>
  </si>
  <si>
    <t>线上宣讲</t>
  </si>
  <si>
    <t>1 研究所情况全面解读
2 2024年招生政策深度解读
3 在线互动答疑</t>
  </si>
  <si>
    <t>2023年4月8日-4月9日（宣讲会）</t>
  </si>
  <si>
    <t>直播结束后，同学们可下载掌上考研APP观看直播回放视频。
各实验室直播宣传后续会陆续推出，请同学们关注研究所官网、官微、QQ群通知。</t>
  </si>
  <si>
    <t>英语水平优秀，原则上须符合以下条件之一：
（1）大学英语六级成绩达到460分及以上；
（2）托福（TOEFL）成绩达到90分及以上；
（3）雅思（IELTS）成绩达到6.0及以上；
（4）入学前参加境外全英文授课学位项目学习并获得学位（指本科阶段）。</t>
  </si>
  <si>
    <t>主要活动包括开营仪式、学术报告、大咖面对面、WeTalk我们说科学、在校博士生学长学姐交流会、科研平台参观和优秀营员选拔等。</t>
  </si>
  <si>
    <t>2023年4月12日中午12时至2023年6月12日中午12时</t>
  </si>
  <si>
    <t>2023年6月29日至7月2日</t>
  </si>
  <si>
    <t>约180名</t>
  </si>
  <si>
    <t>1.个人陈述：内容需涵盖本人学术科研经历、博士阶段的科研计划等，2000字左右（如用中文书写，可适当增加字数），可参考附件模板；
2.在读证明：须加盖学校教学管理部门或院系公章；境外在读的学生需提供就读学校出具的在读证明（写明预计获得学位时间）；
3.成绩排名：应届本科生须提供官方出具（加盖公章）的前三年综合排名；
4.成绩单：本科阶段在校学习成绩单扫描件，并加盖学校教学管理部门或院系公章；
5.英语水平证明：全国大学英语六级、托福或雅思等成绩单；以攻读全英文授课学位作为英语水平条件者，若就读学校所在国家的官方语言或母语不是英语，须提供全英文授课证明；
6.学术科研成果：体现自身学术水平的代表性学术科研成果；
7.获奖证明：在校期间从事课外科技活动获奖证明或其他各类获奖证明；
（注意：以上需在系统提交相关材料的扫描件）
8.教育部学籍在线验证报告：国内高校2024年应届本科毕业生应提交；
9.专家推荐信：至少2位报考学科领域内的教授（或相当专业技术职称的专家）或博士生导师出具的推荐信。建议由推荐人在线填写提交；申请人提交仅作为推荐人无法在线填写的备选方案，详见系统内报名须知。</t>
  </si>
  <si>
    <t>夏令营优秀营员若获得所在院校2024年推荐免试资格，符合西湖大学2024年推荐免试直博生招生简章的报考条件，将获得西湖大学2024年推免直博生拟录取资格；未获得推荐免试资格的优秀营员，若符合西湖大学2024年博士研究生招生简章的报考条件，将优先获得西湖大学2024年博士研究生拟录取资格。</t>
  </si>
  <si>
    <t>截止时间为2023年6月20日</t>
  </si>
  <si>
    <t>夏令营：2023年7月10日--12日（以实际通知为准）
　推免活动：2023年7月12日--14日（以实际通知为准）</t>
  </si>
  <si>
    <t>报名网址：https://zs.sep.sedu.sinh.ac.cn/login.html
　　1. 请使用谷歌或360浏览器(极速模式)注册、填报。
　　2. 请认真填写各项信息，并保证所填数据真实可靠。
　　3. 报名表的填写要仔细，手机号码和电子邮箱务必要拼写准确。如提交后需要修改，可再次登录进行修改提交，切记不要二次注册。
　　4. 报名过程中如遇技术问题，可邮件咨询技术管理老师（李老师：307994449@qq.com）。
　　重要声明：申请者务必保证所提交材料的真实合法性，如因材料虚假或其他不端行为导致的一切后果由申请者本人承担。</t>
  </si>
  <si>
    <t xml:space="preserve"> 上海营养与健康研究所将为入选人员发放就餐餐券和一定的住宿补贴。</t>
  </si>
  <si>
    <t>香港科技大学</t>
  </si>
  <si>
    <t>生命科学部</t>
  </si>
  <si>
    <t>三学年总共的 GPA 成绩至少达到 80% (即在 4.0 制中达到 3.2)</t>
  </si>
  <si>
    <t xml:space="preserve">参与者将会参加一系列介绍生命科学部最新研究进展的交流会，并有机会参观实验室和科研设施，与教授和在读研究生进行交流。
在夏令营中还将挑选合适的学生加入2024秋季的入学计划，并且有机会在香港科技大学进行毕业设计。
</t>
  </si>
  <si>
    <t>截止时间为2023年5月12日</t>
  </si>
  <si>
    <t>2023年7月10日-7月14日，为期5天</t>
  </si>
  <si>
    <t>填写网上报名表 
(https://ust.az1.qualtrics.com/jfe/form/SV_3dV0IwD3EpB0Jg2) 并上载成绩单 (中文及英文版本，非官方也可) 及简历 (英文版)</t>
  </si>
  <si>
    <t>香港科技大学为将参加者提供校内住宿 (2-3人/间) 及餐饮 (包括不少于港币$480的餐饮券)。
参加者需自行承担由所在地往来香港的旅费，自费活动和自由活动等个人消费及办理出入境手续相关费用。</t>
  </si>
  <si>
    <t>成功申请者将于2023年5月31日或前收到通知，并需要自行办理签证及支付相关费用。签证需时请及早办理。</t>
  </si>
  <si>
    <t>大学本科阶段学习成绩优异（一般应是专业综合排名前30%）</t>
  </si>
  <si>
    <t>外国语程度良好，具有较强的外语听、说、读、写能力，通过CET英语四级或六级考试（≥425分）者优先</t>
  </si>
  <si>
    <t>遗传发育所概况及研究生培养情况介绍、专家学术报告、 研究所参观、师生交流、推免生面试等活动，具体内容将在申请通过后另行通知。</t>
  </si>
  <si>
    <t>2023年5月1日至6月12日</t>
  </si>
  <si>
    <t>2023年7月上旬</t>
  </si>
  <si>
    <t>通过中国科学院大学夏令营网报系统申报。请申请人登录“科教结合协同育人行动计划”网站（http://kjxt.ucas.ac.cn/），进入“大学生夏令营报名入口”，注册后，选择“筑梦科学”大学生夏令营——遗传与发育生物学研究所，点击“我要报名”。报名系统预计4月底开通。</t>
  </si>
  <si>
    <t>1.为外地学生提供在京的住宿（京区学生不提供住宿，将给予相应的交通补贴）；
2.请自行预订往返车票，研究所提供适当的交通和生活补贴；
3.研究所将为学生购买在京期间人身意外伤害保险，报到时需签署安全协议。</t>
  </si>
  <si>
    <t>医学中心</t>
  </si>
  <si>
    <t>英语能力优秀，满足以下条件其中一项：
1) 全国大学英语六级考试（CET-6）成绩原则上480分及以上；
2) 托福（TOEFL）考试成绩90分及以上；
3) 雅思（IELTS）成绩6.0分及以上；
4) 英语专业八级合格；
5) 在英语国家获得过学士及以上学位。
备注：未达到以上英语水平条件，但科研业绩突出或学术潜力优秀的申请人，经审定，英语水平要求可放宽到全国大学英语六级考试（CET-6）460分。</t>
  </si>
  <si>
    <t>开营仪式、师生互动、优秀营员选拔（优秀营员将按学历背景分组评选）、参观游览等</t>
  </si>
  <si>
    <t>我们将为营员提供夏令营期间食宿（杭州高校学生不提供住宿），并为异地学校学生报销往返高铁二等车票费用(需有车票)。</t>
  </si>
  <si>
    <t>活动将由脑所、生命健康学院相关院士、教授、研究员带领，内容包括科技前沿讲座、专题报告、趣味科普、师生面对面、实验室面面观、学长学姐交流会、优秀营员面试、深圳文化行等，让同学们亲身感受脑所浓厚的科研氛围与友爱博大的人文关怀。</t>
  </si>
  <si>
    <t>2023年7月中旬</t>
  </si>
  <si>
    <t>(1) 本科成绩单和专业排名证明，需加盖教务处公章。
(2) 相关英文能力证明。（包括大学英语四、六级；雅思；托福或GRE等。）
(3) 学生证和身份证复印件。
(4) 推免资格证明。（如有请提供）
(5) 专家推荐信。（如有请提供）
(6) 其他证明材料。（如已发表论文的电子版摘要页、各类证书奖状电子版等。）
（以上材料请按顺序整合进一个PDF文件内，命名为：姓名-XX大学-XX专业，存储空间有限，请同学们将文件压缩至最小。谢谢大家！）</t>
  </si>
  <si>
    <t>1、请遵守活动相关纪律要求和安排，按时参加活动，严格遵守深圳先进院相关规章制度；
2、申请信息需真实有效，不得弄虚作假，若有不实信息，将撤销其资格；
3、营员需按要求全程准时参加活动。</t>
  </si>
  <si>
    <t>截止时间为2023年6月4日</t>
  </si>
  <si>
    <t>2023年7月初</t>
  </si>
  <si>
    <t>请扫描二维码进行网上报名。报名后提交附照片的个人简历一份，成绩单及佐证材料一份，所有材料合成一个PDF文件，文件命名：姓名+学校，发送至邮箱edu@ihcams.ac.cn</t>
  </si>
  <si>
    <t>第一天：下午(13:00后，紫金港白沙综合楼宿管处) 学员报到登记，安排住宿，熟悉校园
第二天：开营仪式，教授讲座、交流，脑院实验室及良渚实验室参观体验活动
第三天：面试及优秀学员选拔，颁发证书，离校</t>
  </si>
  <si>
    <t>截止时间为2023年6月6日17:00</t>
  </si>
  <si>
    <t>1、填写“浙江大学脑科学与脑医学学院全国优秀大学生暑期夏令营申请表”（见原文附件1）。
2、本人身份证，学生证。
3、本科阶段成绩单（本科生注明前五个学期总评成绩的专业排名和专业总人数，须由所在院系教务部门盖章）。
4、相关证明材料1份（英语成绩单、已发表论文、各类获奖证书等可体现自身学术水平和工作能力的材料）。
5、两位与申请学科有关的教授（或相当职称）及以上专家的专家推荐信（格式不限，报名上传材料时可不提供，正式入选报到时出具）。
【提醒】以上材料请合成一个PDF上传至报名网址中“相关证明材料”一栏。</t>
  </si>
  <si>
    <t>1、参加夏令营的营员统一由我院安排食宿，费用由我院承担。
2、学院将统一购买在浙大活动期间的团体意外保险，各位入选营员需自购旅途意外险等保险。
3、交通费：营员请自行预定往返车票，我院负责报销外地学生的往返汽车或火车硬席、动车/高铁二等座额度的交通费（交通费报销上限不超过500元，西部地区高校的同学可以提出申请，另行考虑），报销时须提供往返车票。
4、活动期间免费提供相关讲义和资料。</t>
  </si>
  <si>
    <t>1、参加暑期夏令营的学生必须遵守浙江大学的相关规定，按照统一的安排参加各项活动，并注意安全。
2、营员报到后要求全程参加夏令营活动，擅自离营者，举办方将不提供相关食宿及补助。
3、请及时关注脑科学与脑医学学院官网有关2023年夏令营活动的相关安排通知。</t>
  </si>
  <si>
    <t>2023年4月12日-5月31日</t>
  </si>
  <si>
    <t>初拟5月27日召开线上宣讲会和线上答疑咨询，7月上旬开展为期2天的夏令营线下活动及优秀营员评选，夏令营具体活动安排将另行通知。</t>
  </si>
  <si>
    <t>2023年5月1日10:00-5月31日17:00</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</si>
  <si>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6.提供副高级职称以上专家撰写的推荐信2封（硕士非必须，申请直博必须提供且为正高级职称专家推荐）。</t>
  </si>
  <si>
    <t>优秀营员评选实施细则
1.研究所成立优秀营员评选小组，选派责任心强、教学经验丰富、学术及外语水平较高的人员参与评选工作评选小组成员不少于5人。
2.评选考核内容包括放射医学与防护专业的综合知识与技能、外国语水平、思想政治素质和品德考核等。
3.评选考核采用现场考核方式。
考核时间：将在考核之日前1周在本所官网发布公告，并以电子邮件形式通知入营营员。
考核地点：上海市徐汇区斜土路2094号，复旦大学放射医学研究所。
每位考生的考核时间一般不少于20分钟，全程录音录像。
4.评选考核成绩中，专业知识考核成绩占60%，外国语考核成绩占40%。按照总成绩由高到低排名。评选考核成绩不合格者，不能评为优秀营员。
5.评选考核结果将在考核结束后5个工作日内通过复旦大学研究生报考服务系统发布，请考生及时登录系统查看考核结果。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</si>
  <si>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2023年7月5日-8日</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</si>
  <si>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6.报考直博生须根据系统说明提供两封正高级专家推荐信。
7.学信网学籍认证报告(须在有效期内)。
8.个人简历(一页A4纸以内)。
9.本科阶段成绩排名(须加盖教务处或院系公章)。</t>
  </si>
  <si>
    <t>优秀营员评选实施细则
1.研究院根据夏令营活动安排成立(若干)优秀营员评选小组，选派责任心强、教学经验丰富、学术及外语水平较高的人员参与评选工作，每个小组成员一般不少于5人。
2.评选考核内容包括所报考专业的综合知识与实验技能、外国语水平及思想政治素质和品德考核等。
3.评选考核采用现场考核方式。
考核安排将另行通知。
每位考生的考核时间一般不少于20分钟，全程录音录像。
4.评选考核成绩中，专业知识考核成绩占70%，外国语考核成绩占30%。按照总成绩由高到低排名。评选考核成绩不合格者，不能评为优秀营员。
5.评选考核结果将在夏令营所有考核结束后5个工作日内，通过复旦大学研究生报考服务系统发布，请考生及时登录系统查看考核结果。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</si>
  <si>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2023年5月1日 10:00-5月31日17:00</t>
  </si>
  <si>
    <t>1. 近期正面免冠彩色证件照片，电子版JPG格式，150×200像素，大小500K以内。
2. 个人简历及陈述1份。
3. 本科阶段成绩单和专业排名证明（均须由教务部门盖章）各1份。
4. 外语水平证明，如CET四级、CET六级、雅思、托福、专业外语成绩等;
5. 有关获奖证书和学术科研成果，如发表论文、出版物或其他原创性工作;
6. 考生诚信考核承诺书。</t>
  </si>
  <si>
    <t>优秀营员评选实施细则
1. 学院按专业方向成立（若干）优秀营员评选小组，各专业方向选派责任心强、教学经验丰富、学术及外语水平较高的人员参与评选工作，每个小组成员一般不少于5人。
2. 评选考核内容包括所报考专业的综合知识与技能、外国语水平及思想政治素质和品德考核等。
3. 评选考核采用现场面试方式进行。每位营员的面试时间一般不少于 20 分钟，进行全程录音录像。
4. 评选考核成绩中，专业知识面试成绩占50%，外国语面试成绩占50%。按照总成绩由高到低排名。评选考核成绩不合格者，不能评为优秀营员。
5. 评选考核结果将在面试后7个工作日内，通过复旦大学研究生报考服务系统发布。
6. 夏令营优秀营员评选其他相关要求，参照《复旦大学2023年硕士研究生招生复试录取办法》执行。
推免生拟录取名单以学校公示为准。</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</si>
  <si>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6.报考直博生的同学按报名系统要求提供推荐专家信息。</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</si>
  <si>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3.评选考核采用现场考核方式，考核安排将另行通知。每位考生的考核时间一般不少于20分钟，全程录音录像。
4.评选考核成绩中，专业知识考核成绩占80%，外国语考核成绩占20%。按照总成绩由高到低排名。评选考核成绩不合格者，不能评为优秀营员。
5.评选考核结果将在考核结束后5个工作日内，通过复旦大学研究生报考服务系统发布，请考生及时登录系统查看考核结果。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</si>
  <si>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2023年5月1日10:00——5月31日17:00</t>
  </si>
  <si>
    <t>2023年6月底7月初</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</si>
  <si>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5.《考生诚信考核承诺书》(从报考服务系统下载)。
6.个人简历(一页A4纸以内)。
7.报考直博生的同学按报名系统要求提供推荐专家信息。</t>
  </si>
  <si>
    <t>此次夏令营举办线下相应活动中，为营员提供夏令营期间在上海的食宿(上海本地学生不提供住宿)。</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</si>
  <si>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
考核时间和地点：评选考核时间和地点将通过邮件另行通知。每位考生的面试时间一般不少于20分钟，全程录音录像。
4.评选考核成绩中，专业知识考核成绩占70%，外国语考核成绩占30%。按照总成绩由高到低排名。评选考核成绩不合格者，不能评为优秀营员。
5.评选考核结果将在考核结束后5个工作日内，通过复旦大学研究生报考服务系统发布，请考生及时登录系统查看考核结果。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</si>
  <si>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学院将安排创新挑战赛、师生互动、校园参观等活动。夏令营期间将开展2024年清华大学卫健学院推荐免试公共卫生硕士（MPH）的介绍和预选拔工作。</t>
  </si>
  <si>
    <t>截止时间为2023年6月5日</t>
  </si>
  <si>
    <t>1.“清华大学卫健学院2023年全国优秀大学生暑期夏令营”报名登记表1份（系统中填写）。
2. 中英文简历（各不超过1页，合并成1个pdf文件）。
3. 个人陈述1份：介绍本人专业背景、申请动机、从事过的研究工作以及攻读研究生阶段的学习和研究计划等(千字以内)。
4. 加盖院系或学校教务部门公章的成绩单1份。
5. 院系教务部门出具的成绩综合排名证明(需盖学校或院系教务部门公章)。
6. 其它材料：能体现自身学术水平的学术论文、出版物等，及获奖证书扫描件（不局限于学术，包括思想品德和社会活动等）</t>
  </si>
  <si>
    <t>提供夏令营期间食宿（北京高校学生不提供住宿）。</t>
  </si>
  <si>
    <t>医学人工智能与大数据学院</t>
  </si>
  <si>
    <t>学院将在夏令营期间为大家提供丰富多彩的学术活动及交流平台，主要包括精品课程、学术报告、教授面对面、后浪说（朋辈交流）、实验室及济南主校区参观和优秀营员选拔等。</t>
  </si>
  <si>
    <t>截止时间为6月12日24:00</t>
  </si>
  <si>
    <t>1.个人陈述：内容涵盖学术科研经历及研究计划，1000字左右（模板参考附件）。
2.学籍证明：在校生提交在读证明，加盖学校教学管理部门或院系公章；或提交《教育部学籍在线验证报告》。
3.成绩排名：提供官方出具本科阶段前三年综合排名；
4.成绩单：本科阶段在校学习成绩单扫描件；
5.英语水平证明：全国大学英语四六级、托福或雅思等成绩单；
6.学术科研成果：体现自身学术水平的代表性学术科研成果；
7.获奖证明：在校期间从事课外科技活动获奖证明或其他各类获奖证明；
8.专家推荐信：至少2位学科领域内的副教授及以上专家出具的推荐信。（模板参考附件）</t>
  </si>
  <si>
    <t>本次夏令营不收取任何费用。夏令营期间学院统一安排食宿和报销往返交通费。机票限报经济舱，铁路高铁限报二等座，普通火车限报硬座或硬卧，其他交通工具（不含自驾）凭发票报销。</t>
  </si>
  <si>
    <t>营员全程参加夏令营活动后将获得结业证书，表现优异者将获“山一大智能学院2023年夏令营优秀营员”荣誉证书。
营员如获得校内推免资格并报考山一大智能学院，将直接获得学院2024年硕士研究生拟录取资格并获得3万元/人的学业奖学金;正常参加2024年硕士研究生统招考试并获得复试资格的优秀营员，也将优先纳入智能学院2024年硕士研究生拟录取范围。</t>
  </si>
  <si>
    <t>夏令营线下活动将安排营员与学院导师、研究生面对面交流沟通，带领营员参观校园设施、学院环境、重大科研设备、校外科研合作企业等，还将组织学院招生政策与专业方向介绍、学术讲座等丰富多彩的活动。营员可以实地感受上科大研究生的学习、生活环境。</t>
  </si>
  <si>
    <t>截止时间为2023年6月30日 (含)</t>
  </si>
  <si>
    <t>2023年7月份</t>
  </si>
  <si>
    <t>A：必须提供的材料
1.有效身份证件正反面；
2.学生证 (照片、学号页即可)；
3.本科成绩单 (院系或教务处盖章，可提供学校网络截图)；
4.个人陈述与简历 (中英文均可，字数不限)；
5.英语水平证明材料 (四六级证书等)。
B：自愿提供的材料
1.获奖证书扫描件；
2.其他能证明自身潜力的材料 (如已发表的论文、专利或其他原创性工作成果)。</t>
  </si>
  <si>
    <t xml:space="preserve">
优秀营员激励政策：
1.若优秀营员获得推免资格，且通过教育部推免服务系统申请我院推免生，经学院招生委员会审核、依据招生规模从高分到低分拟录取为2024级入学硕士研究生，额满为止；
2.若优秀营员统考在教育部研招网第一志愿报考我院，初试成绩达到我院2024年统考研究生复试分数线，则免除统考复试。学院招生委员会依据招生规模从高分到低分确定拟入围名单，额满为止。</t>
  </si>
  <si>
    <t>良渚实验室</t>
  </si>
  <si>
    <t>开营仪式、师生互动、优秀营员选拔（优秀营员将按学历背景分组评选）、参观游览等。</t>
  </si>
  <si>
    <t>2023年无</t>
  </si>
  <si>
    <t>1.近期正面免冠彩色证件照片，电子版JPG格式，150×200像素，大小500K以内。
2.本科阶段历年成绩单（须加盖教务处或院系公章），JPG或PDF格式。
3.外语水平证明，如CET四级、CET六级、雅思、托福、专业外语成绩等。
4.有关获奖或资格证书和学术科研成果，如发表论文、专利、出版物或其他原创性工作。
5.考生诚信考核承诺书。申请人应保证填报信息、提交材料的真实性和准确性。凡提供虚假信息的，一经查实即取消申请资格</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</si>
  <si>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3.评选考核采用现场考核方式，具体时间地点将另行通知。每位考生的交流时间一般不少于 20 分钟，进行全程录音录像。
4.评选考核成绩中，专业知识考核成绩占50%，外国语考核成绩占50%。按照总成绩由高到低排名。评选考核成绩不合格者，不能评为优秀营员。参考专业知识面试及外国语面试成绩，按照总成绩由高到低排名。评选考核成绩不合格者，不能评为优秀营员。
5.评选考核结果将在面试后10个工作日内，通过复旦大学研究生报考服务系统发布，请考生及时登录系统查看考核结果。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</si>
  <si>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5.考生诚信考核承诺书（从服务系统下载）。</t>
  </si>
  <si>
    <t>优秀营员评选实施细则
1.学院按专业方向成立优秀营员评选小组，各专业方向选派责任心强、教学经验丰富、学术及外语水平较高的人员参与评选工作，每个小组成员一般不少于5人。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3.评选考核采用现场考核方式。考核安排将另行通知。每位考生的考核时间一般不少于20分钟，全程录音录像。
4.评选考核成绩中，专业知识考核成绩占80%，外国语考核成绩占20%。按照总成绩由高到低排名。评选考核成绩不合格者，不能评为优秀营员。
5.评选考核结果将在考核结束后5个工作日内，通过复旦大学研究生报考服务系统发布，请考生及时登录系统查看考核结果。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</si>
  <si>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2023年6月下旬至7月初</t>
  </si>
  <si>
    <t>1.近期正面免冠彩色证件照片，电子版JPG格式，150×200像素，大小500K以内。
2.本科阶段历年成绩单（须加盖教务处或院系公章），JPG或PDF格式
3.本科阶段前3年或前5学期总评成绩排名（模板下载链接：https://istbi.fudan.edu.cn/jx/xzzq.htm）。
4.外语水平证明，如CET四级、CET六级、雅思、托福、专业外语成绩等。
5.有关获奖证书和学术科研成果，如发表论文、出版物或其他原创性工作。
6.考生诚信考核承诺书。
7.个人简历（模板下载链接：同上）。</t>
  </si>
  <si>
    <t>1.研究院按专业方向成立（若干）优秀营员评选小组，各专业方向选派责任心强、教学经验丰富、学术及外语水平较高的人员参与评选工作，每个小组成员一般不少于5人。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3.评选考核采用现场考核方式。考核安排将另行通知。每位考生的考核时间一般不少于 20 分钟，全程录音录像。
4.评选考核成绩中，按照总成绩由高到低排名。评选考核成绩不合格者，不能评为优秀营员。
5.评选考核结果将在本院系所有夏令营活动考核结束后5个工作日内，通过复旦大学研究生报考服务系统发布，请考生及时登录系统查看考核结果。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
其他说明
1 . 类脑研究院相关专业为应用数学和生物医学工程，所有学生均不定导师，入学第一年一边学习研究生课程，一边进行轮转。轮转在院内各研究小组之间进行，轮转结束根据导师和学生双向自愿选择确定导师。
2．类脑研究院同时设置与中科院脑科学与智能技术卓越创新中心/神经科学研究所的直博生联合培养项目，由类脑研究院与中科院脑科学与智能技术卓越创新中心/神经科学研究所的导师团队进行联合培养。入选该联合培养项目的研究生将在类脑研究院与中科院脑科学与智能技术卓越创新中心/神经科学研究所之间进行轮转，并最终由类脑研究院与中科院脑科学与智能技术卓越创新中心/神经科学研究所导师团队中的两位导师进行共同指导培养。
3．夏令营优秀营员中表现特别优异者，如正式进入我院就读，将获得我院优秀新生奖学金资助。
4．关于夏令营各项事宜，如有变化，将会及时公告。敬请关注复旦大学类脑研究院网站及官微。我院往届夏令营信息请参照类脑研究院官方网站信息：教学-招生-招生资讯。</t>
  </si>
  <si>
    <t>附属中山医院</t>
  </si>
  <si>
    <t>学习成绩优秀，本科阶段总成绩排名在就读专业同年级学生中名列前茅(或在其它方面有突出表现)，可达到所在高校推荐免试生要求。</t>
  </si>
  <si>
    <t xml:space="preserve">英语水平良好
</t>
  </si>
  <si>
    <t>2023年5月10日10:00-5月31日17:00</t>
  </si>
  <si>
    <t>7月26至28日</t>
  </si>
  <si>
    <t>1.申请材料封面及申请人基本情况表；
2.个人陈述1份(注明为何选择本医院和专业)；
3.个人生活照1张(不超过2M)；
4.学校出具的在读证明或学信网学籍在线验证报告；
5.代表性学术成果，如发表论文、出版物或其他原创性工作；
6.各类获奖证明或荣誉证书。
同时，请在报名系统上传：
7.本科阶段历年成绩单和专业排名证明，须加盖教务处或院系公章；
8.外语水平证明，如CET四级、CET六级、雅思、托福、专业外语成绩等；
9.考生诚信考核承诺书(从报考服务系统下载)。
申请直博生者还须按报名系统要求，提交正高职称专家推荐信2封。</t>
  </si>
  <si>
    <t>活动期间提供食宿(上海高校学生只提供用餐)，异地学生如最终录取，将根据路程给予适当交通补贴。具体活动安排将另行通知。</t>
  </si>
  <si>
    <t>1.附属中山医院按专业方向成立若干优秀营员评选小组，各专业方向选派责任心强、教学经验丰富、学术及外语水平较高的人员参与评选工作，每个小组成员一般不少于5人。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3.评选考核采用现场考核方式，具体安排将另行通知。每位考生的考核时间一般不少于20分钟，全程录音录像。
4.评选考核成绩中，专业知识面试成绩占50%，外国语面试成绩占50%。按照总成绩由高到低排名。评选考核成绩不合格者，不能评为优秀营员。
5.评选考核结果将在考核结束后5个工作日内，通过复旦大学研究生报考服务系统发布，请考生及时登录系统查看考核结果。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</si>
  <si>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</si>
  <si>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2.评选考核内容包括所报考专业的综合知识与技能、外国语水平及思想政治素质和品德考核等。具体要求如下：
（1）专业知识与技能考核
着重考核营员应用专业知识分析和解决实际问题的能力或实验技能等。
（2）外语水平考核
按照《复旦大学研究生入学考试英语口试实施办法》，测试营员外语口语主要包括即兴叙述或描述、专业问题讨论等内容，时间为每位营员约5分钟，主要考核营员口语会话的准确性、连贯性和得体性等。
（3）除专业知识与技能、外语水平的考核之外，还需加强对营员的思想政治品质和专业水平进行全面考核，以及对营员本科阶段学习成绩、科研活动以及工作业绩的考察，尤其是要对营员创新能力、科学研究潜质的考察，将作为评选优秀营员的重要依据之一。
3.评选考核采用网络远程面试方式，通过“腾讯会议”进行。
网络远程面试与模拟面试时间将另行通知。每位考生的面试时间一般不少于 20 分钟，进行全程录音录像。
4.评选考核成绩中，专业知识面试成绩占90%，外国语面试成绩占10%。按照总成绩由高到低排名。评选考核成绩不合格者，不能评为优秀营员。
5.评选考核结果将在面试后10个工作日内，通过复旦大学研究生报考服务系统发布。
6.夏令营优秀营员评选其他相关要求，参照《复旦大学2023年硕士研究生招生复试录取办法》执行。
推免生拟录取名单以学校公示为准。</t>
  </si>
  <si>
    <t>学习成绩优秀，本科前五学期学习成绩在全年级排名居前30%（在其他方面有突出表现的学生可以适当放宽排名限制），必修课成绩均为及格以上</t>
  </si>
  <si>
    <t>英文水平优良</t>
  </si>
  <si>
    <t>活动内容包括学术报告、专题讲座、师生互动交流等。本次活动预计在7月8日-10日举行。7月8日上午报到，下午开营仪式，7月9日交流活动，7月10日评选优秀营员。</t>
  </si>
  <si>
    <t>2023年7月8日-10日</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</si>
  <si>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6.个人简历，控制在一页内，并去除个人通讯信息，文件名请修改为：姓名+报考专业+简历。
7.申请直博生的考生还需提交两封正高职称（或具有相当专业技术职称）专家所签字出具的推荐信，具体按报考系统中的要求填写并提交。</t>
  </si>
  <si>
    <t xml:space="preserve">提供免费食、宿（上海高校大学生不提供住宿）。
</t>
  </si>
  <si>
    <t>优秀营员评选实施细则
1.学院按专业方向成立若干优秀营员评选小组，各专业方向选派责任心强、教学经验丰富、学术及外语水平较高的人员参与评选工作，每个小组成员一般不少于5人。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3.评选考核采用现场考核方式，考核安排将另行通知。
考核时间：暂定7月上旬，考核具体安排将以邮件形式通知入选营员。
考核地点：暂定上海市浦东新区张衡路825号，复旦大学张江校区行政楼。
每位考生的考核时间一般不少于 20 分钟，全程录音录像。
4. 优秀营员评选小组根据考生的专业综合知识与技能、外国语水平及思想政治素质和品德考核等进行综合评分。按照总成绩由高到低排名。评选考核成绩不合格者，不能评为优秀营员。
5.评选考核结果将在本院系所有夏令营活动考核结束后5个工作日内，由研究院统一用电子邮件方式通知考生。
6.夏令营优秀营员评选其他相关要求，参照《复旦大学2023年硕士研究生招生复试录取办法》执行。
推免生拟录取名单以学校公示为准。</t>
  </si>
  <si>
    <t>上海市重大传染病和生物安全研究院</t>
  </si>
  <si>
    <t>1.近期正面免冠彩色证件照片，电子版JPG格式，150×200像素，大小500K以内。
2.个人简历及陈述1份。
3.本科阶段成绩单和专业排名证明（均须由教务部门盖章）各1份。
4.外语水平证明，如CET四级、CET六级、雅思、托福、专业外语成绩等;
5.有关获奖证书和学术科研成果，如发表论文、出版物或其他原创性工作;
6.考生诚信考核承诺书。</t>
  </si>
  <si>
    <t xml:space="preserve"> 活动设有研究所参观，聆听科研讲座，与专家、导师面对面交流，了解湖北省及武汉市历史楚文化等一系列环节，让学生能够对武汉病毒所和武汉有更加全面的认识，同时对有意攻读研究生学位的同学进行考研指导。夏令营将筛选优秀营员作为2024年度推荐免试研究生的部分生源。如后续调整活动形式，会提前告知。</t>
  </si>
  <si>
    <t>截止时间为2023年6月18日</t>
  </si>
  <si>
    <t>2023年7月中下旬</t>
  </si>
  <si>
    <t>120人（分两批进行）</t>
  </si>
  <si>
    <t>网络下载申请表、个人简历</t>
  </si>
  <si>
    <t>夏令营期间外地营员由我所研究生处安排食宿，报销单程路费（实报实销高校所在城市至武汉的动车二等座或相当于动车二等座票价，如乘坐飞机前往武汉，请提交行程单和登机牌作为报销凭证，按照动车二等座票价进行报销，市内车费不予报销）。</t>
  </si>
  <si>
    <t>夏令营将筛选优秀营员作为2024年度推荐免试研究生的部分生源。</t>
  </si>
  <si>
    <t>分子细胞科学卓越创新中心</t>
  </si>
  <si>
    <t>学习成绩优秀，按本校历年标准符合推免生条件。科研成果出色者，学习成绩标准可适当放宽。</t>
  </si>
  <si>
    <t xml:space="preserve">英语达到国家六级/四级水平(425分及以上)。
</t>
  </si>
  <si>
    <t xml:space="preserve">1)  身份证正反面复印件（必须）。
2)  成绩单，需要盖教务处公章，如学校暂时无法为学生开具成绩单，可自己先从学校教务系统中下载打印一份，补交原件时间另行通知（必须）。
3)  英语等级证书。
4)  获奖证书。
5)  其他自愿提供材料：成绩排名证明；推荐信；已发表的论文、专利；其他原创性工作成果等有参考价值的证明材料。整合成一个PDF文件，命名为“高校名+姓名+手机号”，上传到系统中“其他”一栏。 </t>
  </si>
  <si>
    <t>如进行线下夏令营，我单位将提供营员在沪期间的食宿和来程路费（以高铁二等座价格为上限，按实际票据实报实销，乘机需提供电子客票和登机牌），详细报销规则以邮件通知为准。</t>
  </si>
  <si>
    <t>1.   建议使用华为浏览器、360浏览器等注册、填报。
2.   请认真填写各项信息，并保证所填数据真实可靠，如因材料虚假或其他不端行为导致的一切后果，由申请者承担。
3.   如某必填项无内容，可填0或无。
4.   报名时手机号码和电子邮箱务必要拼写准确，以免影响通知正常接收。填写过程中所有必填项填写完方可保存。
5.   如无法注册、系统报错、提交报错等问题请邮件联系yjs@sibcb.ac.cn。
6.   报名系统内不进行审核，面试通知将以邮件形式发至相关学生的电子邮箱内，请注意查收。
7.   入选同学须在报到时提交所有附件材料原件以备查验。
8.   如进行线下夏令营，我单位将提供营员在沪期间的食宿和来程路费（以高铁二等座价格为上限，按实际票据实报实销，乘机需提供电子客票和登机牌），详细报销规则以邮件通知为准。
9.   已在招生宣讲中获得夏令营邀请函的同学，务必完成网上报名，否则无法收到入营通知。</t>
  </si>
  <si>
    <t>截止时间为2023年6月24日</t>
  </si>
  <si>
    <t>2023年7月17日至7月22日</t>
  </si>
  <si>
    <t xml:space="preserve">① 英文CV（无固定模板）
② “中国科学院上海巴斯德研究所大学生夏令营申请表” （可以用夏令营申请系统下载表格，也可以单独在本网页下载申请表填写）； 
③ 两封推荐信，推荐人须具有副教授以上职称（非必要，可以不提供）； 推荐信
④ 本科学校教务部门（或院系）出具并加盖公章的大学本科成绩单以及成绩排名证明； 
⑤  获奖证明材料（体现自身学术水平的代表性学术论文的复印件、获奖证书复印件、英语四、六级证书复印件等）。 
请将申请材料按照上述顺序排好，A4纸打印，侧面装订。 </t>
  </si>
  <si>
    <t>主要面向全国高校生命科学、医学等领域品学兼优的大学三年级学生。</t>
  </si>
  <si>
    <t>7 月 15 日报到；
7 月 16 日学校参观、列席参加第一届群医学及公共卫生发展大会；
7 月 17 日师生座谈会、学术活动、专题讲座。
（具体活动安排及日程以后续正式通知为准）</t>
  </si>
  <si>
    <t>截止时间为2023年6月2日</t>
  </si>
  <si>
    <t>2023年7月16日-7月17日</t>
  </si>
  <si>
    <t>1. 营员需填写问卷星：https://www.wjx.cn/vm/ODYVzWQ.aspx#；
    2. 协和群公学院 2023 年夏令营申请表（二维码下载）
3. 截止报名时的本科历年成绩单１份（加盖教务部门公章）；
4. 专业总评成绩排名证明材料（加盖教务部门公章）；
5. 大学英语六级考试成绩或 TOEFL、 IELTS、 GRE 成绩等体现自身英语水平的证明；
6. 其他有关能力的证明材料（如发表论文、专利，各类获奖证书等）；
7. 个人陈述 1 份，介绍本人学术背景、申请动机、曾经做过的研究工作以及未来学习和研究的计划、目标等（1000 字以内）；
8. 专家推荐信 2 封，需副教授及以上职称专家亲笔签字；
9. 以上所有材料电子版通过扫描方式处理，按照 2-8的顺序生成一份电子文件（PDF 格式），文件名为“XX 大学-XX 专业-XX（姓名）2023 年夏令营申请材料”，于 2023 年6 月 2 日前发送至邮箱 pumcspmphyh@163.com；
10. 纸质材料：将 2-8 所有申请材料原件装档案袋，档案袋正面注明姓名、所在学校及院系，夏令营开营时携带学生证及上述材料原件进行报到注册。</t>
  </si>
  <si>
    <t>1. 本次夏令营将根据夏令营的表现评选出优秀营员，并为优秀营员颁发证书；
2. 本次夏令营活动为京外营员提供住宿，往返交通费需自理；
3. 为入选营员统一购买活动期间的团体意外保险。</t>
  </si>
  <si>
    <t>请营员务必认真准确填写申请材料的所有内容，本次活动的所有申请材料将作保密处理，只用于夏令营活动，如因信息提供有误，由此导致的相关损失和责任由营员自行负责。</t>
  </si>
  <si>
    <t xml:space="preserve">
英语水平优良：CET4≥450分或CET6≥430分。
</t>
  </si>
  <si>
    <t>2023年6月中下旬</t>
  </si>
  <si>
    <t>1.个人简历
2.大学期间成绩单（截至2023年6月）和专业排名，须由教务部门盖章；
3.英语四级考试成绩证明；
4.其他证明材料（如体现自身学术水平的代表性学术论文或其他原创性工作成果复印件、获奖证书复印件等）。</t>
  </si>
  <si>
    <t>◆夏令营期间，提供食宿！
◆往返路费（硬座）凭对应车票报销！</t>
  </si>
  <si>
    <t>若政策允许则线下举办</t>
  </si>
  <si>
    <t>网上申请截止日期：2023年6月15日</t>
  </si>
  <si>
    <t>2023年6月底或7月初</t>
  </si>
  <si>
    <t>（1）身份证扫描件；
（2）学生证扫描件（包含注册页）；
（3）个人简历，必须涵盖个人基本信息、学校、专业、英文能力、年级排名（示例：1/100）、科研和获奖情况，社会工作等，语言不限；
（4）截止申请时的成绩单，成绩单必须盖有公章，学院章或者学校教务处章都可以；
（5）其他展现个人学术水平、综合能力的证明材料（包括但不限于英语水平证书、论文首页及奖状证书等）；
（6）2封所报考学科专业领域内副高以上职称的教授（或相当专业技术职称的专家，其中1封为意向导师）的书面推荐意见。</t>
  </si>
  <si>
    <r>
      <t>若政策允许，夏令营将</t>
    </r>
    <r>
      <rPr>
        <sz val="28"/>
        <rFont val="微软雅黑"/>
        <family val="2"/>
        <charset val="134"/>
      </rPr>
      <t>线下举办，届时医学院将为异地学校营员提供夏令营期间在深住宿，并给予部分路费补贴。深圳地区高校学生原则上不提供住宿。</t>
    </r>
  </si>
  <si>
    <t>优异</t>
  </si>
  <si>
    <t>四级考试成绩在425分以上</t>
  </si>
  <si>
    <t>网络远程视频形式</t>
  </si>
  <si>
    <t>学院及学科介绍、个人学术能力展示、与青年学者线上面对面交流探讨和优秀营员考核等</t>
  </si>
  <si>
    <t>2023年5月10日8:00 - 2023年6月7日8:00</t>
  </si>
  <si>
    <t>2023年6月中旬</t>
  </si>
  <si>
    <t>（1）《吉林大学护理学院2023年全国优秀大学生夏令营报名表》（附件1）；
（2）由教务处或所在院系开具的成绩单与总评成绩排名证明（附件2）；
（3）成绩单一份，需加盖教务部门公章；
（4）个人简历一份，无特殊格式要求；
（5）外语水平证明（英语四、六级证书等）及其它获奖证明材料。</t>
  </si>
  <si>
    <t>具备所在本科学校2023年“推荐免试资格”的优秀营员，第一志愿报考吉林大学护理学院，在符合我校接收推荐免试硕士研究生相关要求和学院相关政策基础上，可直接接收为吉林大学护理学院2023年“推免生”，并以《报名表》中本人所填申请攻读专业作为以后本人录取专业的参考；优秀营员享受吉林大学学业奖学金。</t>
  </si>
  <si>
    <t>英语水平须达到大学英语四级425分以上或相当水平，同等条件下优先考虑达到大学英语六级430分以上或相当水平者。</t>
  </si>
  <si>
    <t>9：30--10：00   开营仪式
10：00-11：15   学科专业讲座
11：15-12：00   校园参观
12：00-13：00   午餐
13：00-16：00   面试
16：00-16：30   闭营仪式导师/优秀营员自由交流</t>
  </si>
  <si>
    <r>
      <t>第一期暂定</t>
    </r>
    <r>
      <rPr>
        <sz val="28"/>
        <rFont val="微软雅黑"/>
        <family val="2"/>
        <charset val="134"/>
      </rPr>
      <t>2023年6月12日，第二期暂定2023年7月10日。</t>
    </r>
  </si>
  <si>
    <t>每期招收营员30人左右，共2期。</t>
  </si>
  <si>
    <r>
      <t>①个人简历；
②截止报名时的本科历年成绩单１份（加盖教务部门公章）；
③专业总评成绩排名证明材料（加盖教务部门公章）；
④大学英语四六级考试成绩或TOEFL、 IELTS、 GRE 成绩等体现自身英语水平的证明；
⑤其他有关能力的证明材料（如发表论文、专利，各类获奖证书等）；
⑥</t>
    </r>
    <r>
      <rPr>
        <sz val="28"/>
        <rFont val="微软雅黑"/>
        <family val="2"/>
        <charset val="134"/>
      </rPr>
      <t>专家推荐信2封，需副教授及以上职称专家亲笔签字。</t>
    </r>
  </si>
  <si>
    <t>每期活动结束后评选“优秀营员”。被评为“优秀营员”者，在符合报考条件和相关要求前提下，报考我所推荐免试研究生或参加统一考试进入复试录取阶段时，同等条件下予以优先考虑。</t>
  </si>
  <si>
    <t>杭州高等研究院</t>
  </si>
  <si>
    <t>（1）《中科院医学所及国科大杭高院分子医学院2023年大学生暑期夏令营申请表》（见附件）
（2）本科成绩单（需加盖教务处或院系公章）
（3）专业排名证明或其他证明材料（需加盖公章或辅导员签字）
（4）英语四/六级成绩单复印件
（5）身份证复印件
（6）其他等级证书或校级以上获奖证书复印件
（7）副教授以上职称专家推荐信（需有推荐教师签名）
（8）已发表论文或出版物复印件
上述材料1-5为必须提供，6-8为自愿提供，请按顺序合并为一份PDF文件，并命名为“姓名+学校+夏令营报名”，发送至fzyxy@ucas.ac.cn 。</t>
  </si>
  <si>
    <t> 夏令营期间我们将为营员提供免费餐食、住宿以及来程的交通费（凭高校或家庭所在城市至杭州火车硬座或高铁动车二等座车票报销交通补贴）。提前到达或延迟离开期间的食宿费用自行承担。</t>
  </si>
  <si>
    <t>获优秀营员资格的同学将优先获得分子医学院推免生资格，但最终以实际录取情况为准。根据培养安排，我院优秀硕士在研二如通过硕转博考核，可直接攻读博士学位；
获优秀营员资格的同学将有机会获得医学所与天津大学等高校联合培养直博研究生推免资格。</t>
  </si>
  <si>
    <t>截止时间为2023年6月6日10:00（以申请材料到达时间为准）</t>
  </si>
  <si>
    <t>2023年6月23日-24日</t>
  </si>
  <si>
    <t>（1）网报信息真实承诺书1份（附件模板1）。
（2）夏令营申请表1份（附件模板2）。
（3）夏令营个人陈述1份（附件模板3）。
（4）夏令营专家推荐信3封，需要3位副教授（含）以上职称的专家分别推荐，且密封并在封口骑缝处签字（附件模板4）。
（5）成绩单原件
应届本科生需提供本科阶段成绩单（由教务部门盖章）1份，前两年半总评成绩排名证明（由教务部门盖章）1份（附件模板5）。
应届/往届硕士生需提供历年在校学习成绩单（本科和硕士阶段，由教务部门盖章）1份。
（6）有效的英语证明复印件（如国家英语四、六级考试、或TOEFL、雅思与GRE考试等成绩的复印件）。
（7）在学证明或学位、学历证书
   应届本科生和硕士生需提供由所在学校教务部门盖章在学证明，或学信网《教育部学籍在线验证报告》1份。
往届硕士生需提交学位、学历证书的复印件，境外获得的学位证书须提供教育部留学服务中心出具的《国（境）外学历学位认证书》1份。
（8）其他证明材料（如体现自身学术水平的代表性学术论文或其他原创性工作成果的首页复印件、获奖证书复印件等）1份。
（9）填写基本信息登记表（附件6）</t>
  </si>
  <si>
    <t>1） 纸质材料接收的截止时间为：2023年6月6日10:00（以申请材料到达时间为准），过期不再接受申请。
2）只通过邮箱发送报名材料而未在规定时间内邮寄纸质材料者，或只邮寄纸质材料而未通过邮箱发送报名材料者，其申请视为无效。
3）不接受电话或邮件查询申请材料的签收情况。
4）邮件发送的电子版材料信息要与纸质申请材料信息完全一致，如发现不一致则视为材料作假，将取消夏令营申请资格。
5）纸质申请材料邮寄只接收顺丰快递，如使用其他快递公司邮寄产生材料无法正常寄达等不良情况，后果自负。
6）请申请人保留申请材料原件或副本，申请材料提交后一律不予返还。</t>
  </si>
  <si>
    <t>7月4日报到，7月5日开营仪式及交流，7月6日评选优秀营员。</t>
  </si>
  <si>
    <t>2023年7月4日-6日</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</si>
  <si>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4.有关获奖证书和学术科研成果，如体现自身学术水平的代表性学术论文 PDF 格式、获奖证书扫描件等。
5.考生诚信考核承诺书。</t>
  </si>
  <si>
    <t>提供免费食、宿（上海高校大学生不提供住宿）。</t>
  </si>
  <si>
    <t>香港中文大学</t>
  </si>
  <si>
    <t>（深圳）医学院</t>
  </si>
  <si>
    <t>课程体验、校园参观、教授交流</t>
  </si>
  <si>
    <r>
      <t>个人简历、个人陈述、成绩单、成绩排名、英语成绩（如有）、推荐信等，</t>
    </r>
    <r>
      <rPr>
        <sz val="28"/>
        <rFont val="Microsoft YaHei UI"/>
        <family val="2"/>
        <charset val="134"/>
      </rPr>
      <t>具体申请材料请仔细查阅医学院官网信息：</t>
    </r>
    <r>
      <rPr>
        <sz val="28"/>
        <rFont val="Kaiti SC Regular"/>
        <family val="1"/>
      </rPr>
      <t>https://med.cuhk.edu.cn/taxonomy/term/224  </t>
    </r>
    <r>
      <rPr>
        <sz val="28"/>
        <rFont val="Microsoft YaHei UI"/>
        <family val="2"/>
        <charset val="134"/>
      </rPr>
      <t> </t>
    </r>
  </si>
  <si>
    <t>1. 本次夏令营申请免除报名费；
2. 住宿免费，由学校统一安排；餐饮：学校提供校内饭堂餐券，包含午餐和晚餐，早餐需自理；
3. 交通补贴：学校将为学生（除深圳本地）报销上限500元的交通费，包含：国内往返深圳的交通费（仅限汽车票、火车硬座票、硬卧票、动车二等座及以下的车票，或经济舱机票），报销需要凭报销凭证，无法提供有效报销凭证（纸质票据原件）则无法报销。</t>
  </si>
  <si>
    <t>开营典礼；多场学术讲座和报告；与心仪的导师深入交流；研究所师生进行互动；线上参观基因组所等；结营典礼；优秀营员线下复试。</t>
  </si>
  <si>
    <t>2023年6月19日24:00前</t>
  </si>
  <si>
    <t xml:space="preserve">2023年7月10日至14日。线上宣讲报告及学生与导师深入交流；
推选出优秀候选人预计120人左右于7月20-21日线下推免复试。 
</t>
  </si>
  <si>
    <t>线上拟招生300名营员；
线下推免复试120人</t>
  </si>
  <si>
    <t>1、中国科学院大学2023年大学生夏令营申请表（报名网站下载、签字版）；  
2、已修课程成绩单原件； 
3、身份证及学生证复印件； 
4、英语四、六级成绩单复印件或体现自身英语水平的证明材料复印件； 
5、其它能佐证兴趣和能力的重要材料（已发表论文或出版物、奖励证书等）的复印件，最多不超过5项。</t>
  </si>
  <si>
    <t>1、本活动不收取任何费用。研究所为每一位按时参加活动的营员准备了大礼包，礼包将在活动结束后以快递方式邮寄给每一位按时参加的营员。线下进行面试的同学可现场领取。
2、为通过导师遴选到基因组所现场参加面试的外地学员免费安排住宿；北京本地学员原则上不安排住宿，学校距离基因组所10公里及以上的北京地区学员可提出住宿要求，由研究所专门遴选委员会审议。
3、按普通列车硬卧、硬座、高铁或动车二等座标准报销学员学校所在地至北京的单程交通费用。北京本地学员提供市内交通补助。
4、为学员提供餐费补贴。
5、统一为参加推免面试的学员购买夏令营期间的人身意外伤害保险。</t>
  </si>
  <si>
    <t>学员的缺席会耽误其他学员入选，请务必保证诚信，无故不得随意退出。如确因特殊情况不能参加本次夏令营，请第一时间发邮件至bigmaster@big.ac.cn申请取消录取并说明具体原因，特殊情况申请取消时间截止6月30日。 
国科大有完善的研究生奖助政策体系，进入国科大攻读学位的学生按照相关规定，可享受和参评的奖助学金包括国家助学金、国家奖学金、中科院奖学金、国科大学业奖学金、研究所奖学金、“助研/助教/助管”津贴等。学习及科研表现优秀的学生，还可以申请国家、中科院、研究所设立的各类专项奖学金。 </t>
  </si>
  <si>
    <t>推免直博生的招生条件为达到全国大学英语六级考试（CET-6）430分及以上。
推免硕士生的招生条件为达到全国大学英语四级考试（CET-4）450分及以上。</t>
  </si>
  <si>
    <t>5月10日到6月10日</t>
  </si>
  <si>
    <t xml:space="preserve">1、在线填写报名表;
2、学生证扫描件。成绩单1份，并加盖院系教务部门公章(提交扫描件);
3、相关获奖证书和英语水平证书(提交扫描件);
4、院系教务部门出具的成绩综合排名证明（提供本人排名/专业总人数）和绩点排名证明(需签字加盖教务部门公章（提交扫描件);
5、专家推荐信2封：推荐人需充分了解申请人的学术成就和工作业绩等情况，具有副教授及以上职称或相当职称。（自愿提供）
6、在学术期刊上发表的文章、出版物或其他学术作品也可作为申请材料提交(提交扫描件)。
7、自行录制5分钟视频（不超过50M）并上传报名系统，包含个人介绍，兴趣爱好，参与科研情况等。
</t>
  </si>
  <si>
    <t>在符合北京协和医学院推免生要求前提下，全程参加我所暑期夏令营，且学科组考核被评为优秀营员的学生，若获得所在学校推荐免试研究生资格，同等条件优先拟录取为我校2024年推免研究生。</t>
  </si>
  <si>
    <t>优先考虑来自为双一流大学及学科或所在学科为教育部第四轮学科评估B+及B+以上高校。</t>
  </si>
  <si>
    <t>昆明动物所</t>
  </si>
  <si>
    <t>学习成绩优秀，本科期间综合成绩排名在本年级前20%以内</t>
  </si>
  <si>
    <t>达到全国大学英语四/六级水平（450分以上）</t>
  </si>
  <si>
    <t>活动安排有学术沙龙、参观实践、专家学长见面会、云南文化实践等活动，并选拔有意继续深造的同学到研究所攻读研究生</t>
  </si>
  <si>
    <t>截止时间为2023年6月30日</t>
  </si>
  <si>
    <t xml:space="preserve">　a. 通过报名系统打印并签字的《夏令营申请表》； 
　　b. 本科成绩单（需加盖教务处或院系公章）； 
　　c. 专业综合排名或年级排名证明（需加盖教务处或院系公章）； 
　　d. 全国大学英语四、六级等级证书复印件或其它英语能力证书复印件（雅思、托福等）； 
　　e. 本人二代身份证和学生证复印件； 
　　f. 已发表论文、奖状及各类证书、推荐信等其他证明材料复印件（自愿提供，非必需）。 </t>
  </si>
  <si>
    <t xml:space="preserve">1. 暑期班不收取任何费用，活动期间为学员提供食宿。 
　　2. 报销来程交通费（标准：学员学校或家庭所在地至昆明的动车/高铁二等座、普通列车硬卧。机票按上述标准报销，请学员保存好车票，飞机到昆的学员需提供行程单和登机牌，报到时提供原始纸质票据）。录取为研究所研究生的学员，将按上述标准凭票报销返程费用。 
　　3. 为学员购买活动期间意外保险，活动期间学生安全由学生本人及所属学校负责。 
　　4. 通过推免进入研究所继续深造的同学，入学后将给予专项资助。 </t>
  </si>
  <si>
    <t>生物医学工程学院（含Med-X研究院）</t>
  </si>
  <si>
    <t>安排学院专业方向介绍、学术讲座，实验室参观等多种活动，并将进行2024年度接收推荐免试研究生的选拔工作，选拔优秀学生免试攻读我院研究生，具体活动日程将在稍后公布。</t>
  </si>
  <si>
    <t>截止时间为2023年6月10日</t>
  </si>
  <si>
    <t>2023年7月5日-7月7日</t>
  </si>
  <si>
    <t>1）《上海交通大学生物医学工程学院（含Med-X研究院）研究生优才夏令营申请表》（需所在院系签字盖章，点击下载）；
（2）大学期间成绩单（需教务部门盖章）；
（3）英语六级成绩单（扫描件）或其他英语考试成绩证明：如托福，雅思，中、高级口译证书等（扫描件）；
（4）学生证、身份证（正反面、扫描件）；
（5）其他证明材料（如已发表论文的扫描件、奖状扫描件、各类证书等）。</t>
  </si>
  <si>
    <t>本次夏令营将在线下举行，我院将统一安排住宿。</t>
  </si>
  <si>
    <t>“优秀营员”激励政策：
若获得推免资格申请我院，学院根据接收规模，从高分到低分依次录取，额满为止，申请直博生优先。</t>
  </si>
  <si>
    <t>智能医学研究院</t>
  </si>
  <si>
    <t>本科阶段前4（或3）年学业总成绩在该校同年级该专业名列前茅（在其它方面有突出表现者可适当放宽要求）</t>
  </si>
  <si>
    <t>6月27日：开营仪式、参观校园、智能医学研究院介绍及招生专业宣传
6月28日：专家学术报告及学生互动交流、各方向专家面试、遴选优秀营员</t>
  </si>
  <si>
    <t>2023年6月27日-28日</t>
  </si>
  <si>
    <t>1. “2023年复旦大学优秀大学生夏令营活动申请表”（自下述网站开通期间，在www.gsao.fudan.edu.cn中“研究生报考服务系统-全国优秀大学生夏令营”栏中按要求统一填写、打印）
2. 本科阶段成绩单（由教务部门或院系盖章）
3. 两份专家书面推荐信（直博生需要）
4. 其它必要的证明材料复印件（如已发表论文、各类获奖或资格证书等）</t>
  </si>
  <si>
    <t>1.我院按专业方向成立优秀营员评选小组，各专业方向选派责任心强、教学经验丰富、学术及外语水平较高的人员参与评选工作，每个小组成员一般不少于5人。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3.评选考核采用现场考核方式，每位考生的面试时间一般不少于 20 分钟，进行全程录音录像，考核安排将另行通知。
4.评选考核成绩中，专业知识面试成绩占80%，外国语面试成绩占20%。按照总成绩由高到低排名。评选考核成绩不合格者，不能评为优秀营员。
5.评选考核结果将在面试后15天内，通过复旦大学研究生报考服务系统发布。
6.夏令营优秀营员评选其他相关要求，参照《复旦大学2023年硕士研究生招生复试录取办法》执行。
推免生拟录取名单以学校公示为准。</t>
  </si>
  <si>
    <t>按照学生目前的平均绩点及专业排名预计能够在2023年9月取得所在院系推免指标</t>
  </si>
  <si>
    <t>7.10：现场报道
7.11：开营仪式、开营联欢
7.12-7.13：实验室参观、导师交流及考核
7.14：推免生、直博生面试及拟录取；16:00后夏令营结束及离所</t>
  </si>
  <si>
    <t>2023年7月10-14日</t>
  </si>
  <si>
    <t>1. 发送邮件报名（必须发给以下两个邮箱才算报名成功）
在6月20日之前将本通知附件1“申请表”和附件2“汇总表”填写完毕，发送至招生邮箱enroll@im.ac.cn，邮件主题和申请表、汇总表名称均为“2023夏令营-申报导师姓名-本科学校-本人姓名”；同时，将申请表和汇总表务必同时发送到所申请的导师1和导师2的邮箱中。
2. 网上报名
报名网址：http://zxsq.ucas.ac.cn/（此网址为中国科学院大学夏令营网上申报系统）</t>
  </si>
  <si>
    <t xml:space="preserve"> 研究所会为各位营员购买在京期间人身意外伤害保险，报到时须签署安全协议；
研究所为外地营员提供在京住宿（京区学生不提供住宿），请外地营员自行预定往返车票；研究所将结合实际情况为营员发放一定的交通和生活补贴，具体规则另行通知。</t>
  </si>
  <si>
    <t>1. 参加夏令营活动的营员请一定遵守研究所相关规定，按照统一安排参加相关活动；
2. 研究所会为各位营员购买在京期间人身意外伤害保险，报到时须签署安全协议；
3. 研究所为外地营员提供在京住宿（京区学生不提供住宿），请外地营员自行预定往返车票；研究所将结合实际情况为营员发放一定的交通和生活补贴，具体规则另行通知。
4. 如因其它原因或特殊情况无法举办线下夏令营活动，将另行通知。</t>
  </si>
  <si>
    <t xml:space="preserve">知名专家学术讲座、生物制药相关专题报告、实验室参观体验、师生座谈交流会、师兄姐茶话会、推免生面试、深圳自然人文风情学习观光
</t>
  </si>
  <si>
    <t>截止时间为2023年6月25日</t>
  </si>
  <si>
    <t>1）中国科学院深圳先进院2023年夏令营申请表，需网上报名后下载；
2）本科成绩单（GPA）和专业排名，需教务处盖章；
3）相关英文能力证明（包括大学四、六级，雅思，托福，GRE等）；
4）学生证（封面与信息页）和身份证（正反面）复印件；
5）推免资格证明（如有请提供）；
6）专家推荐信（如有请提供）；
7）其它获奖或证明书材料（如已发表论文、各类证书奖状、较厚的论文或出版物提供论文首页或出版物摘要即可）。</t>
  </si>
  <si>
    <t xml:space="preserve">本次夏令营不收取任何费用，且可凭票报销来深单程路费（实报高校或家庭所在城市至深圳的火车硬座或硬卧或动车二等座费用。市内车费不予报销）；夏令营期间免费提供住宿、餐饮、文化衫等，并为每位营员购买意外保险。 </t>
  </si>
  <si>
    <t>优秀营员将有机会优先获得2024级医药所推荐免试研究生资格。具体报名形式待后续通知。</t>
  </si>
  <si>
    <t>学习成绩优秀，并能取得所在学校研究生推荐免试资格</t>
  </si>
  <si>
    <t>我院将为营员提供活动期间在厦的食宿费用（统一安排入住校内学生公寓，并提供蚊帐、草席、线毯、枕头、床垫等5件套寝室用具）。通过推免录取为我院研究生的夏令营营员，可于确定录取后以火车硬座票标准报销往返夏令营的路费。</t>
  </si>
  <si>
    <t>通过此次考核并且获得推荐免试研究生资格的夏令营营员，可免予参加我校今年9月的推荐免试研究生（含直博生）考试。</t>
  </si>
  <si>
    <t>5月25日00:00—6月15日17:30</t>
  </si>
  <si>
    <t>1.夏令营申请表（通过报名系统生成）
2.个人陈述；
3.成绩单（申请之日所能提供的成绩单，需加盖学校教务部门或所在学院教务部门公章）；
4.成绩排名（所在学院出具）；
5.专家（教授或副教授）推荐信2份；
6.英语四六级水平证书或相关成绩证明复印件（除四六级水平证书外的外语成绩单须加盖就读学院公章）；
7.其他证明材料复印件（获奖证书等证明材料）。</t>
  </si>
  <si>
    <t>开营仪式、师生见面会、前沿领域讲座、营员展示、推免生面试等。</t>
  </si>
  <si>
    <t>截止时间为2023年6月11日24:00</t>
  </si>
  <si>
    <t>（1）报名表（于报名系统在线填写）；
（2）身份证正反面复印件；
（3）学生证复印件（在校生提供）或毕业证书与学位证书复印件（往届生提供）；
（4）包含所修全部课程的正式成绩单（需加盖院系或教务公章），成绩单上需注明所在专业的成绩排名或另提供成绩排名证明；
（5）专家推荐信2封（格式不限，自愿提交）；
（6）其它材料：
  a.英语水平证明材料复印件（四、六级英语，托福、GRE、雅思等证书）；
  b.体现个人学术水平的有代表性的学术论文首页；
  c.各类获奖证书等；</t>
  </si>
  <si>
    <t>南科大生命科学学院将为异地学校营员提供夏令营期间在深圳的免费食宿，并给予部分路费补贴。深圳地区高校学生原则上不提供住宿，仅提供免费用餐。</t>
  </si>
  <si>
    <t>（1）申请者所发送至邮箱的材料内容信息必须与网报信息完全一致。如现阶段无法提交加盖相应公章的材料，需在提交申请材料时另附情况说明并本人签字，后续按照规定补交；
（2）所有申请人需要在南科大夏令营报名系统上完成网上申请，材料审核将以系统提交信息为准；
（3）所有电子材料和纸质原件材料请自行做好留档，于入营报到当天现场提交、核验相关原件；
（4）申请截止后，夏令营评审工作小组将对学生的申请材料进行审核，通过资格审者将以电子邮件或电话的形式告知，未通过审核者不作另外通知。</t>
  </si>
  <si>
    <t>广州生物医药与健康研究院</t>
  </si>
  <si>
    <r>
      <t>双一流高校及部分具有优势学科（专业）的国内重点高校，有浓厚科研兴趣，并有较强的或潜在的研究能力，学习成绩优异，科研成果突出的大三年级优秀本科生，优先录取具有或拟具有高校推免资格的学生。 </t>
    </r>
    <r>
      <rPr>
        <sz val="28"/>
        <color rgb="FF333333"/>
        <rFont val="宋体"/>
        <family val="3"/>
        <charset val="134"/>
      </rPr>
      <t> </t>
    </r>
  </si>
  <si>
    <t>研究院园区及实验室参观介绍、科学家讲座、师生座谈、体验广州人文风貌文体活动等，具体安排将另行通知。 </t>
  </si>
  <si>
    <t>2023年6月20日24：00</t>
  </si>
  <si>
    <t xml:space="preserve">　(1) 大学生夏令营申请表（须本人签名）；  
　　(2) 本科已修课程的成绩单以及排名(需加盖教务处或学院办公室公章)；  
　　(3) 英语水平证明（大学英语四、六级等相关英文能力证明）；  
　　(4) 专业排名证明；  
　　(5) 身份证和学生证复印件（身份证正/反面、学生证封面及个人信息页）；  
　　(6) 其他证明材料 （如已发表的论文、奖状及证书、推荐信等）；  
　　(7) 推免资格证明（如有，可提供）  </t>
  </si>
  <si>
    <t xml:space="preserve">凭票报销至广州的单程路费（凭票实报实销就读高校所在城市至广州的高铁二等座或等同于高铁二等座票价（市内车费不予报销），夏令营活动期间免费提供食宿。  </t>
  </si>
  <si>
    <t>在校期间学习成绩优秀，掌握本学科坚实的基础理论和系统的专业知识，预计达到所在高校推荐免试生要求</t>
  </si>
  <si>
    <t>7月7日全天：暑期学校报到，参观实验室和校园
7月8日上午：开营仪式、学术讲座
7月8日下午：综合面试
7月9日全天：笔试考核、闭营</t>
  </si>
  <si>
    <t>截止时间为2023年6月23日下午5点</t>
  </si>
  <si>
    <t>2023年7月7日-9日</t>
  </si>
  <si>
    <t>（1）《同济大学优秀学生暑期学校申请表》（附件1，报名表上附上近期正面免冠彩色证件照片，电子版JPG格式，大小500K以内）；
（2）本科成绩单（须加盖教务处或院系公章，JPG或PDF格式）与总评成绩排名证明（模板见附件2）。若院系不能出具排名证明，请提供说明；
（3）有效居民身份证正反面和学生证（含照片、学号页）；
（4）个人陈述（无格式要求）；
（5）外语水平证明（英语四、六级考试成绩，托福成绩或GRE/GMAT成绩等）；
（6）拟攻读学位学科相关的副教授（及以上）职称专家书面推荐信2份，须由推荐专家亲笔签名（附件3，推荐人需充分了解申请人的学术成就和工作业绩等情况)；
（7）其他材料（如有）：
① 已发表论文证明材料（论文应包括正文第一页（包含作者信息页，并在正文第一页右上角标注本人排名和影响因子））；
② 本科期间获奖证书或资格证书（校级及以上获奖，不超过5项）
（8）生命科学与技术学院暑期学校报名情况汇总表</t>
  </si>
  <si>
    <t xml:space="preserve">
免费提供参加我院暑期学校学员在沪活动期间的食宿、保险及相关户外活动，同时提供入营学员的往返路费（仅限在暑期学校活动期间非上海高校大学生乘坐的长途汽车、火车硬座、动车二等座及以下，凭票报销）。</t>
  </si>
  <si>
    <t>1.优秀学员取得所在高校2024年推荐免试资格，学院根据招生规模和暑期学校考核成绩排名依次录取，额满为止，推免阶段复试成绩可参考暑期学校考核成绩。
2.对未获得推免资格的优秀学员，且参加2024年的全国硕士研究生统一考试并第一志愿报考我院，初试成绩达到同济大学生命科学与技术学院复试分数的基本要求，同等条件下优先录取。</t>
  </si>
  <si>
    <t>若发现入营者申请材料弄虚作假，或报到后未全程参加夏令营活动，则立即取消入营者一切由此享受的优惠政策，并保留追诉的权利。</t>
  </si>
  <si>
    <t>开营仪式、院系介绍、师生互动、课题组介绍、营员个人展示等。</t>
  </si>
  <si>
    <r>
      <t>2023年7月2-3日</t>
    </r>
    <r>
      <rPr>
        <sz val="28"/>
        <color rgb="FF000000"/>
        <rFont val="等线"/>
        <family val="4"/>
        <charset val="134"/>
      </rPr>
      <t>。</t>
    </r>
  </si>
  <si>
    <t>若政策允许，夏令营将线下举办</t>
  </si>
  <si>
    <t>为异地学校营员提供夏令营期间在深住宿，并给予部分路费补贴。深圳地区高校学生原则上不提供住宿。</t>
  </si>
  <si>
    <r>
      <t>本科期间学习优秀，</t>
    </r>
    <r>
      <rPr>
        <sz val="28"/>
        <rFont val="Helvetica Neue"/>
        <family val="2"/>
      </rPr>
      <t>“</t>
    </r>
    <r>
      <rPr>
        <sz val="28"/>
        <rFont val="宋体-简"/>
        <family val="1"/>
        <charset val="134"/>
      </rPr>
      <t>双一流</t>
    </r>
    <r>
      <rPr>
        <sz val="28"/>
        <rFont val="Helvetica Neue"/>
        <family val="2"/>
      </rPr>
      <t>”</t>
    </r>
    <r>
      <rPr>
        <sz val="28"/>
        <rFont val="宋体-简"/>
        <family val="1"/>
        <charset val="134"/>
      </rPr>
      <t>重点建设学科及高校学生</t>
    </r>
    <r>
      <rPr>
        <sz val="28"/>
        <rFont val="Helvetica Neue"/>
        <family val="2"/>
      </rPr>
      <t>GPA</t>
    </r>
    <r>
      <rPr>
        <sz val="28"/>
        <rFont val="宋体-简"/>
        <family val="1"/>
        <charset val="134"/>
      </rPr>
      <t>和总评成绩在年级前</t>
    </r>
    <r>
      <rPr>
        <sz val="28"/>
        <rFont val="Helvetica Neue"/>
        <family val="2"/>
      </rPr>
      <t>40%</t>
    </r>
    <r>
      <rPr>
        <sz val="28"/>
        <rFont val="宋体-简"/>
        <family val="1"/>
        <charset val="134"/>
      </rPr>
      <t>；普通院校学生</t>
    </r>
    <r>
      <rPr>
        <sz val="28"/>
        <rFont val="Helvetica Neue"/>
        <family val="2"/>
      </rPr>
      <t>GPA</t>
    </r>
    <r>
      <rPr>
        <sz val="28"/>
        <rFont val="宋体-简"/>
        <family val="1"/>
        <charset val="134"/>
      </rPr>
      <t>和总评成绩在年级前</t>
    </r>
    <r>
      <rPr>
        <sz val="28"/>
        <rFont val="Helvetica Neue"/>
        <family val="2"/>
      </rPr>
      <t>20%</t>
    </r>
    <r>
      <rPr>
        <sz val="28"/>
        <rFont val="宋体-简"/>
        <family val="1"/>
        <charset val="134"/>
      </rPr>
      <t>；无不及格现象未受过任何处分，能正常获得本科毕业证书和学士学位证书</t>
    </r>
  </si>
  <si>
    <t>未通知</t>
  </si>
  <si>
    <t>截止时间为2023年6月16日</t>
  </si>
  <si>
    <t>1.申请者需提交《中国农业大学接收推荐免试研究生申请表》（报名系统自动生成，需盖章签字）；
2.本科生需提供：本科阶段成绩单一份，前两年半或前三年总评成绩排名证明（双学位学生同时附双学位成绩单及排名），学生证（信息页以及每学期注册页）或在读证明，学信网《教育部学籍在线验证报告》。硕士生需提供：硕士阶段成绩单一份，往届生需提供硕士毕业证、学位证。成绩单、排名均需有所在学校或学院责任人签字并加盖学校教务（或研究生院）公章；
3.其他证明材料，包括：（1）外语水平相关证明；（2）已发表论文（如有）复印件；（3）各类获奖证书复印件；（4）相关资质材料（如发表文章、参加科技创新活动、发明专利等证书）；（5）身份证正反面复印件；
4.两封副教授及以上或相关专业的专家推荐信。（模板详见附件1、附件2）</t>
  </si>
  <si>
    <t>动物医学院</t>
  </si>
  <si>
    <r>
      <t> </t>
    </r>
    <r>
      <rPr>
        <sz val="28"/>
        <rFont val="宋体-简"/>
        <family val="1"/>
        <charset val="134"/>
      </rPr>
      <t>本科期间学习成绩优秀，综合排名在本专业同年级学生前列。其中，</t>
    </r>
    <r>
      <rPr>
        <sz val="28"/>
        <rFont val="Helvetica Neue"/>
        <family val="2"/>
      </rPr>
      <t>“</t>
    </r>
    <r>
      <rPr>
        <sz val="28"/>
        <rFont val="宋体-简"/>
        <family val="1"/>
        <charset val="134"/>
      </rPr>
      <t>双一流</t>
    </r>
    <r>
      <rPr>
        <sz val="28"/>
        <rFont val="Helvetica Neue"/>
        <family val="2"/>
      </rPr>
      <t>”</t>
    </r>
    <r>
      <rPr>
        <sz val="28"/>
        <rFont val="宋体-简"/>
        <family val="1"/>
        <charset val="134"/>
      </rPr>
      <t>建设高校（不含分校及专升本毕业生）前</t>
    </r>
    <r>
      <rPr>
        <sz val="28"/>
        <rFont val="Helvetica Neue"/>
        <family val="2"/>
      </rPr>
      <t xml:space="preserve"> 4 </t>
    </r>
    <r>
      <rPr>
        <sz val="28"/>
        <rFont val="宋体-简"/>
        <family val="1"/>
        <charset val="134"/>
      </rPr>
      <t>学年（或</t>
    </r>
    <r>
      <rPr>
        <sz val="28"/>
        <rFont val="Helvetica Neue"/>
        <family val="2"/>
      </rPr>
      <t xml:space="preserve"> </t>
    </r>
    <r>
      <rPr>
        <sz val="28"/>
        <rFont val="宋体-简"/>
        <family val="1"/>
        <charset val="134"/>
      </rPr>
      <t>前</t>
    </r>
    <r>
      <rPr>
        <sz val="28"/>
        <rFont val="Helvetica Neue"/>
        <family val="2"/>
      </rPr>
      <t xml:space="preserve"> 3 </t>
    </r>
    <r>
      <rPr>
        <sz val="28"/>
        <rFont val="宋体-简"/>
        <family val="1"/>
        <charset val="134"/>
      </rPr>
      <t>学年）的</t>
    </r>
    <r>
      <rPr>
        <sz val="28"/>
        <rFont val="Helvetica Neue"/>
        <family val="2"/>
      </rPr>
      <t xml:space="preserve"> GPA </t>
    </r>
    <r>
      <rPr>
        <sz val="28"/>
        <rFont val="宋体-简"/>
        <family val="1"/>
        <charset val="134"/>
      </rPr>
      <t>成绩在本专业年级排名前</t>
    </r>
    <r>
      <rPr>
        <sz val="28"/>
        <rFont val="Helvetica Neue"/>
        <family val="2"/>
      </rPr>
      <t>20%</t>
    </r>
    <r>
      <rPr>
        <sz val="28"/>
        <rFont val="宋体-简"/>
        <family val="1"/>
        <charset val="134"/>
      </rPr>
      <t>；其它取得教育部</t>
    </r>
    <r>
      <rPr>
        <sz val="28"/>
        <rFont val="Helvetica Neue"/>
        <family val="2"/>
      </rPr>
      <t xml:space="preserve"> </t>
    </r>
    <r>
      <rPr>
        <sz val="28"/>
        <rFont val="宋体-简"/>
        <family val="1"/>
        <charset val="134"/>
      </rPr>
      <t>推荐免试资格的高校应届本科毕业生（不含分校及专续本毕业生）前</t>
    </r>
    <r>
      <rPr>
        <sz val="28"/>
        <rFont val="Helvetica Neue"/>
        <family val="2"/>
      </rPr>
      <t xml:space="preserve"> 4 </t>
    </r>
    <r>
      <rPr>
        <sz val="28"/>
        <rFont val="宋体-简"/>
        <family val="1"/>
        <charset val="134"/>
      </rPr>
      <t>学年（或前</t>
    </r>
    <r>
      <rPr>
        <sz val="28"/>
        <rFont val="Helvetica Neue"/>
        <family val="2"/>
      </rPr>
      <t xml:space="preserve"> 3 </t>
    </r>
    <r>
      <rPr>
        <sz val="28"/>
        <rFont val="宋体-简"/>
        <family val="1"/>
        <charset val="134"/>
      </rPr>
      <t>学年）的</t>
    </r>
    <r>
      <rPr>
        <sz val="28"/>
        <rFont val="Helvetica Neue"/>
        <family val="2"/>
      </rPr>
      <t xml:space="preserve"> GPA </t>
    </r>
    <r>
      <rPr>
        <sz val="28"/>
        <rFont val="宋体-简"/>
        <family val="1"/>
        <charset val="134"/>
      </rPr>
      <t>成绩在本专业年级排名前</t>
    </r>
    <r>
      <rPr>
        <sz val="28"/>
        <rFont val="Helvetica Neue"/>
        <family val="2"/>
      </rPr>
      <t>10%</t>
    </r>
    <r>
      <rPr>
        <sz val="28"/>
        <rFont val="宋体-简"/>
        <family val="1"/>
        <charset val="134"/>
      </rPr>
      <t>；</t>
    </r>
  </si>
  <si>
    <t>大学英语六级考试成绩在425分以上</t>
  </si>
  <si>
    <t>校院参观、实践基地和实验室展示、师生互动、研究生交流、思政教育等活动，近距离感受和了解我院的学科、研究生培养和专家风采</t>
  </si>
  <si>
    <t>截止时间为2023年5月30日</t>
  </si>
  <si>
    <t>2023年6月11日至7月8日</t>
  </si>
  <si>
    <t>英语达到国家六级水平（425分及以上）或TOEFL、GRE等考试成绩优秀者；</t>
  </si>
  <si>
    <t>专家讲座、开营仪式、参观交流、招生宣讲会、能力考核</t>
  </si>
  <si>
    <t xml:space="preserve"> 2023年7月中上旬</t>
  </si>
  <si>
    <t>1）夏令营报名表（附件1，申请人声明处须签字确认）；
（2）学业成绩单（须加盖院系或学校教务部门公章）；
（3）总评成绩排名证明（须加盖院系或学校教务部门公章）；
（4）英语四六级成绩单或同等类别外语考试成绩单；
（5）学科专家推荐书（附件2，推荐人为副高级职称及以上专家）；
（6）已发表论文或接收函（可选）；
（7）校级及以上获奖证书（可选）；
（8）各类实践技能大赛获奖证书或相关作品（可选）。</t>
  </si>
  <si>
    <t>1.夏令营活动期间提供营员食宿（兰州市本地学校学生不提供住宿）。
2.提供来自外地高校的营员往返高铁二等座、硬卧火车票或汽车票资助（凭票）。
3.我院将为营员购买夏令营活动期间人身意外伤害保险，保险期自报到日起至闭营日。</t>
  </si>
  <si>
    <t>1.取得所在学校“推免资格”的优秀营员，在规定时间内进入教育部推免系统报名我院的推免生，报考专业及方向与暑期夏令营报考的专业及方向一致，在同等条件下可优先接收为我校2024年推免生。
2.未取得所在学校“推免资格”的优秀营员，第一志愿报考我院，参加2024年硕士研究生招生考试，初试成绩达到“我院相应复试分数线”，参加复试且体检合格者，可在同等条件下优先录取。</t>
  </si>
  <si>
    <t>深圳先进技术研究院合成生物学研究所</t>
  </si>
  <si>
    <t>1.深入了解合成院所整体情况，深度参与学术沙龙，面对面与合成生物学领域顶尖科学家沟通交流，聆听高水平专题报告及学术讲座等活动；
2.开展2024年度合成院所推免生的面试和选拔工作；</t>
  </si>
  <si>
    <t>80-100名</t>
  </si>
  <si>
    <t>（1）本科成绩单和专业排名证明（需加盖教务处公章）；
（2）相关英文能力证明（大学英语四、六级，雅思、托福或 GRE 等成绩）；
（3）学生证和身份证复印件；
（4）推免资格证明（如有请提供）；
（5）专家推荐信（参加推免生面试的同学提供；有iGEM 参赛经历的同学可由队伍指导老师提供推荐信）；
（6）其他材料（已发表的论文复印件、iGEM 获奖证书或其他证书奖状复印件等）。</t>
  </si>
  <si>
    <t>主办方将承担夏令营期间营员的食宿、保险及文化衫等有关开销，不会对营员收取任何费用。营员报到当天可出示相关凭证，主办方将提供一定额度的交通补助（凭票报销，具体说明待后续通知）。</t>
  </si>
  <si>
    <t>截止时间为2023年8月15日</t>
  </si>
  <si>
    <t>2023年5-8月滚动举办（原则上每2周举办一次）</t>
  </si>
  <si>
    <t>400名</t>
  </si>
  <si>
    <t>前一期未入选营员的学生信息将自动进入下一期营员选拔，无需重复报名。
官网不公布未入营名单，也不会对未入营的学生发布邮件通知，一般报名后连续两次夏令营活动未能入选的视为未入营。</t>
  </si>
  <si>
    <t>信息科学与工程生物医学工程中心</t>
  </si>
  <si>
    <t>学习成绩优秀，达到所在高校推荐免试研究生的要求。</t>
  </si>
  <si>
    <t>7月3日上午：开营仪式
7月3日下午：生物医学工程中心学术交流
7月4日全天：面试
7月5日上午：生物医学工程实验室
7月5日下午：复旦校园参观、离校</t>
  </si>
  <si>
    <t>40名</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</si>
  <si>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申请人必须确保提供的信息和材料真实、准确。凡提供虚假材料者，一经查实，将取消其申请资格。</t>
  </si>
  <si>
    <t>我中心将为营员提供夏令营期间的正餐，同时对外地营员给予一定比例的差旅补助，每人不超过400元。</t>
  </si>
  <si>
    <t>1.我中心按学生报考类型成立优秀营员评选小组，选派责任心强、教学经验丰富、学术及外语水平较高的人员参与评选工作，每个小组成员一般不少于5人。
2.评选考核内容包括所报考专业的综合知识与技能、外国语水平及思想政治素质和品德考核等。
3.评选考核采用现场考核方式，考核安排将另行通知。每位考生的考核时间一般不少于 20 分钟，全程录音录像。
4.评选考核成绩中，专业知识考核成绩占80%，外国语考核成绩占20%。按照总成绩由高到低排名。评选考核成绩不合格者，不能评为优秀营员。
5.评选考核结果将在信息学院所有系/中心的夏令营活动考核结束后5个工作日内，通过复旦大学研究生报考服务系统发布，请考生及时登录系统查看考核结果。
6.夏令营优秀营员评选其他相关要求，参照《复旦大学2023年硕士研究生招生复试录取办法》执行。
推免生拟录取名单以学校公示为准。</t>
  </si>
  <si>
    <t>分子合成与识别科学中心</t>
  </si>
  <si>
    <t>学习成绩优异，达到所在高校推荐免试直升硕士研究生要求。</t>
  </si>
  <si>
    <t>已通过大学英语六级考试。</t>
  </si>
  <si>
    <t>6月30日，18点之前报到，欢迎晚宴
7月1日，开营，笔试考察，面试
7月2日，中心介绍，师生交流，晚上闭营</t>
  </si>
  <si>
    <t>2023年6月30日</t>
  </si>
  <si>
    <t>1、申请表（点击申请表.doc下载）；
2、个人陈述；
3、专家推荐信2封（副教授及以上职称，其中至少一名为本系教师）；
4、由所在院系开具的成绩单与总评成绩排名证明；
5、其它证明材料（体现个人学术水平的有代表性的学术论文的复印件，各类获奖证书复印件，英语四、六级证书复印件等，纸质版材料需院系盖章）。
申请材料必须真实，由所推荐院系盖章</t>
  </si>
  <si>
    <t>复旦大学分子合成与识别科学中心将为参加夏令营活动的学生提供夏令营期间在上海的食宿费用，以及所在学校与上海之间的单程交通补助（包括动车，高铁二等车票）。</t>
  </si>
  <si>
    <t>审核、筛选、择优录取工作由本中心夏令营评审小组负责，被录取的夏令营学员名单将于6月25日之前在复旦大学分子合成与识别科学中心网站（http://rcmrs.fudan.edu.cn/）公布并通过电子邮件通知本人，未接到录取通知的同学不再另行通知。</t>
  </si>
  <si>
    <t>2023年7月上中旬</t>
  </si>
  <si>
    <t>（1）《南开大学2023年推荐免试研究生报名信息表》（进行网上报名并确认后生成此表，按照系统提示打印此表，本人签字）；
（2）个人简历
（3）加盖教务处公章的本科学习成绩单和专业排名证明；
（4）副教授及以上级别的专家推荐信2封（附件下载，需专家亲笔签字）；
（5）其他证明材料，包括：科研成果（发表论文等，论文仅提供首页即可）、毕业论文摘要、英语四六级成绩单、其他考生认为需要展示的材料。</t>
  </si>
  <si>
    <t>前沿生物技术研究院</t>
  </si>
  <si>
    <t>开营仪式、师生见面会、前沿领域讲座、营员展示、推免生面试、闭营仪式等</t>
  </si>
  <si>
    <t>（1）报名表（于报名系统在线填写，打印签字并加盖学校（院）公章）；
（2）身份证正反面复印件；
（3）学生证复印件；
（4）包含所修全部课程的正式成绩单，成绩单上需注明所在专业的成绩排名或另提供成绩排名证明，成绩单和成绩排名证明均需加盖院系或教务公章；
（5）个人简历，须涵盖个人基本信息、学校、专业、英文能力、科研经历、获奖情况和社会工作等；
（6）副教授以上专家书面推荐信2份（自愿提交）；
（7）其他能够体现本人学习及科研能力的证明材料（英语证明材料、代表性学术论文首页、专利及各类获奖证书等）。</t>
  </si>
  <si>
    <t>此次活动不收取任何费用，届时前沿生物技术研究院将为异地学校营员提供夏令营期间在深食宿，并给予部分路费补贴。深圳地区高校学生原则上不提供住宿，仅提供免费用餐。</t>
  </si>
  <si>
    <t>1）申请者所发送至邮箱的材料内容信息必须与网报信息完全一致；
（2）所有电子材料和纸质原件材料请自行做好留档，于入营报到当天现场提交、核验相关原件；
（3）申请截止后，夏令营评审工作小组将对学生的申请材料进行审核，通过资格审核者将以电子邮件的形式通知，未通过者不作另行通知。</t>
  </si>
  <si>
    <t>本科生源院校为全国重点大学（985、211或双一流大学），或本科阶段总成绩排名在该校同年级本专业前20%。</t>
  </si>
  <si>
    <t>第一阶段，7月上旬（具体时间确定后另行通知）通过网络会议线上举行。主要的内容包括：开营仪式、基础医学院各专业研究方向介绍、在籍研究生分享研究生生活、各二级学科组织线上面试遴选“优秀营员”，夏令营不收取报名费；第二阶段，8月中旬（具体时间确定后另行通知），邀请“优秀营员”赴武汉参加科学前沿讲坛，进入实验室参观学习，与导师面对面交流，签订“推荐免试研究生保障性意向协议”，还为“优秀营员”安排武汉市内游览活动，基础医学院负责往返火车票和在汉期间食宿费用。</t>
  </si>
  <si>
    <t>2023年6月10日至6月30日下午5点</t>
  </si>
  <si>
    <t>2023年7月上旬、8月中旬</t>
  </si>
  <si>
    <t>1.《华中科技大学基础医学院2023年暑期夏令营申请表》1份（见附件1）；
2.个人简历1份；
3.本科阶段成绩单（由教务部门盖章）1份，有条件的可提供院系或导师推荐意见（见附件2）；
4.获奖及各类证书扫描文件各1份；
5.国家英语四、六级考试成绩或TOEFL成绩或GRE/GMAT成绩等体现英语水平的证明1份；
6.体现自身学术水平的代表性论文、出版物或原创性工作成果(如专利、发明、制作、软件等)。</t>
  </si>
  <si>
    <t>基础医学院负责往返火车票和在汉期间食宿费用。</t>
  </si>
  <si>
    <t>优秀营员”在取得本科生源学校的推荐免试资格后，可依据优秀营员公示顺序提前预留推免研究生（包括学术型硕士研究生和直博生）录取指标，并在我院正式推免录取中优先选择导师。“优秀营员”未取得本科生源学校的推荐免试资格，在研究生国家统一招生考试报考我院者，如录取后可优先选择导师。</t>
  </si>
  <si>
    <t>基础医学院每年招收学术型硕士研究生100名左右，其中接收推免比例为50%；学术型博士研究生80名左右，其中直博生比例20%。</t>
  </si>
  <si>
    <t>学习成绩优秀，申请学员前两年半学习成绩专业排名在前20%</t>
  </si>
  <si>
    <t>开营仪式、学院与学科介绍、专家讲座、重点实验室与科研实验平台参观活动、师生座谈会等</t>
  </si>
  <si>
    <t>（1）《兰州大学生命科学学院优秀学生暑期夏令营申请表》（见附件1）
（2）两封专家推荐书（见附件2）
（3）大学期间成绩单原件（教务部门盖章）及前两年半学习成绩排名证明原件（教务部门或院系盖章）
（4）英语四六级成绩单复印件，或其他英语考试成绩证明复印件
（5）学生证复印件
（6）其他证明材料（如已发表论文的复印件、奖状复印件、各类证书复印件等）</t>
  </si>
  <si>
    <t>学院将为营员提供暑期夏令营期间的食宿（本校学生不提供住宿），营员可自行选择交通工具，留好所有票据，学院统一按火车硬座标准折算报销往返交通费。</t>
  </si>
  <si>
    <t>经考核为优秀的学员，如获得所在学校推荐免试研究生资格，根据本人志愿，可直接录取为我校硕士研究生，部分未取得所在学校推免资格的优秀营员，第一志愿报考兰州大学生命科学学院，初试成绩达到我院报考专业“学院复试分数线”，参加复试且体检合格在同等条件下优先录取。</t>
  </si>
  <si>
    <t>2023年5月19日0点-6月5日24点。</t>
  </si>
  <si>
    <t>2023年6月27-29日</t>
  </si>
  <si>
    <t xml:space="preserve">暑期开放日期间，学院为营员提供免费食宿。对于入选优秀营员且确定推免至我校的同学，学院将在推免结束后提供往返我院参加开放日的交通补贴（按学校所在地往返南京的普通硬座、硬卧或动车、高铁二等座及以下标准车票价格计算，需提供原始票根）。
</t>
  </si>
  <si>
    <t xml:space="preserve">开放日中表现优秀的同学将获得优秀营员称号，在拿到所在本科学校的推免资格后将优先进入我院推免研究生的选拔名单，在符合我校推免招生要求的情况下，根据招生规模从高分到低分依次录取。  </t>
  </si>
  <si>
    <t>①申请直博者，本科前三（四年制）/前四（五年制）学年学习成绩应名列专业前茅，具有优秀研究生潜质，原则上应通过英语六级（≥426分）或TOEFL≥85分或雅思≥6.0分
②我们积极鼓励优秀本科生申请直接攻读博士学位。特别优秀者，我们拟推荐其进入南京大学名师计划，由长江学者、国家杰青获得者等导师亲自指导。</t>
  </si>
  <si>
    <t>华大生命科学研究院</t>
  </si>
  <si>
    <t>成绩优秀，成绩总排名前20%有机会获得推免资格，有出色的科研成果者学习成绩标准可适当放宽。</t>
  </si>
  <si>
    <t>英语水平良好，有较强的听说读写能力</t>
  </si>
  <si>
    <t>7月16日 (周日)夏令营报到集合啦
7月17日 (周-)09:00-09:30开营仪式09:30-11:00大咖面对面11:00-12:00参观及合影留念14:30-21:00浙江大学海南研究院主题讲座
7月18日 (周二)联合培养方案介绍09:00-12:0014:30-21:00三亚华大生命科学研究院主题讲座
7月19日(周三)营员能力测试08:00-12:00师生见面会14:30-18:0019:00-21:00沙滩party
7月20日 (周四)崖州湾科技城介绍09:00-10:0010:30-12:00走进南山港14:30-15:30南繁育种师兄师姐话读研15:30-17:0018:00-21:00结营仪式
7月21日 (周五)洞天福地09:00-12:0014:30-17:00深海探索17:00-20:00鸟瞰三亚
7月22日 (周六)返回学校</t>
  </si>
  <si>
    <t>2023年7月16日-22日</t>
  </si>
  <si>
    <t>1.优秀应届本科毕业生夏令营申请表；
2.在校成绩单（教务部门盖章）； 
3.身份证和学生证复印件； 
4.简历、英语/计算机等级证书；
5.其他能够体现本人学习及科研能力的证明材料(各类获奖证书、代表性的学术论文首页、专利授权证明等)；
6.诚信承诺书；
7.安全承诺书；
8.个人情况汇总表；
注：在报名时间内将上述报名材料（材料1-7）电子版合并为一个PDF文件发至报名邮箱summercamp2023ZJU@163.com。
邮件主题名为：XX大学-XX学院-XX（姓名）2023夏令营申请 。</t>
  </si>
  <si>
    <t>本次夏令营住宿免费、提供一定额度餐食补贴、交通补贴</t>
  </si>
  <si>
    <t>选拔夏令营评审工作小组将对学生的申请材料进行审核，通过资格审核者将以电子邮件或网上公示的形式通知公布。未通过者，不再另行通知</t>
  </si>
  <si>
    <t>活动内容包括开营仪式、学院和学科介绍、校园参观、百年生科名家讲座、师生交流、个人风采展示等环节</t>
  </si>
  <si>
    <t>截止时间为2023年6月12日（周一）中午12：00</t>
  </si>
  <si>
    <t>①《南开大学2023年推荐免试研究生报名信息表》（进行网上报名并确认后生成此表，按照系统提示打印此表，本人签字）；
② 加盖教务处公章的本科学习成绩单和专业排名证明；
③《南开大学生命科学学院2023年夏令营申请表》（附件下载）；
④ 副教授及以上级别的专家推荐信2封（附件下载，需专家亲笔签字或电子签名）；
⑤ 其他证明材料，包括：国家英语四、六级考试成绩或其他英语水平的证明复印件；获奖证书或科研成果证明复印件；本人代表性学术论文、出版物或原创性成果等。</t>
  </si>
  <si>
    <t>1. 我院将免费为外地营员提供在津参加夏令营活动期间的食宿安排。
2. 外地营员请自行预订往返车票，我院不承担交通费用。后期推免至我校的学生，我院将根据由学校驻地到天津的来程交通费用予以相当的补贴。
3. 我院将为入选营员统一购买夏令营活动期间的团体意外保险。</t>
  </si>
  <si>
    <t>2023年5月25日0:00-6月15日17:30。</t>
  </si>
  <si>
    <t>2023年7月10日-14日</t>
  </si>
  <si>
    <t>1.厦门大学药学院2023年全国优秀大学生夏令营申请表（见附件，须加盖就读学院公章）；2.个人陈述（见附件）；3.本科正式成绩单1份（大一、二、三年级阶段成绩，须加盖所在学校教务部门公章）；4.英语四、六级水平证书或相关成绩证明（须加盖就读学院公章）；5.获奖（资格）证书复印件或个人代表作品、论文等（须加盖就读学院公章）；6.两位副教授及其以上专家的推荐信(见附件)。</t>
  </si>
  <si>
    <t>考核优秀，获得推免资格，且满足我校接收推免生条件者，可免予参加我校9月份的推荐免试研究生（含直博生）考试。</t>
  </si>
  <si>
    <t>南京师范大学</t>
  </si>
  <si>
    <t>学习成绩优秀，修完前三年（五年制前四年）所学课程且均通过。平均学分绩点(按课程首修成绩计算)专业排名前40%或在省级及以上刊物发表与所学本科专业有关的学术论文或在各类与专业相关的学科竞赛中获得省级二等奖或国家三等奖以上（排名前三）。</t>
  </si>
  <si>
    <t>1.7月4日：学院介绍、招生政策宣讲、学位点介绍、特色研究方向介绍、专家学术报告；
2.7月5日：营员综合考核；</t>
  </si>
  <si>
    <t>2023年5月20日-6月6日</t>
  </si>
  <si>
    <t>2023年7月4日-5日</t>
  </si>
  <si>
    <t>1、《南京师范大学生命科学学院2023年 “优秀本科生夏令营”申请表》（详见附录） ；
2、学生证、本科成绩单(双学位或辅修同学还需附双学位或辅修成绩单)，需院系教务部门盖章；
3、英语水平证明复印件；
4、其他材料(包括发表的论文、获奖等各类证书的复印件、参加各类科研项目证明等)。
5、电子版材料发送至：2914759159@qq.com，收件人：郭老师</t>
  </si>
  <si>
    <t>优秀营员第一志愿报考我院2024年推免生时，同等条件下优先录取。</t>
  </si>
  <si>
    <t>截止时间为2023年6月9日16：00</t>
  </si>
  <si>
    <t>生物学、心理学、物理学、数学、化学、计算机、生物医学工程等相关理工科专业背景
计划报考的同学不仅需要在我中心的网站进行报名，务必按照联合招收学校的夏令营要求进行报名和提交材料，具体的各学校联合夏令营简章请持续关注本通知，将根据各学校实际情况同步更新相关链接。另外，每位考生至多允许报考两个北京脑中心与高校的联招夏令营项目，多报无效，若存在进入两个项目的面试情况，以在我中心网站上填报的“第一志愿”为准，请大家谨慎选择报考的志愿。</t>
  </si>
  <si>
    <t>药学和生物技术与工程专硕共计60余名，药理学和药物化学学硕共计近30名</t>
  </si>
  <si>
    <t>杭高院将为夏令营营员提供来程路费（凭高校或家庭所在城市至杭州的火车硬座或高铁动车二等座车票报销交通补贴）及夏令营期间的食宿，住宿由我院统一安排。提前到达或延迟离开期间的食宿费用自行承担；</t>
  </si>
  <si>
    <t>2023年6月25日前</t>
  </si>
  <si>
    <t>生物医学与工程与仪器科学学院</t>
  </si>
  <si>
    <t>学业成绩优秀，将于2024年6月毕业，预期可获得母校外推名额。</t>
  </si>
  <si>
    <t>英语水平优秀。要求国家六级水平考试460分及以上或英语专业八级合格或英语国家获得过学士及以上学位，成绩有效期五年（指考试时间在2019年9月及以后）；或雅思6.0及以上或托福90及以上，有效期参照证书的有效期。对有出色科研成果或特长学生英语水平标准可适当放宽。</t>
  </si>
  <si>
    <t>夏令营将组织学术讲座、考察参观及师生联谊交流，详情届时请见夏令营活动安排。</t>
  </si>
  <si>
    <t>2023年7月10-13日</t>
  </si>
  <si>
    <t>①个人简介（1页）
 ②本科成绩单和本专业年级排名（注明专业总人数和排名）各1份，须加盖教务处或院系公章；
 ③其它材料（如：英语等级证书、发表论文首页、各类获奖或资格证书等材料，不超过5个）；
 ④至少一位任课老师的推荐信，须有推荐人手写签字或电子签名；
 ⑤自我陈述（感兴趣的研究方向/研究目标，1000字以内）。</t>
  </si>
  <si>
    <t>营员食宿由学院承担并统一安排，其他费用营员自理。被取消入选资格的非营员，学院将不承担其任何费用；</t>
  </si>
  <si>
    <t>备注：营员如后期在教育部推免系统报考我校并完成双向确认手续的拟录取考生，将提供往返交通费报销（原则上双程不超过1000元），请保留好报销发票，无正当发票将无法报销。营员交通费补贴报销工作预计在10月20日前完成，逾期未提供发票的，视自愿放弃车费补贴。</t>
  </si>
  <si>
    <t>海南大学</t>
  </si>
  <si>
    <t>前五学期总成绩排名在专业前20%</t>
  </si>
  <si>
    <t>英语水平优秀（符合以下条件之一：全国大学英语四级≥425分；六级≥425分；雅思≥5.5分；托福≥80分；GRE≥1300（新标准≥262）；GMAT≥640分；WSK（PETS5）≥55分；曾在教育部指定出国留学人员培训部参加相应语种培训并获结业证书（高级班）；英语专业四级或八级≥60分；在国外留学满一年（12个月）。</t>
  </si>
  <si>
    <t>6月30日（周五） 报道
7月1日（周六） 开营仪式、学院介绍、师生交流、校园参观
7月2日（周日） 优秀营员选拔</t>
  </si>
  <si>
    <t>截止时间2023年6月18日</t>
  </si>
  <si>
    <t>2023年6月30日- 7月2日</t>
  </si>
  <si>
    <t>①  《海南大学2023年全国优秀大学生暑期夏令营申请表》（本人签名，本科院校相关负责人签字、盖公章）。（下载附件1）
②  海南大学2023年优秀大学生夏令营个人陈述（本人签名）。（下载附件2）
③  诚信参加夏令营选拔考核承诺书（本人签名）。（下载附件3）
④  本科现阶段成绩单（加盖教务处公章）。
⑤  英语水平证明。
⑥  专业排名证明。
⑦  个人身份证明（身份证正/反面、学生证里/外面）
⑧  其他能力证明材料：个人获奖证书、已发表论文等。
⑨  请将上述材料电子版（彩色扫描件）按以上顺序整合成一个PDF文件，文件名为“”姓名+本科院校名称+学科”，邮件主题同文件名。</t>
  </si>
  <si>
    <t>报销说明：包食宿；报销一定比例的交通费用</t>
  </si>
  <si>
    <t>夏令营期间表现优异者：如符合推荐免试条件可以优先拟录取为海南大学生物医学工程学院研究生。</t>
  </si>
  <si>
    <t>注：经考核获得待录取资格的营员，如获得母校当年正式推免资格且满足海南大学接收推免生条件，务必在国家规定时间内登录“全国推荐优秀应届本科毕业生免试攻读研究生信息公开暨管理服务系统”https://yz.chsi.com.cn/tm填报志愿，未按时填报志愿者无法录取。</t>
  </si>
  <si>
    <t>2023年5月17日-6月12日</t>
  </si>
  <si>
    <t>2023年5月25日-6月10日，6月10日17:30前报名系统关闭</t>
  </si>
  <si>
    <t>2023年7月10日—7月14日</t>
  </si>
  <si>
    <t>我院将为营员提供活动期间在厦的食宿费用（统一安排入住校内学生公寓，并提供寝室用具）。凭票报销往返夏令营的路费（以火车硬座票为标准），原则上未全程参加活动者不予录取，不予报销往返路费。</t>
  </si>
  <si>
    <t>医学信息研究所</t>
  </si>
  <si>
    <t>本科期间学习成绩优秀，本科期间总评成绩排名在该校同年级本专业前列（在其他方面有突出表现的学生除外），预计能获得推免资格者</t>
  </si>
  <si>
    <t>.英语水平良好，达到大学英语六级考试（≥425分）、雅思（≥6.0分）、托福（≥90分）或相当水平。科研潜力突出者可适当放宽</t>
  </si>
  <si>
    <t>第一天
13:00-22:00：营员报到、入住
第二天
8:00-9:00：开营仪式
9:00-10:00：参观北京协和医学院校史馆、校园
10:30-11:30：参观协和图书馆
11:30-13:00：午餐休息
13:30-17:00：所馆领导、导师与营员座谈交流
17:00-18:00：闭营仪式
第三天
全天：营员返程</t>
  </si>
  <si>
    <t>2023年5月23日-6月10日</t>
  </si>
  <si>
    <t>2023年6月下旬</t>
  </si>
  <si>
    <t>1.“中国医学科学院北京协和医学院医学信息研究所/图书馆2023年夏令营”申请表1份（扫描下方二维码下载），
同时需填写线上问卷：
https://www.wjx.cn/vm/P9GRylu.aspx#；
2.个人简历（带照片）；
3.截止报名时的成绩单1份（加盖教务部门公章）；
4.专业/班级总评成绩排名证明材料1份（加盖教务部门公章）；
5.大学英语六级考试、雅思、托福成绩单等证明英语水平的材料；
6.大学期间获得的各类获奖证书；
7.发表的学术论文（限第一、二作者或通讯作者）；
8.参与或承担课题等体现学术水平的材料；
9.专家推荐信2封，需副教授及以上职称专家亲笔签字；
10.  以上材料电子版通过扫描方式处理，按照1-9的顺序生成一份电子文件（PDF格式），文件名为“XX大学-XX专业-XX（姓名）-2023夏令营申请XX专业材料”，于2023年6月10日前发至邮箱xu.hang@imicams.ac.cn；纸质版材料请按顺序装订，于报到时提交。</t>
  </si>
  <si>
    <t>夏令营期间提供免费食宿和抵京单程交通费，录取为所馆研究生者入学后凭票报销返程交通费（凭票实报实销至北京的高铁及动车二等座、普通列车硬座或硬卧，飞机经济舱按照所在地至北京高铁二等座价格限额报销，市内交通费不予报销，具体报销规则另行通知）</t>
  </si>
  <si>
    <t>本次夏令营将根据营员表现评选出优秀营员，并为优秀营员颁发证书，优秀营员在推免复试时优先录取；</t>
  </si>
  <si>
    <t>生命科学学院与生命科学联合中心</t>
  </si>
  <si>
    <t>截止日期为2023年6月12日16点</t>
  </si>
  <si>
    <t>2023年6月10-12日</t>
  </si>
  <si>
    <t>1、提交报名材料
（1）夏令营申请表（附件下载）1份。
（2）夏令营个人陈述（附件下载）1份。
（3）夏令营专家推荐信（附件下载）3封，需要3位副教授（含）以上职称的专家分别推荐，且密封并在封口骑缝处签字。
（4）成绩单原件
应届本科生需提供本科阶段成绩单（由教务部门盖章）1份，前两年半总评成绩排名证明（附件下载、由教务部门盖章）1份。
往届本科生，应届/往届硕士生需提供历年在校学习成绩单（本科和硕士阶段，由教务部门盖章）1份。
（5）有效的英语证明复印件（如国家英语四、六级考试成绩，或TOEFL、雅思与GRE成绩等，详见第一条“申请资格”）。
（6）最高学历、学位证书的复印件：
a.应届本科毕业生提交所在学校在学证明。
b.应届硕士毕业生提交所在培养单位研究生院或研究生部的证明信。
c.只有学位证书而无毕业证书者，提交学位证书复印件即可。
d.最高学历学位证书在国（境）外院校获得者，须提交由教育部留学服务中心出具的认证报告。
（7）发表学术文章的复印件。
（8）获奖证书复印件各1份。
（9）其他证明材料复印件（如体现自身学术水平的出版物、原创性工作成果等）。
将所有申请材料（除推荐信外）按照以上顺序合并到一个PDF附件报名系统上传。
将所有申请材料一并装入A4大信封，信封正面注明“夏令营申请”。所有材料邮寄至北京大学生命科学学院127教务办公室，邮政编码100871，电话62751845。邮寄材料截止日期为2023年5月11日（以当地邮戳为准，请尽早寄出），过期不再接受申请。材料邮寄只接收EMS快递方式。</t>
  </si>
  <si>
    <t>1、应届硕士毕业生（2024年毕业），及已获得硕士学位的往届生。要求：
1）具有较强的科研能力，在SCI期刊上已发表一篇以上学术论文（第一作者，影响因子大于等于3）；
2）英语水平优秀，满足以下条件的其中一项：
a. GRE成绩310分（含）以上（2019年9月1日后参加考试）。
b. TOEFL成绩100分（含）以上（2023年9月1日后参加考试）。
c.雅思（A类）成绩6.5分（含）以上（2023年9月1日后参加考试）。
d.国家英语六级考试成绩500分（含）以上。
e.以第一作者在申请学科、专业或相近研究领域的高水平SCI期刊发表（含已录用）的英文学术论文。
2、获得本科学士学位满6年（到2024年9月1日）的人员，可按照同等学力身份申请。要求：
1）科研能力优秀，在申请学科、专业或相近研究领域的SCI期刊上已发表两篇以上学术论文（独立第一作者，影响因子须大于等于3）。
2）英语水平优秀，满足以下条件的其中一项：
a. GRE成绩310分（含）以上（2019年9月1日后参加考试）。
b. TOEFL成绩100分（含）以上（2023年9月1日后参加考试）。
c.雅思（A类）成绩6.5分（含）以上（2023年9月1日后参加考试）。
d.国家英语六级考试成绩500分（含）以上。</t>
  </si>
  <si>
    <t>英语六级≥460或托福≥80或雅思≥5.5</t>
  </si>
  <si>
    <t>2023年7月15日-30日</t>
  </si>
  <si>
    <t>硕博贯通推免研究生约90名、药学专硕统考生约90名，生物与医药工程硕士推免生约20名</t>
  </si>
  <si>
    <t>（1）2023年浙江大学药学院大学生学术夏令营申请表；
（2）本科成绩单（须加盖院系或学校教务处公章）;
（3）英语水平证明材料：包括全国大学英语六级≥460（成绩有效期5年，计算到入学当年9月1日，下同）或托福≥80（成绩有效期2年）或雅思≥5.5（成绩有效期2年）；
（4）其他材料：包括能体现自身学术水平的学术论文、出版物或原创性工作成果、获奖证书等材料。</t>
  </si>
  <si>
    <t>2023年5月25日-6月15日17:30</t>
  </si>
  <si>
    <t>为了方便交流请有意向参加我院2023年大学生暑期夏令营的同学加入QQ群834799901（申请加群请备注姓名+在读院校），欢迎全国高校优秀学子和厦大本校优秀学子踊跃报名。</t>
  </si>
  <si>
    <t>1.开营典礼：兰州大学举行集中开营仪式。
2.讲座与交流：兰州大学邀请学校领导、1-2知名专家和1名学生做报告及互动交流活动。
3.师生面对面：主要包括学院介绍、研究生导师面对面自由交流、与在读研究生座谈。
4.政策宣传:兰州大学2024年公共卫生学院接收统考研究生和校外推荐免试研究生的有关政策宣传。
5.文化活动：参观学院和校园，感受学术氛围。</t>
  </si>
  <si>
    <t>2023年7月7日—7月8日</t>
  </si>
  <si>
    <t>（1）兰州大学公共卫生学院2023年优秀大学生暑期夏令营申请表（附件）
（2）本科前5或7个学期成绩单（由教务部门盖章），排名专业或班级前30％的证明（由教务部门或院系盖章）
（3）身份证、学生证复印件
（4）英语四六级证书复印件
（5）其他证明材料（如获奖证书、学术论文、TOEFL/IELTS/GRE成绩单等复印件，非必须）</t>
  </si>
  <si>
    <t>2023年7月7日举办集中开营仪式</t>
  </si>
  <si>
    <t>1.学生报名基本情况表电子版（附件1）；
2.本人本科学习阶段的成绩单扫描件（须加盖院系或学校教务部门公章）；
3.身份证、学生证复印件；
4.一份专家推荐信（模板见附件2）；
5.个人简历；
6.英语四、六级成绩单复印件扫描件（可选）；
7.获奖证书扫描件（可选）；
8.已发表论文或接受函扫描件（可选）</t>
  </si>
  <si>
    <t>如取得所在学校推荐免试资格并报考兰州大学基础医学院，可视同面试合格直接录取。部分未取得所在学校推免资格的优秀营员，第一志愿报考兰州大学基础医学院，初试成绩达到我院报考专业“学院复试分数线”，参加复试且体检合格在同等条件下优先录取。
优秀营员在研究生入学后，可在同等条件下优先享受第一学年的研究生奖助学金。</t>
  </si>
  <si>
    <t>本科前5学期总评成绩在该校同年级本专业排名中名列前茅。</t>
  </si>
  <si>
    <t>2023年5月24日-6月20日9点</t>
  </si>
  <si>
    <t>2023年6月30日-7月2日</t>
  </si>
  <si>
    <t>1.申请表（在线填写）。
2.有效身份证明（二代居民身份证，正反面扫描至同一页）。
3.在学证明（学生证）。
4.本人自述（介绍专业背景、从事过的研究工作以及攻读研究生阶段的学习和研究计划等，1000字以内，申请人签字后上传至报名系统）。
5.外语水平证明。
6.专家推荐信2封：申请人在线邀请两位与申请学科相关的副教授（含）以上职称专家在线填写推荐信。推荐专家按系统要求，在规定的时间内填写、上传专家推荐信。同时请专家在线完成推荐书后协助妥善保存推荐信原件，待后续接收通知将书面版寄至我院。
7. 前5学期的各科成绩单与前5学期的年级总评成绩排名（需盖学校或院系教务部门公章）。
8. 其它材料：包括获奖证书复印件（学术类相关奖项），能体现自身学术水平的学术论文、出版物等。</t>
  </si>
  <si>
    <t>本次夏令营不收取任何费用。入选营员交通自理。活动期间在深的用餐我院统一安排，生物医药与健康工程研究院为外地学校营员提供住宿或发放住宿补贴150元/人/晚，交通补贴200元/人。</t>
  </si>
  <si>
    <t>英语水平良好（具体要求可参考浙江大学医学院往届博士生招生简章）</t>
  </si>
  <si>
    <t>2023年5月23日-6月25日16：00</t>
  </si>
  <si>
    <t>全国大学英语六级≥460 或托福≥ 80 或雅思≥5.5 或 WSK（PETS 5）合格或英语专业八级合格或英语国家获得过学士及以上学位。</t>
  </si>
  <si>
    <t>7月上旬：营员报到
7月上旬：开营仪式
7月上旬：各学科（实验室）介绍、师生面对面、优秀学长交流等
7月上旬：科研能力及综合素质测评，评选优秀营员</t>
  </si>
  <si>
    <t>2023年7月6日-7月9日</t>
  </si>
  <si>
    <t>为学员提供暑期学校在沪活动期间的食宿、保险及医学院统一安排的参观考察费。优秀学员如报考我院推免或统考研究生，学院将按不高于高铁二等座或硬卧的标准实额报销参加本次活动的往返路费。</t>
  </si>
  <si>
    <t>优秀学员的评选将按照我校研究生入学考试复试的标准进行综合考核，根据综合考核成绩结合学员本科期间的材料评价成绩评选出优秀学员，优秀学员可获得同济大学医学院2023年优秀学生暑期学校优秀学员资格，并可享受以下政策：
1.获得本科学校2023年推荐免试资格的优秀学员在推免阶段中申请我院，我院将根据接收规模从高分到低分择优录取，额满为止，暑期学校的考核成绩可以视为推免复试成绩。
2.未获得本科学校推免资格的优秀学员，若2023年全国研究生入学考试报考我院，初试成绩达到其所报考我院相应专业的复试成绩基本要求者，可优先录取，暑期学校的考核成绩可以视为研究生入学考试复试成绩。</t>
  </si>
  <si>
    <t>英语良好
①国家英语四级考试成绩500分（含）以上，或国家英语六级考试成绩470（含）以上；
②GRE 成绩300分(含)以上（2019年9月1日后参加考试）；
③TOEFL成绩95分(含)以上（2023年9月1日后参加考试）；
④雅思（A类）成绩6.0分(含)以上（2023年9月1日后参加考试）</t>
  </si>
  <si>
    <t>截止时间为2023年6月20日17：00</t>
  </si>
  <si>
    <t>2023年7月18日-19日</t>
  </si>
  <si>
    <t>1) PTN项目申请表（学生网上信息采集系统生成并打印） 。
2) 本人自述（中英文均可）。
3) 成绩单原件（官方出具，本科和硕士阶段，成绩单从档案部门复印加盖档案部门红章视同原件）。
4) 前两年半或前三年成绩排名证明原件（官方出具，2024年应届本科生提交）。
5) 外语水平证明复印件。以下证明选择一种。复试时携带原件审核。
①国家英语四级考试成绩500分（含）以上，或国家英语六级考试成绩470（含）以上；
②GRE 成绩300分(含)以上（2019年9月1日后参加考试）；
③TOEFL成绩95分(含)以上（2023年9月1日后参加考试）；
④雅思（A类）成绩6.0分(含)以上（2023年9月1日后参加考试）；
⑤以第一作者或者并列第一作者在报考学科、专业或相近研究领域的期刊或会议发表（含已录用）的英文学术论文；
⑥在英语国家或地区使用英语撰写学位论文并已获得学位；
⑦可证明英语能力达到相当于前述要求的成绩证明（如北京大学博士研究生英语水平考试（PKU-GATE）成绩60分及以上（2015年12月-2019年1月参加考试））；
6) 如果有在核心刊物或会议上发表的学术论文、出版物或取得具有学术水平的工作成果，请提交复印件或证明信。
7) 如果在学期间从事课外科技活动中有获奖或突出表现，请提交加盖公章的证明材料。
8) 学生证（需提供每学期注册章）或在学证明，学信网《教育部学籍在线验证报告》（应届生提交）。
9) 学位、学历证书的复印件（往届生提交）。如持境外获得的学历学位证书，须提交教育部留学服务中心提供的学历学位认证证明。
10) 提供两份由申请攻读学位学科有关的副教授（或相当职称）以上专家的“专家推荐信”（下载空表请专家填写并签字），推荐信须由推荐专家密封并在封口处签字。</t>
  </si>
  <si>
    <t>注：①申请者须承诺学历、学位证书和其他申请材料的真实性，一经选拔单位或认证部门查证为不属实，即取消报名及入选资格。
②申请者报名前应仔细核对本人是否符合申请条件，凡不符合申请条件的学生将不予入选，相关后果由学生本人承担。
③不招收在职定向学生。</t>
  </si>
  <si>
    <t>截止时间为2023年6月15日16点</t>
  </si>
  <si>
    <t>2023年6月30日-7月3日</t>
  </si>
  <si>
    <t>①夏令营申请表1份（从报名系统导出打印，签字盖章）；
②个人陈述 1份（从报名系统导出打印签字)；
③专家推荐信（从报名系统导出下载）2封，需要2位副教授或以上职称专家分别推荐，且密封并在封口骑缝处签字；
④成绩单原件1份；
⑤前两年半的总评成绩排名证明（附件下载）1份；
⑥有效的英语水平证书复印件1份；
⑦应届本科毕业生提交所在学校在学证明复印件1份。
⑧发表的学术文章及获奖证书复印件1份。
⑨其他证明材料（如体现自身学术水平的出版物、原创性工作成果等）复印件1份。</t>
  </si>
  <si>
    <t>夏令营资格审核录取工作由夏令营专家委员会负责。该项工作将于2023年6月20日前结束，材料审核期间不接受电话或Email询问进展情况。最终夏令营录取名单将在北京大学未来技术学院网站通知公告栏目（https://future.pku.edu.cn/ ）公布，不再另行通知。</t>
  </si>
  <si>
    <t>截止时间为6月15日下午17:00</t>
  </si>
  <si>
    <t>2023年7月8日至7月11日</t>
  </si>
  <si>
    <t>临港实验室</t>
  </si>
  <si>
    <t>学习成绩优异，能够获得所在学校推荐免试资格者优先</t>
  </si>
  <si>
    <t>英语水平较好，具有较强的英语听说和写作能力</t>
  </si>
  <si>
    <t xml:space="preserve">第一天
学员报到，进行营员见面会，介绍本次夏令营的具体安排。
第二天
上午举行开营仪式，介绍讲座及导师代表学术报告，下午举行推免生面试。
第三天
上午临港实验室介绍，参观上海市调控生物学重点实验室等，下午夏令营闭幕仪式（优秀营员评选），学员离营。 </t>
  </si>
  <si>
    <t>2023年7月12-14号</t>
  </si>
  <si>
    <t>1、《华东师范大学2023年优秀大学生夏令营申请表》（报名系统中下载，填写推荐意见后，签字盖章，扫描上传）；
2、个人陈述（介绍本人的外语能力、学习业绩、获奖情况、论文发表情况、专业能力倾向、研究成果、学术研究兴趣、曾参与过的科研项目、研究生阶段的学习和研究计划、其它特长及本人认为对于申请有参考价值的内容）
 3、本科成绩单（前5学期）1份；
 4、其他材料（英语等级证书、论文发表、专利发明、各类获奖或资格证书等）。</t>
  </si>
  <si>
    <t>本次夏令营活动包食宿（本校学生不安排住宿），往返差旅费请自理。</t>
  </si>
  <si>
    <t>面试环节将评选优秀营员；优秀营员如果获得所在本科学校推免资格，且2023年9月申请推免至夏令营期间面试的专业，达到我校推免接收条件的，则可根据优秀营员排序结果、在该学科可以接收的推免生限额内，经审核可拟录取为我校2024级研究生。</t>
  </si>
  <si>
    <t>生物与医药专业招生依托单位包括：华东师范大学生命科学学院、华东师范大学化学与分子工程学院。意向华东师范大学生命科学学院导师的学生请在生命科学学院报名，意向临港实验室、华东师范大学化学与分子工程学院、人工智能新药创智中心和通信与电子工程学院导师的学生请在化学与分子工程学院报名。</t>
  </si>
  <si>
    <t>2023年5月27日-6月10日</t>
  </si>
  <si>
    <t>2023年6-8月份</t>
  </si>
  <si>
    <t>获得我校优秀营员且取得所在高校推荐免试资格的学生，须于2023年9月28日-10月15日在教育部“全国推荐优秀应届本科毕业生免试攻读研究生信息公开暨管理服务系统”(网址：http://yz.chsi.com.cn/tm)进行网上报名、确认录取，否则视为放弃</t>
  </si>
  <si>
    <t>达到或接近所在高校推荐免试生要求</t>
  </si>
  <si>
    <t>Aug.6：全天报到
Morning：1. summer school opening ceremony开幕式
2.Visit school of dentistry 学院参观
Afternoon:
3.13:30-14:30 Academic lecture.Oral implantology口腔种植学讲座
4.14:30-15:30 Academic lecture: Endodontics牙体牙髓病学讲感
5.15:30-16:30Academic lecture.Oral surgery 口腔颁面外科学讲座
Aug.8
Morning:
1.Visit Sipinglu campus 四平路校区参观
Afternoon:
2. One day tour of Shanghai City 上海观光
3.18:30-20:00“Tongji Night” Party“同济之夜”联欢会
Aug.9
Morning:
8:30 Dental morphology and skills Competition 口腔形态技能大赛
Afternoon:
13:30 Closing ceremony 闭幕式
Aug.10
Departure 离开</t>
  </si>
  <si>
    <t>2023年8月6日-8月10日</t>
  </si>
  <si>
    <t>（1）《同济大学口腔医学院2023年优秀大学生暑期学校活动申请表》1份（附后）
（2）本科成绩单(由教务处或学院盖章) 与总评成绩排名证明
（3）外语水平证明复印件（如：英语四、六级考试成绩，托福成绩或GRE/GMAT成绩等）
（4）专家书面推荐信2份
（5）其他材料 (如:发表论文、专利，各类获奖或资格证书等)</t>
  </si>
  <si>
    <t>在口腔暑期学校期间的食宿由口腔医学院统一安排提供，学生食宿免费，集体活动交通由暑期学校负责，并提供每位学生的往返路费（按不高于高铁／动车二等座位票的标准实额报销）。同时，为了保证每一位学生的安全，我们将统一为学生购买保险。</t>
  </si>
  <si>
    <t>参加暑期学校的学生，综合技能大赛参与情况，排名前8名的学生视为优秀学员，可获得同济大学口腔医学院颁发的2023年暑期学校优秀学员证书，在2024年口腔医学院研究生复试中享受以下优惠政策。
1、暑期学校的综合考核成绩在研究生招生复试面试的“专业和综合素质”中予以认定为“专业基础能力”成绩。
2、在研究生招生复试面试时，在同等条件下给予优先录取机会。</t>
  </si>
  <si>
    <t>1、报到时需携带身份证、学生证及入营通知。
2、在营期间，营员必须遵守同济大学的相关规定。</t>
  </si>
  <si>
    <t>2023年5月26日-6月20日</t>
  </si>
  <si>
    <t>2023年7月6日-8日</t>
  </si>
  <si>
    <t>①《兰州大学第二医院2023年暑期夏令营申请表》(附件1);
② 本科成绩单与本专业排名证明扫描件（需加盖教务处或院系公章）;
③ 外语水平证明，全国大学英语四/六级成绩单或其他同类别英语考试成绩单扫描件；
④ 其他证明材料，如已发表论文或专利扫描件、本科期间各类获奖证书扫描件等。</t>
  </si>
  <si>
    <t>通过预推免研究生复试的优秀营员在取得推免资格后可直接申请推免录取。</t>
  </si>
  <si>
    <t>求是学院-良渚实验室</t>
  </si>
  <si>
    <t>6月9日前：学生自主报名
6月19日前：材料审核与导师遴选
6月23日前：入选名单公示
7月12日：开营仪式
7月中旬至8月中旬：为期3～4周的科研学习
8月中旬：结业汇报与表彰</t>
  </si>
  <si>
    <t>截止时间为2023年6月9日20:00</t>
  </si>
  <si>
    <t>7月12日-8月中旬</t>
  </si>
  <si>
    <t>申请材料包括：个人简历、成绩单和在读阶段成绩排名、英语水平证明、获奖证明等。</t>
  </si>
  <si>
    <t>良渚实验室各意向导师将结合学生报名申请情况，对申请材料进行审核并完成遴选工作。入围名单将在良渚实验室官网、求是学院官网公布，并通过邮件或电话通知入围申请人。</t>
  </si>
  <si>
    <t>中国人保公共卫生硕士项目</t>
  </si>
  <si>
    <t>学习成绩优秀，本科期间总评成绩排名在该校同年级本专业前列（在其他方面有突出表现的学生除外）</t>
    <phoneticPr fontId="45" type="noConversion"/>
  </si>
  <si>
    <t>英语水平良好</t>
    <phoneticPr fontId="45" type="noConversion"/>
  </si>
  <si>
    <t>线下</t>
    <phoneticPr fontId="45" type="noConversion"/>
  </si>
  <si>
    <t xml:space="preserve">1. 学院按专业方向成立（若干）优秀营员评选小组，各专业方向选派责任心强、教学经验丰富、学术及外语水平较高的人员参与评选工作，每个小组成员一般不少于5人。
2. 评选考核内容包括所报考专业的综合知识与技能、外国语水平及思想政治素质和品德考核等。
3. 评选考核采用现场面试方式进行。每位营员的面试时间一般不少于 20 分钟，进行全程录音录像。
4. 评选考核成绩中，专业知识面试成绩占50%，外国语面试成绩占50%。按照总成绩由高到低排名。评选考核成绩不合格者，不能评为优秀营员。
</t>
    <phoneticPr fontId="45" type="noConversion"/>
  </si>
  <si>
    <t>2023年5月10日10:00-5月31日17:00</t>
    <phoneticPr fontId="45" type="noConversion"/>
  </si>
  <si>
    <t>未说明</t>
    <phoneticPr fontId="45" type="noConversion"/>
  </si>
  <si>
    <t>1. 近期正面免冠彩色证件照片，电子版JPG格式，150×200像素，大小500K以内。
2. 个人简历及陈述1份。
3. 本科阶段成绩单和专业排名证明（均须由教务部门盖章）各1份。
4. 外语水平证明，如CET四级、CET六级、雅思、托福、专业外语成绩等;
5. 有关获奖证书和学术科研成果，如发表论文、出版物或其他原创性工作;
6. 考生诚信考核承诺书。</t>
    <phoneticPr fontId="45" type="noConversion"/>
  </si>
  <si>
    <t>包括但不限于预防医学或公共事业管理本科2024届优秀毕业生（含本校学生）</t>
    <phoneticPr fontId="45" type="noConversion"/>
  </si>
  <si>
    <t>来自“双一流”学科或学校，本科总评成绩排名年级前20%或其他高校特别优秀、能获得推免资格的学生</t>
    <phoneticPr fontId="45" type="noConversion"/>
  </si>
  <si>
    <t>具有良好听、说、读、写的英语应用能力，英语六级成绩应达到426分及以上</t>
    <phoneticPr fontId="45" type="noConversion"/>
  </si>
  <si>
    <t>活动内容包括专业介绍（我院研究生专业包括药理学、药剂学、药物分析学、药物化学、生药学、微生物与生化药学、有机化学、药学硕士（专业学位））、名师讲座等</t>
  </si>
  <si>
    <t>2023年6月1日-15日</t>
  </si>
  <si>
    <t>7月5日至7日</t>
  </si>
  <si>
    <t>我院负责所有营员在营期间的用餐及广州市外营员在广州的保险及住宿费用，其他往返交通费用由营员自理。</t>
  </si>
  <si>
    <t>组织拟推免我校药学专业研究生的营员进行综合评价，综合评价成绩作为中山大学药学院选拔2024年推荐免试硕士的方式之一</t>
  </si>
  <si>
    <t>具体时间、活动内容及形式，请关注后续各二级单位通知。</t>
  </si>
  <si>
    <t>2023年7月1日-7月20日</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</si>
  <si>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</si>
  <si>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成绩优异、在校期间无重修或补考科目。</t>
  </si>
  <si>
    <t>线上线下相结合</t>
    <phoneticPr fontId="45" type="noConversion"/>
  </si>
  <si>
    <t>5月27日-6月23日</t>
  </si>
  <si>
    <t>2023年7月</t>
  </si>
  <si>
    <t>（1）《2023年全国优秀大学生夏令营申请表》1份（附件1）。
（2）本科在读期间成绩单（截至目前）1份、专业排名1份，均须由教务部门盖章。
（3）英语六级成绩单或其他英语考试的成绩证明1份。
（4）专家推荐信2封（需副教授及以上职称专家分别推荐）。
（5）其他证明材料（如体现自身学术水平的代表性学术论文或其他原创性工作成果复印件、获奖证书复印件等）。
（6）身份证正反面复印件、学生证复印件各1份。（可打水印）
以上申请材料（2-6项）请通过扫描等方式形成一个PDF文件，与《申请表》共同发送至ismzhaosheng@126.com，邮件主题为“张XX申请参加2023年系统所夏令营”，文件均命名为“学校名称-专业-姓名”，如“中南大学-基础医学-张XX”。
（7）请扫描二维码填报在线表格《2023年苏州系统医学研究所夏令营营员收集表》。</t>
  </si>
  <si>
    <t>在符合北京协和医学院推免生要求前提下，全程参加我所暑期夏令营，且根据申请材料、综合考核情况被评为优秀营员的学生，如在所读大学取得推免资格，同等条件优先拟录取为我校2024年推免研究生。</t>
    <phoneticPr fontId="45" type="noConversion"/>
  </si>
  <si>
    <t>学习成绩优秀</t>
    <phoneticPr fontId="45" type="noConversion"/>
  </si>
  <si>
    <t xml:space="preserve">截止时间均为2023年6月12日16：00
</t>
    <phoneticPr fontId="45" type="noConversion"/>
  </si>
  <si>
    <t>7月1日-3日</t>
    <phoneticPr fontId="45" type="noConversion"/>
  </si>
  <si>
    <t>北京大学前沿交叉学科研究院2023年夏令营申请表1份（北大模板中填写，见附件一）
02
个人陈述（关于个人学术背景、曾经做过的研究工作以及未来学习和研究的计划、目标等）1份（北大模板中填写，见附件二）
03
专家推荐信3封，需要3位副教授（含）以上职称的专家分别推荐，且密封并在封口骑缝处签字（北大模板中填写，见附件三）
04
应届本科生需提供本科阶段成绩单（由教务部门盖章）1份，前两年半总评成绩排名证明（由教务部门盖章）1份（北大模板中填写，见附件四）
05
往届本科生，应届/往届硕士生需提供历年在校学习成绩单（本科和硕士阶段，由教务部门盖章）1份
06
体现自身英语水平的证明，如国家英语四、六级考试、或TOEFL、雅思与GRE考试等成绩的复印件。
07
学位，学历证书的复印件（往届生提交），境外获得的学位证书须提供教育部留学服务中心出具的《国（境）外学历学位认证书》。
08
其他证明材料（如体现自身学术水平的代表性学术论文或其他原创性工作成果的首页复印件、获奖证书复印件等）
09
为保证所有网报上传材料的真实性和准确性，提交网报信息真实承诺书（附件五）。</t>
    <phoneticPr fontId="45" type="noConversion"/>
  </si>
  <si>
    <t>专业背景要求：
1）定量生物学中心、纳米科学与技术研究中心、生物医学跨学科研究中心、生命科学联合中心、大数据科学研究中心、脑科学与类脑研究中心和昌平实验室的申请者应具有生物学、计算机科学、数学、物理、化学、医学、材料、电子等相关理工科专业背景，对交叉学科领域的学术研究有浓厚的兴趣，愿意从事学术研究工作；
2）科学技术与医学史系申请者（博士和硕士）可以是全国高校各学科专业（含理工、人文、社科等学科）对科学、技术与医学史及其社会史、文化史、思想史等研究有浓厚兴趣的同学，特别欢迎具有理工科专业背景、愿意从事科学-人文交叉学科研究的同学。
3）大数据科学研究中心的申请者（博士），在选拔时将侧重于以下2个方向：
a. 机器学习的基础理论和算法（要求学生有比较强的数学或算法背景）
b. 机器学习的科学应用（物理、化学、材料、生物、力学等，要求学生有相应的科学背景）</t>
    <phoneticPr fontId="45" type="noConversion"/>
  </si>
  <si>
    <t>深圳先进技术研究院生物医学与健康工程研究所</t>
  </si>
  <si>
    <t>学习成绩优秀（本科前三学年学习成绩专业排名前30%）</t>
  </si>
  <si>
    <t>开营仪式、学术交流、导师沙龙、实验室参观、师生面对面畅谈、师兄师姐茶话会、优秀营员面试等，更有文化旅活动带你一同感受深圳风光；</t>
  </si>
  <si>
    <t>网上申报截止时间为2023年6月25日18:00</t>
  </si>
  <si>
    <t>1.中国科学院深圳先进院2023年夏令营申请表，需网上报名后下载；
2.本科前三年（五年制为本科前四年）成绩单和专业排名证明，需加盖教务处公章（如因疫情原因暂时无法提供，可提供一份书面说明）；
3.相关英文能力证明（包括大学英语四、六级；雅思；托福或 GRE 等）；
4.学生证和身份证复印件；
5.推免资格证明（如有请提供）；
6.专家推荐信（如有请提供）；
7. 其他证明材料（如已发表论文、各类证书奖状、较厚的论文或出版物提供论文首页或出版物摘要即可）。</t>
  </si>
  <si>
    <t>夏令营期间不收取任何费用。夏令营期间提供免费食宿、文化衫、周边礼包等等。可报销从学校/家庭所在地至深圳的单程交通费用（按火车（汽车）硬座或硬卧或动车二等座标准），</t>
  </si>
  <si>
    <t>夏令营期间将通过面试等考核方式选拔优秀营员，优秀营员将有机会优先获得2023级医工所推荐免试研究生资格。具体报名形式待后续通知。</t>
  </si>
  <si>
    <t>具有生物医学工程、电子信息、计算机、光学、生物材料、生物学、化学、物理、机械、医学、药学等相关或相近理工科专业基础；</t>
  </si>
  <si>
    <t>兰州大学</t>
    <phoneticPr fontId="45" type="noConversion"/>
  </si>
  <si>
    <t>学科排名靠前，学习成绩优秀</t>
    <phoneticPr fontId="45" type="noConversion"/>
  </si>
  <si>
    <t xml:space="preserve">7月6日下午：营员报到
7月7日：兰州大学2023年暑期夏令营集中开营仪式；学院介绍、学科专业整体发展情况、导师介绍等。
7月8日：学院讲座与交流，包括专家学术报告与专题讲座、与研究生导师面对面自由交流、与在读研究生座谈；政策宣传，包括2024年接收统考研究生和校外推荐免试研究生的有关政策宣传解读等。
</t>
    <phoneticPr fontId="45" type="noConversion"/>
  </si>
  <si>
    <t>至2023年6月15日</t>
    <phoneticPr fontId="45" type="noConversion"/>
  </si>
  <si>
    <t>2023年7月6日-8日</t>
    <phoneticPr fontId="45" type="noConversion"/>
  </si>
  <si>
    <t>30名</t>
    <phoneticPr fontId="45" type="noConversion"/>
  </si>
  <si>
    <t xml:space="preserve">（1）学生报名基本情况表电子版（见附件1）；
（2）前5个学期的学习成绩单及所在专业成绩排名证明（须加盖院系或学校教务部门公章）；
（3）身份证、学生证扫描件及个人简历1份；
（4）个人陈述材料（关于曾经做过的研究工作以及未来学习和研究的计划、目标等，不少于1500字）；
（5）两份专家推荐信（需副教授以上专家推荐，亲笔签名并注明推荐专家联系方式，见附件2）；
（6）英语水平证明材料（如大学英语四、六级成绩单、TOEFL成绩、GRE成绩、雅思成绩等复印件）；
（7）其他能体现学习/学术能力的材料（如获奖证书、论文、报告等材料复印件）（可选）；
</t>
    <phoneticPr fontId="45" type="noConversion"/>
  </si>
  <si>
    <t>.参加夏令营的学生从学校往返兰州的普通火车的硬座票/汽车旅费，在兰州期间的人身保险费、住宿费、餐费，由兰州大学药学院承担。住宿提供双人标间，原则上要求双人入住。请自行提前预订往返车票并保留相关票据；学院不提供订票服务</t>
    <phoneticPr fontId="45" type="noConversion"/>
  </si>
  <si>
    <t>夏令营优秀营员如取得所在学校推荐免试资格并报名兰州大学药学院，可视同面试合格直接录取。未取得所在学校推免资格的优秀营员，第一志愿报考兰州大学药学院，初试成绩达到我院报考专业“学院复试分数线”，参加复试且体检合格在同等条件下优先录取。</t>
    <phoneticPr fontId="45" type="noConversion"/>
  </si>
  <si>
    <t>成都大学</t>
  </si>
  <si>
    <t>学习成绩优良，在学期间无重修科目及补考记录</t>
    <phoneticPr fontId="45" type="noConversion"/>
  </si>
  <si>
    <t>英语水平优秀</t>
    <phoneticPr fontId="45" type="noConversion"/>
  </si>
  <si>
    <t>线上</t>
    <phoneticPr fontId="45" type="noConversion"/>
  </si>
  <si>
    <t>夏令营期间我院（所）将安排药学学科研究方向介绍、专家讲座、招生政策宣讲及答疑、营员与导师、在读研究生交流等环节。具体日程和活动方案另行通知。</t>
    <phoneticPr fontId="45" type="noConversion"/>
  </si>
  <si>
    <t>2023年7月10日前</t>
    <phoneticPr fontId="45" type="noConversion"/>
  </si>
  <si>
    <t>2023年7月中下旬</t>
    <phoneticPr fontId="45" type="noConversion"/>
  </si>
  <si>
    <t>申报本次夏令营，申请者下载附件1《申请人简历及自述》并填写。申请人须在2023年7月10日之前，将附件1以“2023夏令营报名+姓名+本科学校+拟报考专业”作为邮件主题发送至cdsiiayjs@163.com。</t>
    <phoneticPr fontId="45" type="noConversion"/>
  </si>
  <si>
    <t>无</t>
    <phoneticPr fontId="45" type="noConversion"/>
  </si>
  <si>
    <t>2023年6月20日前</t>
  </si>
  <si>
    <t>①《兰州大学第一临床医学院2023年优秀大学生暑期夏令营申请表》（见附件）；
②本科成绩单与本专业排名证明扫描件（需加盖教务处或院系公章）；
③外语水平证明，全国大学英语四/六级成绩单或其他同类别英语考试成绩单扫描件；
④其他证明材料，如已发表论文或专利扫描件、本科期间各类获奖证书扫描件等。</t>
  </si>
  <si>
    <t>重点考虑双一流建设高校和一流学科建设高校，及第四轮学科评估中临床医学学科排名B+及以上的院校</t>
  </si>
  <si>
    <t>复杂体系多尺度研究院</t>
  </si>
  <si>
    <t xml:space="preserve"> 未说明</t>
    <phoneticPr fontId="45" type="noConversion"/>
  </si>
  <si>
    <t>线上宣讲会</t>
    <phoneticPr fontId="45" type="noConversion"/>
  </si>
  <si>
    <t>2023年5月29日14:00-15:00</t>
    <phoneticPr fontId="45" type="noConversion"/>
  </si>
  <si>
    <t>请各位同学发送报名材料（个人简历+成绩单）至我院邮箱：mrics_fd@fudan.edu.cn，邮件标题请注明：“2023夏令营+姓名+所学专业”。</t>
    <phoneticPr fontId="45" type="noConversion"/>
  </si>
  <si>
    <t>目前本科前5个学期总成绩排名原则上在所读学校同年级本专业前30％之内者（在其它方面有突出表现的学生除外），已经获得或即将获得所在高校推荐免试生资格者优先；</t>
    <phoneticPr fontId="45" type="noConversion"/>
  </si>
  <si>
    <t>具有良好的英语听、说、读、写能力，通过全国大学生英语六级考试（成绩不低于426分）。</t>
    <phoneticPr fontId="45" type="noConversion"/>
  </si>
  <si>
    <t>网上报名截止时间为2023年6月17日，顺丰邮寄材料截止时间为2023年6月27日。</t>
    <phoneticPr fontId="45" type="noConversion"/>
  </si>
  <si>
    <t>2023年7月上中旬</t>
    <phoneticPr fontId="45" type="noConversion"/>
  </si>
  <si>
    <t>80名</t>
    <phoneticPr fontId="45" type="noConversion"/>
  </si>
  <si>
    <t xml:space="preserve">1、《中山大学生物医学工程学院优秀大学生夏令营申请表》（附件1）一份；
2、个人陈述材料（关于曾经做过的研究工作以及未来学习和研究的计划、目标等，不少于1500字）；
3、本科阶段成绩单和前5个学期（或前三学年）总评成绩排名证明（由学校或学院教务部门盖章，成绩排名证明模板见附件2）；
4、外语水平证明材料（如国家英语四级或六级考试成绩、TOEFL成绩、GRE成绩、雅思成绩等复印件）。
5、学生证复印件1份（将个人信息页和注册信息页复印在1张A4纸上）；
6、身份证复印件1份（将正反面复印在1张A4纸上）；
7、其他证明材料，包括但不限于：获奖证书、专利证书，发表的、能体现自身学术水平的学术论文（已发表论文提供期刊目录、论文首页）、出版物或原创性工作成果材料等；
8、承诺书（附件3）；
9、个人信息汇总表（附件4）
</t>
    <phoneticPr fontId="45" type="noConversion"/>
  </si>
  <si>
    <t>本次夏令营将免费为参营学生提供食宿（本市学生不安排住宿），并提供交通补助（包括报销营员学校/家往返深圳的火车硬座车票或汽车票，以及本市学员每人每天10元的市内交通费用）。活动期间，每天将为学员提供免费的茶水、点心和午餐。</t>
    <phoneticPr fontId="45" type="noConversion"/>
  </si>
  <si>
    <t>在夏令营中被评为优秀营员的同学，如获得所在学校推荐免试研究生资格，且在教育部推免申报系统中以第一志愿报考中山大学生物医学工程相关专业的硕士、博士研究生，根据本人志愿，将优先进入推免生选拔名单。</t>
    <phoneticPr fontId="45" type="noConversion"/>
  </si>
  <si>
    <t>中日友好临床医学院</t>
  </si>
  <si>
    <t>成绩优秀,排名靠前;</t>
    <phoneticPr fontId="45" type="noConversion"/>
  </si>
  <si>
    <t>英语水平良好,CET6≥480分或雅思成绩不低于6.0分或托福成绩不低于90分;</t>
    <phoneticPr fontId="45" type="noConversion"/>
  </si>
  <si>
    <t>6月5日9:00-6月22日9:00</t>
  </si>
  <si>
    <t>7月9日-11日</t>
    <phoneticPr fontId="45" type="noConversion"/>
  </si>
  <si>
    <t>1.夏令营申请表(申请表可于系统导出打印),填写后学校教务处或院系负责人签字盖章;(纸版原件及电子版扫描件)
2.个人简历及个人陈述(关于个人学术背景、曾经做过的研究工作以及未来学习和研究的计划、目标等。个人陈述模板可在夏令营申请系统中下载);(纸版原件及电子版扫描件)
3.本科历年成绩单1份,须加盖所在学校教务部门公章;(纸版原件及电子版扫描件)
4.英语六级水平证书或相关英语成绩证明;(纸版复印件及电子版扫描件)
5.成绩排名证明(含专业成绩排名和综合成绩排名,由学校教务部门盖章或院系出具证明);(纸版原件及电子版扫描件)
6.其他有关能力的证明材料(如:发表论文、专利,各类获奖等);(纸版复印件及电子版扫描件)
7.两位副教授或以上专家的推荐信(模板可在夏令营申请系统中下载,须专家签字确认)。(纸版原件及电子版扫描件)
8.声明(可在系统中下载模板)。(纸版原件及电子版扫描件)</t>
  </si>
  <si>
    <t>2023年5月31日00:00-6月16日00:00</t>
    <phoneticPr fontId="45" type="noConversion"/>
  </si>
  <si>
    <t>学院为营员提供活动期间的餐补，并将在优秀营员入学后对其在夏令营期间的部分住宿和交通费用进行资助，具体资助方案后续通知。</t>
  </si>
  <si>
    <t xml:space="preserve">7月4日：学院介绍、专业介绍、走进课题组及答疑活动、优秀研究生畅谈读研体会、学科组组织面试；
7月5日：学科组组织面试、自由交流讨论。
</t>
  </si>
  <si>
    <t>2023年6月15日申请截止</t>
    <phoneticPr fontId="45" type="noConversion"/>
  </si>
  <si>
    <t>7月4日-5日</t>
  </si>
  <si>
    <t xml:space="preserve"> ①《华东师范大学2023年优秀大学生夏令营申请表》（报名系统中下载，填写推荐意见后，签字盖章，扫描上传）；
 ②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③本科成绩单（前5学期）1份；
 ④专家推荐信1封，需要副教授及以上职称专家推荐（推荐信模板：https://yjszs.ecnu.edu.cn/download/2021ss/Letter_of_Recommendation_xly.doc）；
 ⑤其他材料（英语等级证书、论文发表、专利发明、各类获奖或资格证书等）。</t>
  </si>
  <si>
    <t>优秀营员如获得本科学校推免资格，达到我校推免接收条件的，且于2023年9月申请推免至我校夏令营期间面试的学科，则可根据优秀营员排序结果、在该学科可以接收的推免生限额内，经审核拟录取为我校2024级研究生。</t>
  </si>
  <si>
    <t>学习成绩优秀，优先考虑一流大学或所在学科为全国第四轮学科评估B+及以上高校学生;</t>
    <phoneticPr fontId="45" type="noConversion"/>
  </si>
  <si>
    <t>2023年6月28日24时前</t>
    <phoneticPr fontId="45" type="noConversion"/>
  </si>
  <si>
    <t>1、夏令营报名请填写下方问卷星;
2、本科历年成绩单1份,须加盖所在学校教务部门公章;
3、成绩排名证明(含专业成绩排名和综合成绩排名,由学校教务部门盖章或院系出具证明);
4、英语六级水平证书或相关英语成绩证明;
5、两位副教授(或相当职称)或以上专家的专家推荐信;
6、其他材料(如:发表论文、专利、获奖证书复印件等)。</t>
  </si>
  <si>
    <t>我院负责安排夏令营同学的食宿,交通费需要自理。</t>
    <phoneticPr fontId="45" type="noConversion"/>
  </si>
  <si>
    <t>2023年6月1日12:00-6月16日12:00</t>
    <phoneticPr fontId="45" type="noConversion"/>
  </si>
  <si>
    <t>2023年6月30日-7月2日</t>
    <phoneticPr fontId="45" type="noConversion"/>
  </si>
  <si>
    <t>60人</t>
    <phoneticPr fontId="45" type="noConversion"/>
  </si>
  <si>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8、声明
提示：个人陈述、专家推荐信、声明均可在系统中下载模板。</t>
    <phoneticPr fontId="45" type="noConversion"/>
  </si>
  <si>
    <t xml:space="preserve">本次夏令营活动不收取任何费用，所有营员食宿自理。
 </t>
    <phoneticPr fontId="45" type="noConversion"/>
  </si>
  <si>
    <t>本科前5学期总评成绩在该校同年级本专业排名中名列前茅。</t>
    <phoneticPr fontId="45" type="noConversion"/>
  </si>
  <si>
    <t>英语无障碍交流</t>
  </si>
  <si>
    <t>6月29日 报到
6月30日 夏令营开营、项目介绍、国际工作坊启动
7月1日 国际创新设计工作坊 (头脑风暴、问题聚焦)
7月2日 国际创新设计工作坊 (方案设计、原型制作)
7月3日 国际创新设计工作坊(完善打磨、团队展示
7月4日 综合考核
7月5日 学生活动(具体安排另行通知)
7月6日 离营</t>
  </si>
  <si>
    <t>6月16日上午9点前</t>
  </si>
  <si>
    <t>2023年6月30日-7月5日</t>
  </si>
  <si>
    <t>1.申请表（在线填写）；
2.有效身份证（二代居民身份证）；
3.在学证明（学生证）；
4.个人陈述1份：介绍本人专业背景、从事过的研究工作以及攻读研究生阶段的学习和研究计划等（千字以内，申请人签字后上传至报名系统）；
5.专家推荐信2封：申请人在线邀请两位与申请学科相关的副教授（含）以上职称专家在线填写推荐信。推荐专家按系统要求，在规定的时间内填写、上传专家推荐信。同时请专家在线完成推荐书后协助妥善保存推荐信原件，待后续接收通知将书面版寄至我院。
6.前5学期的各科成绩单与前5学期的年级总评成绩排名（需盖学校或院系教务部门公章）；
7.外语水平证明；
8.个人简历；
9.其他材料：包括获奖证书复印件（学术类相关奖项），能体现自身学术水平的学术论文、出版物等；
10.三分钟视频（仅限互联网+创新设计项目，视频内容：1.一分钟自我简介；2.简要谈谈你对互联网+创新设计项目人才培养目标的理解）。</t>
  </si>
  <si>
    <t>本次夏令营不收取任何费用。我院统一提供活动期间营员在深用餐、住宿及每人200元交通补贴。</t>
  </si>
  <si>
    <t>预计能够获得本科所在学校推免资格；或前三年学习成绩在本专业同年级中排名符合《前三年学习成绩要求》（附件1）</t>
  </si>
  <si>
    <t>2023年5月30日-6月19日</t>
    <phoneticPr fontId="45" type="noConversion"/>
  </si>
  <si>
    <t>1.中国海洋大学2023年优秀大学生暑期夏令营申请表（附件2）。
2.本科在读期间成绩单。
3.英语CET-4/6成绩单，或其他相应外语水平证明。
4.学信网的教育部学籍在线验证报告。
5.各类获奖证书、已发表论文等其他证明材料。</t>
  </si>
  <si>
    <t>海洋生命学院</t>
  </si>
  <si>
    <t>夏令营采用线上方式，活动包括开营仪式，学院及学科介绍，专家报告，招生政策介绍，实验室宣讲，综合考核等（具体时间见后续通知）。</t>
    <phoneticPr fontId="45" type="noConversion"/>
  </si>
  <si>
    <t>2023年6月26日至6月28日</t>
    <phoneticPr fontId="45" type="noConversion"/>
  </si>
  <si>
    <t>1.本科在读期间成绩单。
2.英语CET-4/6成绩单，或其他相应外语水平证明。
3.各类获奖证书、已发表论文等其他证明材料。
4.学信网的教育部学籍在线验证报告。
5.中国海洋大学2023年优秀大学生暑期夏令营申请表（附件2）。
6.以上材料签名处均应手写，其他内容不限书写方式，夏令营申请表、本科成绩单和成绩排名需有学校教务部门或学院签字、盖章，夏令营申请表还需本人签字。以上材料拍照或扫描，按上述顺序合并为一个pdf文件，命名为“本科学校-专业-姓名”，将该pdf文件压缩，再将压缩文件上传至报名系统。</t>
    <phoneticPr fontId="45" type="noConversion"/>
  </si>
  <si>
    <t>所在高校为军队院校或“双一流”建设高校，专业成绩排名在年级前20%，预计可获得推荐免试资格。</t>
    <phoneticPr fontId="45" type="noConversion"/>
  </si>
  <si>
    <t>（一）开营典礼。研究生院介绍解放军医学院概况，研究生院机关相关处、办进行政策宣讲。
（二）学术讲座。拟邀请院士和优秀硕士博士生导师开展学术讲座，与营员开展现场互动交流活动。
（三）参观见学。组织参观国家重点学科、国家重点实验室、机器人微创心血管外科国际联合研究中心等，向营员介绍我院优势学科和雄厚办学实力。
（四）学术沙龙。邀请优秀在校硕士博士研究生开展学术沙龙活动，分享工作学习经验。
（五）面试考核。组织开展面试考核会，选拔2024年无军籍推免生。。</t>
    <phoneticPr fontId="45" type="noConversion"/>
  </si>
  <si>
    <t>报名截止时间为2023年6月20日</t>
    <phoneticPr fontId="45" type="noConversion"/>
  </si>
  <si>
    <t>2023年7月10日至14日</t>
    <phoneticPr fontId="45" type="noConversion"/>
  </si>
  <si>
    <t>1.《解放军医学院2023年优秀大学生夏令营申请表》；
2.本科学习成绩单（加盖学校教务部门公章）；
3.全国大学英语等级考试六级成绩单或通过相应的英语水平能力考试证明（如：IELTS、TOEFL等）；
4.各类获奖证书和公开发表的学术论文复印件；
5.个人陈述（PPT），主要内容包括政治表现、外语水平、专业和科研能力、研究计划和预期成果等，按照5分钟时长准备。</t>
  </si>
  <si>
    <t>我院为入选营员统一提供免费食宿，按照不超过飞机经济舱或高铁二等座标准报销往返路费。往返车票需于7月31日前使用顺丰快递邮寄至我院，过期不再受理。</t>
    <phoneticPr fontId="45" type="noConversion"/>
  </si>
  <si>
    <t>1.取得所在学校推免资格的营员，将优先录取为我院2023级硕士研究生。表现特别优秀的学术学位推免生可确定为直接攻博对象，直接攻博人数不超过年度博士研究生招生计划的10%。
2.推免至我院攻读硕士研究生的营员，享受5000元的新生奖学金。</t>
  </si>
  <si>
    <t>具备较好的英语交流能力</t>
  </si>
  <si>
    <t>具体安排以后续通知为准</t>
    <phoneticPr fontId="45" type="noConversion"/>
  </si>
  <si>
    <t>2023年6月10日17时前</t>
  </si>
  <si>
    <t>2023年7月10日至23日</t>
  </si>
  <si>
    <t>此次夏令营活动不收取任何费用，西湖大学提供食宿，为来校学生购买保险；</t>
    <phoneticPr fontId="45" type="noConversion"/>
  </si>
  <si>
    <t>生命科学研究院</t>
  </si>
  <si>
    <t>学习成绩优秀，可获得推荐免试研究生资格</t>
  </si>
  <si>
    <t>英语水平良好，原则上大学英语六级考试460分及以上，托福机考≥80或雅思≥5.5</t>
  </si>
  <si>
    <t>（1）开营仪式： 走进浙大首个学术特区，深入了解LSI
（2）走近实验室：自由参观实验室，与PI面对面交流
（3）师兄师姐交流会：研究生分享科研生活，指点迷津
（4）导师座谈会：师生对话，聚焦科学前沿话题</t>
  </si>
  <si>
    <t>第一期时间为7月3日至6日
第二期时间为7月18日至21日</t>
  </si>
  <si>
    <t>a. 《浙江大学生命科学研究院2023年学术夏令营申请表》1份（附件）；
b. 身份证正反扫描件1份；
c. 本科成绩单1份（须加盖院系或学校教务处公章）；
d. 总成绩排名1份（须加盖院系或学校教务处公章）；
e. 英语四、六级证书或其他英语考试的成绩证明1份；
f. 夏令营邀请函扫描件（若已获得夏令营邀请函）；
g. 其他获奖证明材料。</t>
  </si>
  <si>
    <t>截止时间为2023年6月23日16：00前</t>
    <phoneticPr fontId="45" type="noConversion"/>
  </si>
  <si>
    <t>2023年7月上旬举办</t>
    <phoneticPr fontId="45" type="noConversion"/>
  </si>
  <si>
    <t>申请材料包括但不限于：夏令营申请表（系统生成）、成绩单及排名证明扫描件、英语四、六级证书扫描件及其他证明材料、专家推荐信1封，以上资料电子版压缩后发送至jluskyxly@163.com（压缩文件命名为：学校+姓名）。</t>
    <phoneticPr fontId="45" type="noConversion"/>
  </si>
  <si>
    <t>凡在夏令营活动中表现优秀，且能获得所在高校推荐免试资格的学生，可直接进入我院2024年招收推荐免试研究生拟录取名单。</t>
  </si>
  <si>
    <t>学科排名靠前，学习成绩优秀，无任何学术不端行为及违法违纪等受处分记录</t>
  </si>
  <si>
    <t>7月6日下午：营员报到
7月7日：兰州大学2023年暑期夏令营集中开营仪式；学院介绍、学科专业整体发展情况、导师介绍等。
7月8日：师生面对面、政策宣传解读。</t>
    <phoneticPr fontId="45" type="noConversion"/>
  </si>
  <si>
    <t>至2023年6月18日</t>
    <phoneticPr fontId="45" type="noConversion"/>
  </si>
  <si>
    <t>20名</t>
    <phoneticPr fontId="45" type="noConversion"/>
  </si>
  <si>
    <t>（1）申请人填写兰州大学护理学院2023年优秀大学生暑期夏令营报名基本信息汇总表电子版（附件1）；
（2）本科前5或7个学期成绩单（由教务部门或院系盖章），排名专业前30％的证明（由教务部门或院系盖章）扫描件；
（3）身份证、学生证扫描件；
（4）大学英语四、六级成绩单或其他英语水平证明（如近两年内TOEFL 成绩或近三年内GRE成绩等）扫描件；
（5）两封学科专家推荐书（附件2，推荐人为副高级职称及以上专家）扫描件；
（6）其他证明材料（如体现自身学术水平的代表性学术论文或其他原创性工作成果扫描件、获奖证书扫描件等）。</t>
    <phoneticPr fontId="45" type="noConversion"/>
  </si>
  <si>
    <t>夏令营期间兰州大学护理学院将为营员提供住宿（包含2晚，双人标间，原则上要求双人入住，本地学校学生不提供住宿）、人身保险费以及异地学校学生往返硬座火车票（高铁二等座）/汽车票（凭票）。请自行提前预订往返车票，主办方不提供订票服务。</t>
    <phoneticPr fontId="45" type="noConversion"/>
  </si>
  <si>
    <t>.获得优秀营员资格者，可优先享受以下政策：
（1）如取得所在学校推荐免试资格并报考兰州大学护理学院，可视同面试合格直接拟录取。
（2）部分未取得所在学校推免资格的优秀营员，如第一志愿报考兰州大学，参加2024年全国硕士研究生统一入学考试，初试成绩达到我院报考专业“学院复试分数线”，参加复试且成绩合格者，同等条件下优先录取。</t>
  </si>
  <si>
    <t>眼科中心</t>
  </si>
  <si>
    <t>学习成绩优异（本科综合成绩排名全年级同专业前30%，已获得或将获得所读大学免试推荐研究生资格者优先考虑）</t>
  </si>
  <si>
    <t>具有良好听、说、读、写的英语应用能力</t>
    <phoneticPr fontId="45" type="noConversion"/>
  </si>
  <si>
    <t>截止时间为2023年6月11日</t>
    <phoneticPr fontId="45" type="noConversion"/>
  </si>
  <si>
    <t>2023年7月10日-13日</t>
    <phoneticPr fontId="45" type="noConversion"/>
  </si>
  <si>
    <t>50名</t>
    <phoneticPr fontId="45" type="noConversion"/>
  </si>
  <si>
    <t>（1）学生简历，简历限 2 页以内（一页纸可打印），简历可包含科研成果、竞赛获奖、社会服务等。
（2）《教育部学籍在线验证报告》，办理方式详见中国高等教育学生信息网http://www.chsi.com.cn/xlcx/bgys.jsp。
（3）本科阶段学习成绩单原件或复印件（原件应加盖学校教务管理部门公章，复印件须有“原件复印”并加盖单位公章）；本科同年级专业总成绩排名证明1份（须由学校教务部门盖章）。
（4）英语六级考试成绩证明。
（5）身份证原件正反面扫描，须将正反面复印在A4纸的同一面上。如果身份证丢失，可以用临时身份证（在有效期内）或户籍所在地派出所开具的户籍证明（贴有本人近期一寸免冠照片、盖骑缝章），曾经更改过姓名或身份证号的考生，需提供户口本或公安局开具的证明。
（6）学生证第一页和第二页（能显示学校、专业等信息）扫描到同一页面。
上述第1项材料单独扫描为1个PDF，命名为“意向专业-姓名-简历”；2-6项材料扫描为 1 个 PDF 中命名为“意向专业-姓名-资格审核材料”。申请人须对所提交材料的真实性负责，若发现存在材料虚假或材料不合格者，将取消资格，不得参与夏令营活动。</t>
    <phoneticPr fontId="45" type="noConversion"/>
  </si>
  <si>
    <t>一般应通过英语六级</t>
  </si>
  <si>
    <t>2023年6月10日-6月25日</t>
    <phoneticPr fontId="45" type="noConversion"/>
  </si>
  <si>
    <t>7月13，14日</t>
    <phoneticPr fontId="45" type="noConversion"/>
  </si>
  <si>
    <t xml:space="preserve">120人
</t>
  </si>
  <si>
    <t>1．2023年优秀大学生暑期夏令营申请表1份；
2．学生证及身份证复印件1份；
3．截至目前本科阶段成绩单1份，须由学校教务部门加盖公章；
4．校级及以上竞赛获奖证书，发表的学术论文，在科研、社会实践及组织才能等方面取得的优异成果相关证明材料复印件1份；
5．外语水平证明材料（如大学英语四、六级成绩、TOEFL成绩、GRE成绩等）。</t>
    <phoneticPr fontId="45" type="noConversion"/>
  </si>
  <si>
    <t>本次夏令营不收取报名费、营费及相关资料费，并为所有营员免费提供在校期间的食宿。</t>
    <phoneticPr fontId="45" type="noConversion"/>
  </si>
  <si>
    <t>夏令营期间，营员将参加专业素质测评。根据测评结果，我们将选拔确定“优秀营员”，被评为优秀营员者，且获得所在学校2024推免资格，第一志愿申报西交大医学部相关专业免试攻读硕士学位研究生，同等条件下可优先录取。</t>
    <phoneticPr fontId="45" type="noConversion"/>
  </si>
  <si>
    <t>医学院以及各附属医院参观、重点科室宣讲、名师讲堂、推免面试等</t>
  </si>
  <si>
    <t>截止时间为6月24日23：59</t>
  </si>
  <si>
    <t>2023年7月4日-6日</t>
    <phoneticPr fontId="45" type="noConversion"/>
  </si>
  <si>
    <t>200名</t>
    <phoneticPr fontId="45" type="noConversion"/>
  </si>
  <si>
    <t>夏令营期间学院为营员提供免费食宿（南京本地高校的营员不提供住宿）。</t>
    <phoneticPr fontId="45" type="noConversion"/>
  </si>
  <si>
    <t>根据营员的面试成绩和综合表现，评定“优秀营员”并颁发证书。“优秀营员”如获得所在学校推荐免试研究生资格，只要在教育部推免生系统中填报我校我院，可第一批次进入选拔名单，无需再次参加推免研究生复试</t>
    <phoneticPr fontId="45" type="noConversion"/>
  </si>
  <si>
    <t>截止时间为2023年6月28日</t>
    <phoneticPr fontId="45" type="noConversion"/>
  </si>
  <si>
    <t>2023年7月20日</t>
  </si>
  <si>
    <t xml:space="preserve">  在本科学习期间成绩优秀，综合素质高</t>
    <phoneticPr fontId="45" type="noConversion"/>
  </si>
  <si>
    <t>活动内容主要包括学院总体概览、学科专业介绍、师生交流等。欢迎医学和生物学背景以及数学、物理、计算机与信息学等相关专业的优秀2024届本科毕业生报名参加本次夏令营并大展才华</t>
    <phoneticPr fontId="45" type="noConversion"/>
  </si>
  <si>
    <t>2023年5月30日00:00-6月16日00:00</t>
    <phoneticPr fontId="45" type="noConversion"/>
  </si>
  <si>
    <t>2023年7月上旬</t>
    <phoneticPr fontId="45" type="noConversion"/>
  </si>
  <si>
    <t xml:space="preserve">
1.夏令营申请表1份（进入zs.bjmu.edu.cn夏令营申请系统填写，填写完毕后自动生成申请表，打印申请表由申请人亲笔签字），申请表须由申请人所在学校教务处或院系负责人签字盖章；
2.申请人个人陈述1份(夏令营申请系统中下载，介绍关于个人学术背景、曾经做过的研究工作以及未来学习和研究的计划、目标等），须由申请人亲笔签名；
3.本科历年成绩单1份，须加盖申请人所在学校教务部门公章；
4.英语六级水平证书或相关英语成绩证明（官方认证的纸质成绩单复印件）；
5.申请人在本科学习期间成绩排名证明(含专业成绩排名和综合成绩排名，由所在学校教务部门盖章或院系出具证明）；
6.其他有关能力的证明材料(如：发表论文、专利，各类获奖等)；
7.专家推荐信2封（副教授或以上相关专业专家，推荐信模板可在夏令营申请系统中下载，须由专家本人亲笔签字）；
8. 声明（夏令营申请系统中下载模板）</t>
  </si>
  <si>
    <t>本次夏令营不收取任何费用。</t>
  </si>
  <si>
    <t>英语水平优良</t>
    <phoneticPr fontId="45" type="noConversion"/>
  </si>
  <si>
    <t xml:space="preserve">
（1）开营式、学院介绍；
（2）专家学术报告、师生交流会；
（3）营员面试。</t>
  </si>
  <si>
    <t>截止时间为2023年6月18日17：00</t>
  </si>
  <si>
    <t>2023年6月27日至2023年6月29日</t>
    <phoneticPr fontId="45" type="noConversion"/>
  </si>
  <si>
    <t xml:space="preserve">（1）个人简历；
（2）所在院（系）或学校教务处盖章的成绩排名证明PDF扫描件，原件备查；
（3）所在院（系）或学校教务处盖章的成绩单原件的PDF扫描件，原件备查；
（4）体现英语水平的证明材料（国家英语四六级、TOEFL成绩、GRE成绩等）；
（5）其证明材料，包括：已发表论文，应提供全文；本科期间各类获奖证书复印件。
</t>
    <phoneticPr fontId="45" type="noConversion"/>
  </si>
  <si>
    <t>2023/06/30前</t>
    <phoneticPr fontId="45" type="noConversion"/>
  </si>
  <si>
    <t xml:space="preserve"> 线下</t>
    <phoneticPr fontId="45" type="noConversion"/>
  </si>
  <si>
    <t>共设有五个模块。分别介绍清华医学、临床医学院的整体情况，临床医学专业学位硕士项目12个招生基地介绍、临床医学交叉人才培养项目依托精准医学研究院六大研究中心和合作院系医工交叉研究成果、专题学术报告或讲座、导师面对面交流与优秀营员评选，帮助广大学生深入了解清华大学临床医学院及开设的各类人才培养项目。</t>
    <phoneticPr fontId="45" type="noConversion"/>
  </si>
  <si>
    <t>6月5日10点-6月25日17点</t>
    <phoneticPr fontId="45" type="noConversion"/>
  </si>
  <si>
    <t>2023年7月24-25日</t>
    <phoneticPr fontId="45" type="noConversion"/>
  </si>
  <si>
    <t>提供夏令营期间食宿，交通费用自理。</t>
    <phoneticPr fontId="45" type="noConversion"/>
  </si>
  <si>
    <t>总评成绩排名须在年级前30%</t>
    <phoneticPr fontId="45" type="noConversion"/>
  </si>
  <si>
    <t>CET6≥500分</t>
    <phoneticPr fontId="45" type="noConversion"/>
  </si>
  <si>
    <t xml:space="preserve"> 截止时间为2023年6月14日-18日不等</t>
    <phoneticPr fontId="45" type="noConversion"/>
  </si>
  <si>
    <t xml:space="preserve"> 2023年6月26-30日（各个医院不同）</t>
    <phoneticPr fontId="45" type="noConversion"/>
  </si>
  <si>
    <t>1、申请人网上下载并填写《天津医科大学优秀大学生暑期夏令营活
动申请表.doc》 
2、专家推荐信.doc  2封，即需要2位相关或相近专业副教授（含）
及以上职称的专家分别推荐； 
3、本科阶段成绩单（截至目前），专业排名证明，需加盖教务部门公章； 
4、大学英语六级成绩单复印件或其它英语水平证明TOEFL/GRE等； 
5、其他证明材料（如体现自身学术水平的代表性学术论文或其他原
创性工作成果复印件、专利、获奖证书复印件等），没有可以免交。</t>
    <phoneticPr fontId="45" type="noConversion"/>
  </si>
  <si>
    <t>获得优秀营员者，如获得所在学校的研究生推荐免试资格，报考
相同专业、学位类型可优先拟录取为我校推荐免试硕士研究生；如未
获得所在学校的研究生推荐免试资格，但通过参加全国统考硕士研究
生，报考相同专业、学位类型，考试成绩达到我校当年该专业复试基
本分数线（含总分、单科分数）标准的优秀营员，同等条件下优先推
荐。</t>
    <phoneticPr fontId="45" type="noConversion"/>
  </si>
  <si>
    <t>爱丁堡大学联合学院</t>
  </si>
  <si>
    <t>品学兼优，具有较强或潜在的科研能力，预期可以获得所在学校推免资格的学生</t>
    <phoneticPr fontId="45" type="noConversion"/>
  </si>
  <si>
    <t>.英语成绩良好，国家英语六级水平考试460分以上或TOEFL80分以上或雅思5.5分以上成绩者优先考虑</t>
    <phoneticPr fontId="45" type="noConversion"/>
  </si>
  <si>
    <t>6月1日至6月30日</t>
    <phoneticPr fontId="45" type="noConversion"/>
  </si>
  <si>
    <t>7月中旬</t>
    <phoneticPr fontId="45" type="noConversion"/>
  </si>
  <si>
    <t>（1）本科阶段成绩单，加盖教务部门公章；
（2）学校或院系出具的成绩排名证明，加盖教务部门或院系公章；
（3）英语水平的证明材料；
（4）其他重要证明材料包括能体现自身学术水平的学术论文、出版物或原创性工作成果、获奖证书等材料；</t>
    <phoneticPr fontId="45" type="noConversion"/>
  </si>
  <si>
    <t>生物学、药学、动物科学、基础医学等相近学科背景，鼓励具有工程和数学物理知识背景且对交叉学科有浓厚兴趣的2024届优秀应届毕业本科生</t>
    <phoneticPr fontId="45" type="noConversion"/>
  </si>
  <si>
    <t>浙江工业大学</t>
  </si>
  <si>
    <t>药学院</t>
    <phoneticPr fontId="45" type="noConversion"/>
  </si>
  <si>
    <t>学习成绩排名专业前20%（985、211、双一流高校学生可放宽条件）</t>
    <phoneticPr fontId="45" type="noConversion"/>
  </si>
  <si>
    <t>英语成绩良好，CET4成绩425分及以上（CET6通过者优先）</t>
  </si>
  <si>
    <t xml:space="preserve">学员报到、开营仪式、学院、中心概述、学术报告、学位点学术沙龙、研究生研会团建活动、参观实验室和校区
、闭营仪式
</t>
    <phoneticPr fontId="45" type="noConversion"/>
  </si>
  <si>
    <t>6月1日—6月18日</t>
    <phoneticPr fontId="45" type="noConversion"/>
  </si>
  <si>
    <t>2023年6月24日-26日</t>
    <phoneticPr fontId="45" type="noConversion"/>
  </si>
  <si>
    <t xml:space="preserve">1、《浙江工业大学药学院、绿色制药协同创新中心暑期夏令营申请表》；
2、身份证、学生证复印件；
3、学校教务部门盖章的本科阶段前五学期成绩单原件（含专业排名和专业总人数）；
4、CET四、六级成绩单复印件；
5、已发表论文、各类获奖证书复印件;
6、推荐书信1封，需由本科学校任课教师推荐，装入信封密封并在封口骑缝处签名；
</t>
    <phoneticPr fontId="45" type="noConversion"/>
  </si>
  <si>
    <t xml:space="preserve">往返交通费由学员承担，如果一志愿报考药学院或协同中心并被成功录取，入学报到后学院将给予每人1000元的补助奖励；我院将为入选营员统一购买在浙江工业大学活动期间的团体意外保险，建议各位营员自购旅途意外保险。
</t>
    <phoneticPr fontId="45" type="noConversion"/>
  </si>
  <si>
    <t>1、参加夏令营的学员，今年9月份如果成功推荐免试攻读学院、中心硕士研究生，正式入学后学校给予新生奖学金6000元/人，学院、中心再给予不低于1:1的配套奖励；
2、来自985、211、双一流学科的高校学员，如果一志愿报考药学院或协同中心硕士研究生并被成功录取，正式入学后学院给予6000元的新生奖学金。其余院校一志愿报考药学院或协同中心并被成功录取，入学报到后学院将给予每人1000元的补助奖励。
3、参加夏令营未获得所在学校的研究生推荐免试资格的学员，报考学院、中心2023年硕士学位研究生，考试成绩达到我院、中心的相应学科门类复试基本分数线后，同等条件下优先录取。</t>
    <phoneticPr fontId="45" type="noConversion"/>
  </si>
  <si>
    <t>国内本科院校药学、生物与医药、中药学等药学类相关专业大三学生</t>
    <phoneticPr fontId="45" type="noConversion"/>
  </si>
  <si>
    <t>学习成绩优秀，一流大学建设高校和研究生院高校学生学习成绩排名须在班级或专业前30％；一流学科建设高校或所在专业为国家重点学科院校的学生学习成绩排名在班级或专业前10％</t>
  </si>
  <si>
    <t>活动举办期间，将全面介绍学院发展近况，请营员云参观实验室，邀请专家学者开设线上专题讲座、导师见面会、优秀学长交流会等活动。面试采用全英文面试形式，合格营员将通过推免系统颁发复试合格单</t>
    <phoneticPr fontId="45" type="noConversion"/>
  </si>
  <si>
    <t>6月5日-6月16日</t>
    <phoneticPr fontId="45" type="noConversion"/>
  </si>
  <si>
    <t>2023年7月6日-7日</t>
    <phoneticPr fontId="45" type="noConversion"/>
  </si>
  <si>
    <t>1.申请者须通过报名系统提交电子版照片，请下载药学院专用模板：“药学院2024级申请天津大学推荐免试硕士研究生证明材料”，并使用英文填写，完成后转成PDF上传至系统。同时电子版发送至hui.zhang@tju.edu.cn，邮件标题及附件名称格式为“2023年夏令营申请-申请人姓名”</t>
  </si>
  <si>
    <t>学习成绩优秀，教育部批准设立研究生院的高校学生学习成绩排名须在班级或专业前25％；未设立研究生院的高校或所在专业为国家重点学科院校的学生学习成绩排名在班级或专业前10％</t>
  </si>
  <si>
    <t xml:space="preserve"> 全面介绍院系和学科发展近况，邀请相关领域专家学者开设专题讲座</t>
  </si>
  <si>
    <t>6月3日-6月13日</t>
  </si>
  <si>
    <t>2023年6月23日-6月24日</t>
  </si>
  <si>
    <t>40-60名</t>
  </si>
  <si>
    <t>1.证明学习成绩及排名的成绩单或证明件；
      2.相关证明材料（英语四、六级成绩单；学生证；各类奖励材料）。</t>
  </si>
  <si>
    <t xml:space="preserve">       天津大学将为参加夏令营的外地正式营员提供夏令营期间的食宿、学习资料，同时给予报销来程的交通费（高校或家庭所在城市至天津火车硬座或高铁动车二等座车票报销交通补贴，请入营时携带），旁听营员费用自理。学院为营员购买在营期间的意外保险，请参营同学注意在津安全。</t>
  </si>
  <si>
    <t xml:space="preserve">天津大学2024级研究生招生夏令营的招生优惠政策分设A、B两档标准：
（1）A档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学院将于9月份与考生签署《录取确认承诺书》）； 
A-档  合格营员如获得所在学校的研究生推荐免试资格，并选报天津大学，同等条件下优先录取。
       如未获得所在学校的研究生推荐免试资格，但报考我校2024级硕士研究生的合格营员，可享受B档优惠政策。
（2）B档
       合格营员报考我校2024级硕士学位研究生，考试成绩达到我校的相应学科门类复试基本分数线（即学校线，含总分、单科分数）后，可直接参加复试，不受学院分数线限制，表现优异者可优先拟录取。 </t>
  </si>
  <si>
    <t>活动举办期间，将全面介绍院系和学科发展近况，邀请相关领域专家学者开设专题讲座、学术论坛、设计创作；同时，还有导师见面会、优秀学长交流会等环节。</t>
  </si>
  <si>
    <t>2023年6月5日-6月16日</t>
  </si>
  <si>
    <t>7月6-8日</t>
  </si>
  <si>
    <t>180名</t>
  </si>
  <si>
    <t>1.证明学习成绩及排名的成绩单或证明件；
2.相关证明材料（英语四、六级成绩单；学生证；各类奖励材料）</t>
  </si>
  <si>
    <t>本次夏令营提供食宿。</t>
  </si>
  <si>
    <t>学术讲座、专业介绍、师生交流、参观实验室、参观校园</t>
  </si>
  <si>
    <t>报名截止时间为2023年6月12日</t>
    <phoneticPr fontId="45" type="noConversion"/>
  </si>
  <si>
    <t>2023年6月20日至6月21日</t>
    <phoneticPr fontId="45" type="noConversion"/>
  </si>
  <si>
    <t>30人</t>
    <phoneticPr fontId="45" type="noConversion"/>
  </si>
  <si>
    <t>1）《吉林大学2023年夏令营报名表》，由报名系统中填报生成；
（2）由教务处或所在院系开具的成绩单与总评成绩排名证明；
（3）成绩单一份，需加盖教务部门公章；
（4）个人简历一份，无特殊格式要求；
（5）外语水平证明（英语四、六级证书等）及其它获奖证明材料。</t>
    <phoneticPr fontId="45" type="noConversion"/>
  </si>
  <si>
    <t>夏令营期间，吉林大学第三临床医学院将为营员提供免费食宿、购买人身意外保险，并按硬卧或动车二等车厢及以下标准凭据实额报销营员所在地到长春往返路费。</t>
    <phoneticPr fontId="45" type="noConversion"/>
  </si>
  <si>
    <t>学院将根据学生提交的申请材料及在夏令营的综合考核，确定优秀营员名单，获得优秀营员且具备所在本科院校“推荐免试资格”的2024年应届毕业生，第一志愿报考吉林大学中日联谊医院相应专业（须与夏令营申报专业一致）在符合我校接收推荐免试硕士研究生相关要求和学院相关政策的基础上可直接接收为吉林大学第三临床医学院“推免生”。</t>
  </si>
  <si>
    <t xml:space="preserve">、将走进实验室，了解各专业发展历程，聆听专题报告，参与学术交流和科研工作
</t>
  </si>
  <si>
    <t>报名截止6月25日</t>
    <phoneticPr fontId="45" type="noConversion"/>
  </si>
  <si>
    <t>附照片的个人简历一份
成绩单及佐证材料一份
所有材料合成一个PDF文件</t>
  </si>
  <si>
    <t>学术型：
药理学100706                          
药剂学100702
放射医学100106                       
放射医学077806
生物医学工程083100                
生物医学工程107200
生物化学与分子生物学071010   
药物化学107200
专业型：
药学105500</t>
  </si>
  <si>
    <t xml:space="preserve">（1）网上报名后生成的表格打印后必须本人手写签名； 
（2）个人照片； 　　
（3）前两年半成绩单（有学校教务部门或所在院系公章）与总评成绩排名证明（有学校教务部门或所在院系公章）； 　　
（4）能体现自身能力的获奖证书复印件、英语水平证明、专利、学术论文等； </t>
    <phoneticPr fontId="45" type="noConversion"/>
  </si>
  <si>
    <t xml:space="preserve">学员在夏令营期间的食宿由我所统一提供，为每位学员报销从学校来苏州的单程硬座或硬卧车票、高铁/动车二等坐票费用，以上须提供票据。 
夏令营期间为营员购买人身意外险，因个人行为导致的意外事故而发生的医疗费用，由保险公司及学员本人承担。 </t>
    <phoneticPr fontId="45" type="noConversion"/>
  </si>
  <si>
    <t>电子、机械、生物医学工程、生物、软件、光学等相关专业或相近专业2024届全日制本科生（大三本科生）；</t>
    <phoneticPr fontId="45" type="noConversion"/>
  </si>
  <si>
    <t>安徽中医药大学</t>
  </si>
  <si>
    <t>拟开展实地探访，名师讲座，交流讨论等探访新安医学的相关活动，具体形式待定，另行通知。</t>
  </si>
  <si>
    <t>2023年5月9日至6月30日</t>
  </si>
  <si>
    <t>《安徽中医药大学优秀大学生夏令营申请表》</t>
  </si>
  <si>
    <t>1．夏令营开幕式
2．学院介绍与招生政策宣讲研招宣讲（包括学校、学院和专业的优势和特色、学院文化和专业魅力、招生政策、招生专业、学科平台、师资力量、人才培养模式、毕业就业、奖助学金等）
3．参观学科实验室或营员风采展示
4．考核
1）考核科目：包括专业能力测试、外语能力测试、综合素质及能力测试。
（1）专业能力测试（面试，100分），采取个人汇报、综合性、开放性的能力型试题提问相结合进行；
（2）外语能力测试（面试，100分），采取听说交流的形式进行；
（3）综合素质及能力测试（面试，100分），由考官随机提问。总成绩为以上三项成绩之和。
此外，对考生进行思想政治表现和心理素质考核，按“合格”和“不合格”两个等级评定，考核不计入总成绩。
2）考核时间：每人不少于10分钟。
3）选拔方法
专业能力测试、外语能力测试、综合素质及能力测试、思想政治表现考核全部合格者，按申请专业总成绩高低排序确定拟通过者名单。通过面试人员名单在学院网站公示，并报学校审核</t>
    <phoneticPr fontId="45" type="noConversion"/>
  </si>
  <si>
    <t>5月27日-6月10日</t>
    <phoneticPr fontId="45" type="noConversion"/>
  </si>
  <si>
    <t>1、网上提交申请后，下载打印《申请表》一份，不需加盖公章；
2、本人有效二代身份证和学生证电子件（原件在面试时出具）；
3、在校学习成绩单电子件，不需加盖公章；
4、大学英语四级或六级考试成绩单电子件；
5、有学术成果（包括公开发表论文、出版著作、获得专利、获得学术科技奖项、承担课题或者其他具有学术水平的工作成果）者，提供学术成果电子件；
6、有获得各类荣誉、表彰、奖励证书者，提供电子件。</t>
    <phoneticPr fontId="45" type="noConversion"/>
  </si>
  <si>
    <t>我院将为夏令营营员提供夏令营期间两天的住宿和部分时间段的就餐（学校或家庭所在地是长沙市的原则上不安排住宿），交通费自理。</t>
    <phoneticPr fontId="45" type="noConversion"/>
  </si>
  <si>
    <t>对获得我校优秀营员、取得其所在高校推荐免试资格且第一志愿报考我校的考生，特此提醒：
1、此类考生按我校接收推荐免试攻读硕士研究生办法进行报名和录取。
2、此类考生须于2023年9月28日-10月15日在教育部“全国推荐优秀应届本科毕业生免试攻读研究生信息公开暨管理服务系统”(网址:http://yz.chsi.com.cn/tm)进行网上报名并确认录取，否则视为放弃。</t>
  </si>
  <si>
    <t>2023年7月17日-7月19日</t>
    <phoneticPr fontId="45" type="noConversion"/>
  </si>
  <si>
    <t>120名</t>
    <phoneticPr fontId="45" type="noConversion"/>
  </si>
  <si>
    <t>食宿：我院将为夏令营营员提供夏令营期间两天的住宿和部分时间段的就餐（学校或家庭所在地是长沙市的原则上不安排住宿），交通费自理</t>
    <phoneticPr fontId="45" type="noConversion"/>
  </si>
  <si>
    <t>获得我院优秀营员且取得所在高校推荐免试资格的学生，须于2023年9月28日-10月15日在教育部“全国推荐免试攻读研究生信息公开暨管理服务系统”进行网上报名、确认录取，否则视为放弃。</t>
    <phoneticPr fontId="45" type="noConversion"/>
  </si>
  <si>
    <t>昆明医科大学</t>
  </si>
  <si>
    <t>基础医学</t>
    <phoneticPr fontId="45" type="noConversion"/>
  </si>
  <si>
    <t>学习成绩排名须在本年级前20%以内</t>
  </si>
  <si>
    <t>达到全国大学英语四/六级水平（450分以上）</t>
    <phoneticPr fontId="45" type="noConversion"/>
  </si>
  <si>
    <t>活动内容包括：学术报告讲座、研究组参观实践、导师学长见面会、云南民族团结进步示范区体验等活动。</t>
    <phoneticPr fontId="45" type="noConversion"/>
  </si>
  <si>
    <t>报名截止时间为2023年6月30日</t>
    <phoneticPr fontId="45" type="noConversion"/>
  </si>
  <si>
    <t>2023年7月下旬</t>
    <phoneticPr fontId="45" type="noConversion"/>
  </si>
  <si>
    <t>①本人二代身份证和学生证复印件；
②本人亲笔签名的《夏令营申请表》（附件二）；
③本科成绩单，需加盖教务处或院系公章；
④专业综合排名或年级排名证明，需加盖教务处或院系公章（附件三）；
⑤全国大学英语四、六级等级证书复印件或其他英语能力证书复印件（雅思、托福等）；
⑥已发表论文、奖状及各类证书、推荐信等其他证明材料复印件（自愿提供，非必需）。</t>
    <phoneticPr fontId="45" type="noConversion"/>
  </si>
  <si>
    <t>1.夏令营不收取任何费用，活动期间为学员提供食宿。
2.报销来程交通费（标准：学员学校或家庭所在地至昆明的动车/高铁二等座、普通列车硬卧。拟录取为基础医学院或生物医学工程研究院推免硕士研究生，将按上述标准凭票报销返程费用。
3.为学员购买活动期间意外保险，活动期间学生安全由学生本人及所属学校负责。</t>
    <phoneticPr fontId="45" type="noConversion"/>
  </si>
  <si>
    <t>活动结束，根据活动期间的表现和面试考核，评选10名优秀营员。后期将从10名优秀营员中，择优选拔拟录取为我校相关学科推免硕士研究生。</t>
    <phoneticPr fontId="45" type="noConversion"/>
  </si>
  <si>
    <t>大学本科为临床医学、药学、生物学、生物技术、生物信息、神经科学、基础医学、生物工程、生物制药等专业2024年应届本科毕业生；</t>
    <phoneticPr fontId="45" type="noConversion"/>
  </si>
  <si>
    <t>学习成绩优异</t>
    <phoneticPr fontId="45" type="noConversion"/>
  </si>
  <si>
    <t>举办学术报告、专业介绍、师生交流、参观实验室及校园等，开展优秀营员的选拔考核工作。具体活动安排后续通知。</t>
  </si>
  <si>
    <t>6月18日24:00前</t>
  </si>
  <si>
    <t>2023年7月5日-7月7日</t>
    <phoneticPr fontId="45" type="noConversion"/>
  </si>
  <si>
    <t>（1）“武汉大学生命科学学院2023年优秀大学生线上夏令营申请表”（下载附件1或夏令营系统下载打印）（须有本人签名、所在学校院系推荐意见和教务部门盖章）；
（2）“武汉大学生命科学学院2023年优秀大学生线上夏令营个人陈述”（下载附件2或夏令营系统下载打印）（须有本人签名）；
（3）两封副高级（含）以上职称专家的推荐信；
（4）其它证明材料：
① 本科前两年半或三年学习成绩单原件及成绩排名证明原件，均须加盖申请人所在单位公章；
② 国家英语四、六级考试成绩或TOEFL/GRE/GMAT/IELTS成绩等体现自身外语水平的证明；
③ 体现自身学术水平的代表性学术论文、专利、出版物或原创性成果，各类获奖竞赛证书等证明；
（5）《诚信参加夏令营选拔考核承诺书》（下载附件3） (须有本人手写签名）。</t>
    <phoneticPr fontId="45" type="noConversion"/>
  </si>
  <si>
    <t xml:space="preserve"> 学院为参营人员购买夏令营活动期间人身意外伤害保险、提供夏令营活动期间在汉食宿（武汉市本地高校学生不提供住宿），并为来自外地高校的参营人员按财务相关规定凭票报销往返硬卧火车票或汽车票费用。</t>
    <phoneticPr fontId="45" type="noConversion"/>
  </si>
  <si>
    <t xml:space="preserve"> 取得推免资格的“优秀营员”，在规定时间内进入教育部推免系统报考武汉大学生命科学学院推免生，且服从调剂，可优先接收为我院2024年直博生或推免硕士生。</t>
    <phoneticPr fontId="45" type="noConversion"/>
  </si>
  <si>
    <t>申报直博生的营员，截至目前总评成绩应在本专业排名前8%（含8%）；各类国家级基地班的学生截至目前总评成绩应在本专业排名前50%（含50%），或入选药学“拔尖创新人才培养计划”。</t>
  </si>
  <si>
    <t>申报直博生的营员，要求六级（CET-6）成绩≥450分；或托福（TOEFL）成绩≥90分；或雅思（IELTS）成绩≥7</t>
  </si>
  <si>
    <t>中国药科大学生命科学与技术学院介绍、各学科专家绍面试、白中交流、参观实验室。 (各学科具体安排届时公布在中国药科大学生命科学与技术学院网站)</t>
    <phoneticPr fontId="45" type="noConversion"/>
  </si>
  <si>
    <t>2023年6月7日-23日</t>
    <phoneticPr fontId="45" type="noConversion"/>
  </si>
  <si>
    <t>2023年7月10日-7月11日</t>
  </si>
  <si>
    <t>1、近期正面免冠彩色证件照片，电子版JPG格式，150×200像素，大小100K以内。
2、个人简历，包括申请人姓名、申请专业，申请层次、本人简介、专业背景、实习经历和/或研究经历、个人特长及报考理由等。 
3、本科阶段历年成绩单（须加盖学校教务部门公章）。
4、本科阶段综合成绩排名证明（含申请人所在专业同年级人数、本科三年的综合成绩总评名次、排名比例等内容，并加盖学校教务部门公章）。
5、外语水平证明，如CET-6成绩、雅思、托福、专业英语等。
6、有关获奖证书和学术科研成果，如发表论文、出版物或其他原创性工作。
7、申请直博生的营员还应提供至少2份《专家推荐书》，由所报考学科专业领域内的正高级教授（或相当专业技术职称的专家）撰写的书面推荐意见（模板在系统中“推荐人信息维护”模块生成下载）。</t>
    <phoneticPr fontId="45" type="noConversion"/>
  </si>
  <si>
    <t>夏令营期间参营营员交通、住宿费用自理，学院为参营营员提供夏令营活动期间的餐券。
本科学校所在地非南京市的优秀营员，若被拟录取为学校2024年推免生，可在拟录取后将夏令营期间本科学校所在地往返南京车票寄送至我院进行报销。交通费用报销最高为动车二等座标准，凭票据据实报销，限报销一次，报销上限为双程800元。</t>
    <phoneticPr fontId="45" type="noConversion"/>
  </si>
  <si>
    <t>全国高校2024届应届本科毕业生，所学专业为药学类、中药学类、化学类、生物科学类、化工与制药类、生物医学工程类、生物工程类、基础医学类、食品科学与工程类等相关专业，</t>
    <phoneticPr fontId="45" type="noConversion"/>
  </si>
  <si>
    <t>英语水平良好，具备利用英语进行科研、写作以及交流的能力</t>
    <phoneticPr fontId="45" type="noConversion"/>
  </si>
  <si>
    <t>院长论坛、名师论坛等专业交流活动</t>
    <phoneticPr fontId="45" type="noConversion"/>
  </si>
  <si>
    <t>6月5日-2023年6月18日北京时间中午12:00。</t>
  </si>
  <si>
    <t>6月25-27日</t>
    <phoneticPr fontId="45" type="noConversion"/>
  </si>
  <si>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8.声明。
提示：个人陈述、专家推荐信、声明均可在系统中下载模板。</t>
    <phoneticPr fontId="45" type="noConversion"/>
  </si>
  <si>
    <t>每个学生仅能报名医学部内一个学院中的一个专业</t>
  </si>
  <si>
    <t>中南大学</t>
    <phoneticPr fontId="45" type="noConversion"/>
  </si>
  <si>
    <t>考核方式：
（1）考核科目及方式：学科设置面试小组，对入营的学员进行思想政治表现（“合格”与“不合格”）、英语水平（100分）、专业知识（100分）以及综合素质（100分）进行考核。
（2）总成绩计算：总成绩=英语成绩+专业知识成绩+综合素质测试成绩
(3)选拔方式：根据拟接收推免生专业类别及人数，按总成绩由高到低顺序选拔优秀营员。思想政治表现不合格，或英语测试、专业知识测试、综合素质测试成绩单项成绩中有一项低于60分者不予选拔。</t>
    <phoneticPr fontId="45" type="noConversion"/>
  </si>
  <si>
    <t>对获得我院校优秀营员、取得其所在高校推荐免试资格且第一志愿报考我院的考生，特此提醒：
1.考生按我院接收推荐免试攻读硕士研究生办法进行报名和录取。
2.考生须于2023年9月28日-10月15日在教育部“全国推荐免试攻读研究生信息公开暨管理服务系统”(网址:http://yz.chsi.com.cn/tm)进行网上报名并确认录取，否则视为放弃。</t>
  </si>
  <si>
    <t>本科总成绩专业排名前20%</t>
    <phoneticPr fontId="45" type="noConversion"/>
  </si>
  <si>
    <t>全国大学英语六级成绩≥450分</t>
    <phoneticPr fontId="45" type="noConversion"/>
  </si>
  <si>
    <t>通过公共卫生高峰论坛、学院介绍、师生面对面等多样化活动，给广大优秀本科生提供了解南京医科大学公共卫生学院科研、学习与生活环境的机会</t>
    <phoneticPr fontId="45" type="noConversion"/>
  </si>
  <si>
    <t>2023年6月5日10:00-6月20日17:00</t>
    <phoneticPr fontId="45" type="noConversion"/>
  </si>
  <si>
    <t>2023年7月10日-7月11日</t>
    <phoneticPr fontId="45" type="noConversion"/>
  </si>
  <si>
    <t>60-80名</t>
  </si>
  <si>
    <t xml:space="preserve">①身份证、学生证扫描件。
②截至目前的成绩单扫描件（请所在院系教务部门签章并注明专业排名和专业总人数）。
全国大学英语六级考试成绩单等体现自身英语水平的证明材料扫描件。
③其它材料，包括：获奖证书，发表学术论文首页或证明，出版物封面及作者页，课题证明等扫描件。
④个人简历（1页）和个人陈述（1页），模板见附件1。
⑤接收推荐免试研究生申请表。
</t>
    <phoneticPr fontId="45" type="noConversion"/>
  </si>
  <si>
    <t>1）食宿：我院将为入选营员提供夏令营期间在宁的食宿（注：根据网上报名系统营员申请住宿情况安排，学校或家庭所在地是南京的学生原则上不安排住宿）；
2）交通补助：外地院校营员请自行预定往返车票，我院将参照营员本科学校所在地往返南京的动车二等座/火车硬座票标准一次性给予交通补助。</t>
    <phoneticPr fontId="45" type="noConversion"/>
  </si>
  <si>
    <t>考核合格的营员可在2024年硕士研究生招生录取时享受以下优惠政策：
若获得所在学校推免生资格，登陆“教育部推免系统”填报与夏令营面试专业相同的志愿（学院、专业、三级学科、学位类型、学习方式等一致），可直接被我校拟录取。推免生第一学年可获得一等学业奖学金（10000元，以当年的奖助政策为准）。</t>
    <phoneticPr fontId="45" type="noConversion"/>
  </si>
  <si>
    <t>申报直博生的营员，截至目前总评成绩应在本专业排名前8%（含8%）；各类国家级基地班的学生截至目前总评成绩应在本专业排名前50%（含50%），或入选药学“拔尖创新人才培养计划”。满足下列条件的申报直博生的营员，其总评成绩排名可以适当放宽。
I.以第一作者（排位第一）在《中国药科大学共识期刊目录》的SCI期刊上发表过一篇专业学术论文。
II.在由教育部/团中央组织的国家级科技类和创新创业类竞赛中，以第一完成人获得一等奖/金奖或二等奖/银奖，或以第一、第二完成人获得团体奖。具体奖项见附件1。</t>
  </si>
  <si>
    <t>具有良好的英语水平，CET-6成绩合格或达到六级相应水平，特别优秀的可以适当放宽。
其中申报直博生的营员，要求六级（CET-6）成绩≥450分；或托福（TOEFL）成绩≥90分；或雅思（IELTS）成绩≥7；或以第一作者（排位第一）在SCI期刊（不含扩展版）上发表过一篇专业学术研究论文。（成绩有效期均在4年之内）</t>
  </si>
  <si>
    <t>6月7日至6月23日-25日不等</t>
  </si>
  <si>
    <t>2023年7月10日-11日</t>
  </si>
  <si>
    <t>具有“优秀营员”资格的学生若获得所在学校推荐免试研究生资格，征得拟报考导师同意后优先拟录取为我校2024年研究生，无需再参加我校推免生复试。“优秀营员”资格仅限在其所参加考核的同一学院同一学科专业内录取时有效。</t>
  </si>
  <si>
    <r>
      <t>中药学院</t>
    </r>
    <r>
      <rPr>
        <sz val="28"/>
        <color rgb="FF000000"/>
        <rFont val="微软雅黑"/>
        <family val="2"/>
        <charset val="134"/>
      </rPr>
      <t>：专业排名前30%，已发表第一作者SCI论文或能达到所在高校推免资格的同学除外；</t>
    </r>
    <r>
      <rPr>
        <b/>
        <sz val="28"/>
        <color rgb="FF000000"/>
        <rFont val="微软雅黑"/>
        <family val="2"/>
        <charset val="134"/>
      </rPr>
      <t>中药研究所：</t>
    </r>
    <r>
      <rPr>
        <sz val="28"/>
        <color rgb="FF000000"/>
        <rFont val="微软雅黑"/>
        <family val="2"/>
        <charset val="134"/>
      </rPr>
      <t>专业排名需在前30%；有科研成果或潜力的同学以及能达到所在高校推免资格的同学除外；</t>
    </r>
    <r>
      <rPr>
        <b/>
        <sz val="28"/>
        <color rgb="FF000000"/>
        <rFont val="微软雅黑"/>
        <family val="2"/>
        <charset val="134"/>
      </rPr>
      <t>交叉科学研究院：</t>
    </r>
    <r>
      <rPr>
        <sz val="28"/>
        <color rgb="FF000000"/>
        <rFont val="微软雅黑"/>
        <family val="2"/>
        <charset val="134"/>
      </rPr>
      <t>专业排名需在前30%（创新型、荣誉型特色学院，以及基地班、卓越班、创新班等除外）；有科研成果或潜力的同学以及能达到所在高校推免资格的同学除外；</t>
    </r>
    <r>
      <rPr>
        <b/>
        <sz val="28"/>
        <color rgb="FF000000"/>
        <rFont val="微软雅黑"/>
        <family val="2"/>
        <charset val="134"/>
      </rPr>
      <t>创新中药研究院：</t>
    </r>
    <r>
      <rPr>
        <sz val="28"/>
        <color rgb="FF000000"/>
        <rFont val="微软雅黑"/>
        <family val="2"/>
        <charset val="134"/>
      </rPr>
      <t>专业排名前30%的；或创新型、荣誉型特色学院，以及基地班、卓越班、创新班等；或有科研成果（或潜力）的；或其他能达到所在高校推免资格的同学；</t>
    </r>
  </si>
  <si>
    <t>Ø CET-6通过（或 ≥ 425分）；
Ø WSK（PETS-5）考试合格；
Ø 国家英语专业四级及以上考试合格；
Ø TOEFL成绩100分以上（IBT）或250分以上（CBT）；
Ø GRE成绩1300分以上，新GRE成绩325分以上；
Ø IELTS ≥ 6.0（其中中药学院5.5以上即可）</t>
  </si>
  <si>
    <t>线下（交叉科学学院可选择线上）</t>
  </si>
  <si>
    <t>中药学院、中药研究所、交叉科学研究院的报名时间为2023年6月2日~2023年6月25日；创新中药研究院的报名时间为2023年6月2日~2023年6月30日</t>
  </si>
  <si>
    <t>以中药学院为例1. 《上海中医药大学中药学院2023年大学生夏令营申请表》；
2. 有效身份证件（正反面在一页上）；
3. 本人学籍认证报告，学信网上在线验证并下载；
4. 学生证（照片、学号页及注册页）；
5. 本科成绩单（需有院系或教务处红章），专业排名证明材料（盖章要求同前）。
6. 英语水平证明材料（英语成绩证书等）；
7. 个人简历（中英文均可，无格式要求）；
8. 获奖证书复印件（包括本科期间能突出自己特长、社会贡献、综合素质能力等各类证书）；
9. 已发表或接收的论文及专利，或其它原创性成果、有参考价值的科研实验工作证明材料等；</t>
  </si>
  <si>
    <r>
      <t>中药研究所</t>
    </r>
    <r>
      <rPr>
        <sz val="28"/>
        <color rgb="FF000000"/>
        <rFont val="微软雅黑"/>
        <family val="2"/>
        <charset val="134"/>
      </rPr>
      <t xml:space="preserve">在营期间住宿费和餐饮全包，另一次性补贴500元交通费； </t>
    </r>
    <r>
      <rPr>
        <b/>
        <sz val="28"/>
        <color rgb="FF000000"/>
        <rFont val="微软雅黑"/>
        <family val="2"/>
        <charset val="134"/>
      </rPr>
      <t>交叉科学研究所</t>
    </r>
    <r>
      <rPr>
        <sz val="28"/>
        <color rgb="FF000000"/>
        <rFont val="微软雅黑"/>
        <family val="2"/>
        <charset val="134"/>
      </rPr>
      <t>第一志愿推免报考并被录取至交叉科学研究院的“优秀营员”可向学院申请报销夏令营往返交通费（待优秀营员入学后申请）；</t>
    </r>
    <r>
      <rPr>
        <b/>
        <sz val="28"/>
        <color rgb="FF000000"/>
        <rFont val="微软雅黑"/>
        <family val="2"/>
        <charset val="134"/>
      </rPr>
      <t>创新中药研究院</t>
    </r>
    <r>
      <rPr>
        <sz val="28"/>
        <color rgb="FF000000"/>
        <rFont val="微软雅黑"/>
        <family val="2"/>
        <charset val="134"/>
      </rPr>
      <t>入营学生在夏令营期间的伙食及住宿由我院负责提供。最终被我院录取的优秀营员在2024年9月正式报到后，可向我院报销夏令营的往返交通费</t>
    </r>
  </si>
  <si>
    <t>若优秀营员获得本科所在学校的2024年优秀应届本科毕业生推荐免试攻读研究生资格，且第一志愿报考我院相关专业，将免除推免复试并根据报考导师的研究生招生名额等实际情况优先录取。</t>
  </si>
  <si>
    <t>上海理工大学</t>
  </si>
  <si>
    <t>健康科学与工程学院</t>
  </si>
  <si>
    <t>学习成绩优秀，通过全国大学英语四级考试，有较好的专业素养和较强的创新能力。</t>
  </si>
  <si>
    <t>通过全国大学英语四级考试</t>
  </si>
  <si>
    <t xml:space="preserve"> 7月1日
9:00-12:00 营员报到
13:00-13:30 开营仪式；学院介绍
13:30-14:00 生物医学相关专业介绍及学术报告
14:00-14:30 生物医学工程（医学）专业介绍及学术报告
14:30-15:00 食品相关专业介绍及学术报告
15:00-15:30 医学技术专业介绍及学术报告
15:30-16:00 交流互动；拍照
16:00-17:00 实验室参观</t>
  </si>
  <si>
    <t>2023年6月2日至6月11日</t>
  </si>
  <si>
    <t>1) 2023年上海理工大学健康科学与工程学院全国优秀大学生夏令营申请表
2) 身份证正反面扫描件
3) 在校成绩单扫描件（需学校或所在院系教务部门盖章证明）
4) 外语等级证书扫描件（如CET4、CET6成绩单）
5) 获奖证书
6）学术科研成果，如发表论文、出版物或其他原创性工作。</t>
  </si>
  <si>
    <t>获得所在学校推荐免试研究生资格的优秀营员，接收推免期间第一志愿申报我院，并按时按要求完成确认，可优先录取。
（2）参加2024年全国硕士统一招生入学考试的优秀营员，第一志愿报考我院专业且考分达到我院2024年相应专业复试分数线，经复试选拔后，同等情况下优先录取。</t>
  </si>
  <si>
    <t>通过全国大学英语六级考试，成绩425分或更高；TOEFL成绩90分及以上；IELTS（A类/学术类）成绩6分及以上；GRE成绩在310以上，GMAT成绩在640以上；英语专业四级（及以上）考试合格；</t>
  </si>
  <si>
    <t>网上报名截止时间为2023年6月25日中午12:00，电子版申请材料提交截止时间为2023年6月25日下午18:00</t>
  </si>
  <si>
    <t xml:space="preserve"> ①《南开大学2024年推荐免试研究生报名信息表》（进行网上报名并确认后生成此表，按照系统提示打印此表，本人签字）；
 ② 加盖教务处公章的本科学习成绩单和专业排名证明；
 ③《南开大学医学院2023年夏令营申请表》（附件下载）；
 ④副教授及以上级别的专家推荐信2封（附件下载，需专家亲笔签字或电子签名）；
 ⑤其他证明材料，包括：国家英语四、六级考试成绩或其他英语水平的证明复印件；获奖证书或科研成果证明复印件；本人代表性学术论文、出版物或原创性成果等。</t>
  </si>
  <si>
    <t>1. 我院将免费为外地营员提供在津参加夏令营活动期间的食宿安排。
2. 外地营员请自行预订往返车票，我院不承担交通费用。后期推免至我校的学生，我院将根据由学校驻地到天津的来程交通费用予以相当的补贴。
3. 我院将为入选营员统一购买夏令营活动期间的团体意外保险。
4. 推免至我院攻读硕士研究生的营员，可享受南开大学新生奖学金。</t>
  </si>
  <si>
    <t>1、临床医学学术学位，课题为科研型课题，课题完成在医学院本部，不能选临床医院导师。
2、临床医学专业学位仅接收本科为临床医学类的五年制学生。报考专业学位的学生，需在《医学院2023年夏令营申请表》中注明报考医院。3、入选营员自行准备PPT（时间5分钟），内容包括本人自我介绍、教育背景、参加科研工作和研究成果情况、对本人申请学科的认识及感兴趣的科研领域、攻读研究生阶段的学习和研究计划等（临床专业学位的学生可以加入临床学习经历）</t>
  </si>
  <si>
    <t>线下（考核内容包括专业能力测试、外语能力测试、综合素质及能力测试，每项内容满分为100分，面试总成绩为以上三项成绩之和。）</t>
  </si>
  <si>
    <t>1．夏令营开幕式
2．学院介绍与招生政策宣讲研招宣讲（包括学校、学院和专业的优势和特色、学院文化和专业魅力、招生政策、招生专业、学科平台、师资力量、人才培养模式、毕业就业、奖助学金等）
3．参观学科实验室或营员风采展示
4．考核
1）考核科目：包括专业能力测试、外语能力测试、综合素质及能力测试。
（1）专业能力测试（面试，100分），采取个人汇报、综合性、开放性的能力型试题提问相结合进行；
（2）外语能力测试（面试，100分），采取听说交流的形式进行；
（3）综合素质及能力测试（面试，100分），由考官随机提问。总成绩为以上三项成绩之和。
此外，对考生进行思想政治表现和心理素质考核，按“合格”和“不合格”两个等级评定，考核不计入总成绩。</t>
  </si>
  <si>
    <t>2023年7月10-15日</t>
  </si>
  <si>
    <t>1.身份证和学生证复印件，原件用于现场备查；
2.网上报名《申请表》；
3.本科就读学校专家（副教授及其以上职称）推荐表2份（模板见附件）；
4.学习成绩单及成绩排名证明（所在学校或院系教务部门加盖公章）；
5.大学英语四级或六级考试成绩单；
6.个人自述：含个人简历、职业发展规划、参加本次夏令营的原因、目的和期望等；
7.其他（若有）：学术成果（如发表的学术论文、专利证书、大创项目等）、荣誉证书等。</t>
  </si>
  <si>
    <t>本次暑期夏令营不收取营员注册费、培训费、资料费，免费提供夏令营期间的午餐、晚餐。获得2024届应届毕业生推免资格、并成功报名录取至我院推免研究生的外地（长沙市外）营员，学院可报销营员从本科学校（或家庭）所在地至长沙市的往返交通费（限长途汽车、火车硬座或硬卧、高铁二等座、飞机经济舱），请相关营员保留好票据。</t>
  </si>
  <si>
    <t>. 2023年夏令营活动参加的对象应为具有推荐免试资格的2024年优秀应届本科毕业生，或成绩优异拟参加硕士研究生统考的学生。</t>
  </si>
  <si>
    <t>全国大学外语四级考试成绩在425分以上</t>
  </si>
  <si>
    <t>线上交流时间约为1日。主要活动包括学院及学科介绍、个人学术能力展示、与青年学者线上面对面交流探讨及优秀营员考核等。具体时间将另行通知。</t>
  </si>
  <si>
    <t>2023年6月15日上午8:00</t>
  </si>
  <si>
    <t>2023年6月26日至7月3日</t>
  </si>
  <si>
    <t>（（1）2023年全国优秀大学生学术夏令营申请表（附件1）；
（2）成绩单一份，需加盖教务部门公章；
（3）其他证明材料—外语水平证明（英语四、六级证书等）、获奖证明材料、发表论文材料。</t>
  </si>
  <si>
    <t>必修课平均学分绩点排名在本专业前25%</t>
  </si>
  <si>
    <t>通过大学外语六级考试</t>
  </si>
  <si>
    <t>6月27日线下学生报到
6月28日上午开营典礼：主要包括学院介绍、导师介绍；主题讲座与交流
6月28日下午主题讲座与交流：主要包括聆听学术报告等
6月29日实践活动
6月30日上午闭营典礼
6月30日下午参营营员按要求进行考核，专家小组评定</t>
  </si>
  <si>
    <t>2023年6月6日-6月12日</t>
  </si>
  <si>
    <t>入营营员选拔考核将采取线上面试形式，入选人数为30人，暂定于2023年6月16日举办。夏令营为线下形式，举办时间为2023年6月27日-30日。</t>
  </si>
  <si>
    <t>1.公共卫生学院2023年优秀大学生暑期夏令营申请表（见附件1）
2.身份证（双面）；
3.学生证（有个人信息的所有页面）；
4.《教育部学籍在线验证报告》；
5.本科各阶段成绩单盖章原件及同年级总成绩排名表（均须盖所在学校教务处公章）；
6.外语水平证明：全国大学英语六级考试（CET-6）成绩≥425分，或与之相当的英语水平的证书。
7.《考生诚信考核承诺书》（见附件2）；
8.其他证明材料(个人获奖证书、代表作品、学术论文等证明材料)。</t>
  </si>
  <si>
    <t>为营员提供夏令营期间的餐食、人身保险费以及异地学校学生住宿、往返交通补贴（根据火车硬座、硬卧或汽车票标准进行补贴，营员须提供相应票据凭证）</t>
  </si>
  <si>
    <t>一、参营营员如通过入营期间的复试综合考核且获得所在学校推免生资格，符合我校推免生招生章程所规定的条件，可直接拟录取为我校相关专业的直博生或硕士研究生，优先选择导师。
二、通过我校夏令营考核的优秀营员如未获得所在学校的推免生资格，如果选择以公开招考方式第一志愿报考我校夏令营专业2024年度硕士研究生，考试成绩达到我校该专业复试基本分数线的，在同等条件下将给予优先录取。
三、我院2023年夏令营活动的优秀营员且在本科院校专业成绩排名在前10%，并拟录取为我院相关专业的直博生或者硕士研究生，在入学后颁发奖学金10000元。</t>
  </si>
  <si>
    <t>学业成绩优秀，满足所在学校“免试推荐”研究生标准，或有志参加全国研究生招生考试报考我所的三年级本科生</t>
  </si>
  <si>
    <t>要求具备良好的英文听说读写能力</t>
  </si>
  <si>
    <t>即日起至6月26日00：00</t>
  </si>
  <si>
    <t>2023年7月5日-6日</t>
  </si>
  <si>
    <t>1. 本科阶段成绩单和成绩排名证明（由教务部门盖章）；
2. 外语水平证明材料，包括国家英语四、六级、或托福、雅思成绩证明；
3. 其他材料（如有），包括：
1）大学期间发表的学术成果，期刊论文要求复印期刊封面、目录、正文和版权页等；
2）其他获得奖励的证明材料等。</t>
  </si>
  <si>
    <t>感染性疾病分子生物学实验室</t>
  </si>
  <si>
    <t>6月14日下午营员报道（14:30-16:30）
6月15日上午开营仪式、合影、实验室介绍、研究团队介绍
下午营员风采展示、参观实验室
6月16日上午考核面试
下午闭营典礼、颁发夏令营结业证书</t>
  </si>
  <si>
    <t>6月6日9：00-6月9日12：00</t>
  </si>
  <si>
    <t>2023年6月15日-16日</t>
  </si>
  <si>
    <t>不超过15人</t>
  </si>
  <si>
    <t>1.夏令营报名申请表;
2.身份证(双面);
3.学生证(有个人信息的所有页面);
4.《教育部学籍在线验证报告》;
5.本科各阶段成绩单盖章原件及同年级总成绩排名表(均须盖所在学校教务处公章);
6.外语水平证明:全国大学英语六级考试(CET-6)成绩≥425分，或与之相当的英语水平。
7．个人获奖证书、代表作品等证明材料;
8.《考生诚信考核承诺书》(见学院通知);
9.个人简历。</t>
  </si>
  <si>
    <t>食宿：所有营员由实验室提供在营期间的统一伙食，并为外地营员提供统一住宿；本地营员中，非本校营员经申请可一并安排免费住宿。
交通费：外地院校营员请自行预定往返火车票，实验室将资助外地营员往返交通费（从目前就读大学所在地至重庆，报销标准为火车硬座、硬卧,高铁/动车二等座或汽车票，需出示票根，实报实销，超出部分营员自行承担）。
实验室为参营人员购买夏令营活动期间人身意外伤害保险。</t>
  </si>
  <si>
    <t>如通过入营期间的复试综合考核且获得所在学校的研究生推荐免试资格，符合我校推免生招生章程所规定的条件，可直接拟录取为我校相关专业的直博生或硕士研究生，优先选择硕士生导师；
获得优秀营员者，如未获得所在学校的研究生推荐免试资格，但第一志愿报考与夏令营的相同专业，考试成绩达到我校该专业复试基本分数线的，在同等条件下将给予优先录取。</t>
  </si>
  <si>
    <t>一流大学建设高校学生学习成绩排名在专业前25%，其他高校学生学习成绩排名在专业前5%；</t>
  </si>
  <si>
    <t>通过全国大学英语四级或六级考试</t>
  </si>
  <si>
    <t>2023年6月5日-6月26日</t>
  </si>
  <si>
    <t>（1）《西安交通大学生命科学与技术学院研究生优才夏令营申请表》（需签字盖章）；
（2）大学期间成绩单备注专业排名（需教务部门盖章）；
（3）英语四、六级成绩单（扫描件）或其他英语考试成绩证明：如托福，雅思，中、高级口译证书等（扫描件）；
（4）学生证、身份证（正反面，扫描件）；
（5）其他证明材料（如已发表论文的复印件、奖状复印件、各类证书等）。</t>
  </si>
  <si>
    <t>如获得所在学校2024年推免资格，正式招收推免生期间，第一志愿申报我院相关学科，并按学院相关规定及时确认，同等条件下优先拟录取。未参加夏令营者，后期预推免及正式招收推免生期间仍可申报我院。</t>
  </si>
  <si>
    <t>本专业综合排名在前30%</t>
  </si>
  <si>
    <t>英语水平良好，国家大学英语四、六级考试（CET-4、CET-6）通过者优先</t>
  </si>
  <si>
    <t>2023年6月6日~6月22日00:00:00</t>
  </si>
  <si>
    <t>2023年7月5-6日</t>
  </si>
  <si>
    <t>1. 照片（证件照）；
2. 本科阶段历年成绩单及同年级总评成绩的排名证明（须加盖教务处或院系公章）；
3. 外语水平证明，如CET-4、CET-6、雅思、托福、专业外语成绩等；
4. 有关获奖证书和学术科研成果，如发表论文、出版物或其它原创性工作等；
5. 除照片、成绩单外，其它所有相关材料合并为一个pdf文档，上传至报名系统“其它材料”里。</t>
  </si>
  <si>
    <t>1. 我院为正式入选并参加本次夏令营的全部营员免费提供夏令营期间的食宿（饮食7月5-6日两天，住宿7月4日、5日晚两天，6日晚仍需住宿的营员请在营员名单公布后24小时内凭返程车票申请）；
2. 夏令营营员如正式录取为我院2024级研究生，我院报销夏令营往返路费（营员学校或家庭所在城市至上海，高铁二等座标准）；</t>
  </si>
  <si>
    <t>有望获得推荐免试研究生资格并获本期夏令营优秀学员者，如选报上海大学生命科学学院推荐免试硕士研究生，将无需再次参加面试；如未获得所就读学校推荐免试研究生资格，考研复试成绩同等条件下优先录取；
学员通过推荐免试录取者，入学第一年优先享受一等研究生学业奖学金</t>
  </si>
  <si>
    <t>深圳技术大学</t>
  </si>
  <si>
    <t>“双一流”建设高校以及传统药学高校学生总评成绩在本专业排名前 40%，普通类高校学生总评成绩在本专业排名前 20%</t>
  </si>
  <si>
    <t>具有良好的英语读写水平</t>
  </si>
  <si>
    <t>2023年6月10日-6月31日</t>
  </si>
  <si>
    <t>2023年7月12-15日</t>
  </si>
  <si>
    <t>（1）附件 1《报名登记表》（报名表将在QQ群中发布），表中要求的近期正面免冠彩色证件照片（1寸，1兆以内），不得进行修图特效处理；
（2）本科阶段历年成绩单和成绩排名（PDF格式）；
（3）学生证复印件（PDF格式）；
（4）英语 CET-6/CET-4成绩单，或其他英语水平考试成绩单（PDF格式）；
（5）其他获奖证书，学术论文等方面取得的成果相关证明材料（PDF格式）。</t>
  </si>
  <si>
    <t>如考生取得所在本科院校 2024 年推荐免试资格，并符合我校 2024 年接收推荐免试研究生章程相关要求，可被优先推荐为我院 2024 级免试推荐攻读硕士研究生（推免生）候选人。</t>
  </si>
  <si>
    <t>2023年6月8日00:00-6月20日23:00</t>
  </si>
  <si>
    <t>报名同学需要提交副教授及以上职称相关专业专家签字的推荐信2封。个人陈述、专家推荐信均有相应模板。</t>
  </si>
  <si>
    <t>优先考虑综合成绩在年级或专业排名居前30%的同学</t>
  </si>
  <si>
    <t>7月19日
上午：营员报到，安排住宿
下午：开营仪式，招生政策、培养模式介绍，参观医院
7月20日
上午：了解科研平台、体验临床技能模拟操作
下午：学科推介与互动、推免面试
7月21日
上午：体验珠海人文
下午：结营仪式</t>
  </si>
  <si>
    <t>截止至2023年7月3日</t>
  </si>
  <si>
    <t>2023年7月19-21日</t>
  </si>
  <si>
    <t>1）个人简历；
（2）身份证、学生证；
（3）本科阶段成绩证明（包括加盖学校教务部门公章的成绩单及成绩总评排名的证明材料）；
（4）英语四六级证书或成绩单；
（5）其他：已发表论文（包括杂志封面、目录页及论文正文页）、各项获奖证书等。</t>
  </si>
  <si>
    <t>本夏令营对所有正式营员不收取任何费用，并予以资助。医院将为参加2023年“优秀大学生夏令营”的正式营员提供在夏令营期间的免费食宿，同时给予营员往返所在学校与广东省珠海市之间的路费补助</t>
  </si>
  <si>
    <t>“一带一路”国际医学院、第四临床学院</t>
  </si>
  <si>
    <t xml:space="preserve">1.学院内知名教授和近年国外引进高水平学者开设学科前沿讲座。
2.实验室参观，亲历我院科研学术氛围和学生生活，与专家交流互动。
3.答疑解惑，现场面试。 </t>
  </si>
  <si>
    <t>截止至2023年6月25日</t>
  </si>
  <si>
    <t>2023年7月10日-12日</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</si>
  <si>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</si>
  <si>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1、参加夏令营的营员统一由我院安排食宿，费用由我院承担。
2、学院将统一购买在我院夏令营活动期间的团体意外保险，各位入选营员需自购旅途意外险等保险。
3、交通费：营员请自行预定往返车票，我院负责报销外地学生的往返汽车或火车硬席、动车/高铁二等座额度的交通费（交通费报销上限800元），报销时必须提供纸质车票，否则无法报销。</t>
  </si>
  <si>
    <t>录取的同学需在2023年7月3日前往系统确认是否参加，开营报到时须携带“报名证明材料”的原件及复印件各1份。</t>
  </si>
  <si>
    <t>在全年级排名居前20％或前5名</t>
  </si>
  <si>
    <t>7月3日上午开营仪式，学院整体介绍，各系情况介绍
7月3日下午学院各系导师和学生师生线上见面会
7月4日上午参营学生进行个人能力展示。学院各系组织拟报名考生进行考核，学生需准备PPT介绍5-10分钟，专家提问3-5分钟，各系评分小组进行评分
7月4日下午结营仪式，给合格营员发夏令营结业证书。营员与各系意向导师签订意向表，由导师交到学院研究生科。</t>
  </si>
  <si>
    <t>截止时间2023年6月16日18：00</t>
  </si>
  <si>
    <t>2023年7月3-4日</t>
  </si>
  <si>
    <t>1、《生命科学与技术学院2023年优秀大学生夏令营申请表》1份（附表1），个人信息汇总表1份（附表2）；
2、个人简历1份（格式自定）；
3、本科阶段前五个学期的成绩单及专业排名证明（由学校教务部门或所在院系盖红章）（若因疫情原因只有前四个学期的成绩，请备注说明）；
4、英语成绩证明。国家英语四级、六级考试成绩，或TOEFL/GRE/GMAT/雅思等体现自身英语水平的证明；
5、专家推荐函2份。（1）学生本人所在本科学校的老师（副教授及其以上职称）推荐信1份（附件1-申请人本科老师推荐信）；（2）华中科技大学生命科学与技术学院的老师（讲师及以上职称）推荐信1份（附件2-生命学院老师推荐信），必须由我院老师直接交到学院研究生科</t>
  </si>
  <si>
    <t>夏令营员获得本科学校的推荐免试资格后，可在我院的推荐免试录取中优先选择导师。</t>
  </si>
  <si>
    <t>报名同学需提交专家推荐函2份，分别来自学生所在本科学校的老师（副教授及其以上职称）和华中科技大学生命科学与技术学院老师（讲师及以上职称）。</t>
  </si>
  <si>
    <t>成都中医药大学</t>
  </si>
  <si>
    <t>专业综合排名在前30%</t>
  </si>
  <si>
    <t>即日起-6月30日</t>
  </si>
  <si>
    <t>2023年7月中上旬</t>
  </si>
  <si>
    <t>200人左右</t>
  </si>
  <si>
    <t>1.成都中医药大学全国大学生夏令营报名申请表（附件1）
2.本科阶段历年成绩单（须加盖教务处或院系所公章）。
3.英语水平证明材料（如英语四六级、雅思、托福成绩等）
4.有关获奖证书和学术科研成果（如发表论文、专利等）</t>
  </si>
  <si>
    <t>1．我校为营员购买夏令营活动期间人身意外伤害保险；
2．夏令营期间的住宿费和伙食费由我校承担；
3．报销学校所在城市至成都的500元以内单程票价（超过500元按500元报销）,本着“节俭经费、高效务实、勤政廉洁”的原则，交通工具按一下标准执行：乘火车硬席（硬座、硬卧）、高铁/动车二等座、软席列车二等软座、轮船普通舱位。请妥善保管票据作为报销凭据。
4．所有营员参加全部夏令营活动后，颁发“成都中医药大学全国优秀大学生暑期夏令营”营员结业证书，表现优异的营员将获得“成都中医药大学全国优秀大学生暑期夏令营”优秀营员证书。</t>
  </si>
  <si>
    <t>考核优秀的营员，获得推免资格且满足学校接收推免生条件者，在推免系统及时响应填报我校即可免复试予以录取。</t>
  </si>
  <si>
    <t>2023年6月12日00:00-6月26日24:00</t>
  </si>
  <si>
    <t>1. 夏令营申请表（申请表可于系统导出打印），填写后学校教务处或院系负责人签字盖章；
2. 个人简历及个人陈述（关于个人学术背景、曾经做过的研究工作以及未来学习和研究的计划、目标等)；
3. 本科历年成绩单1份，须加盖所在学校教务部门公章；
4. 英语六级水平证书或相关英语成绩证明；
5. 成绩排名证明（含专业成绩排名和综合成绩排名，由学校教务部门盖章或院系出具证明）；
6. 其他有关能力的证明材料（如：发表论文、专利，各类获奖等）；
7. 两位副教授或以上专家的推荐信（可在申请系统中下载模板，须专家亲笔签字，不可使用电子签名）；
8. 声明（可在系统中下载模板）</t>
  </si>
  <si>
    <t>报名同学需要提交副教授及以上职称相关专业专家签字的推荐信2封。个人陈述、专家推荐信均有相应模板，可在夏令营申请系统中下载。</t>
  </si>
  <si>
    <t>英语水平良好（符合所在学校推免生的外语要求）</t>
  </si>
  <si>
    <t>2023年06月09日14:00-2023年06月19日00:00</t>
  </si>
  <si>
    <t>30名左右</t>
  </si>
  <si>
    <t>（一）前四学年的成绩单原件与总评成绩排名证明（均需单位盖章）。
（二）获奖证书复印件各1份;
（三）国家英语四、六级考试成绩等体现自身英语水平的证明1份;
（四）体现自身学术水平的代表性学术论文、出版物或原创性工作成果。
（五）山东大学报考硕士研究生人员思想政治素质和品德考核表。</t>
  </si>
  <si>
    <t>山东大学口腔医学院为入选营员提供夏令营期间的免费食宿(济南高校或家在济南的学生不安排住宿)，并报销学校所在城市(或家庭所在城市)至济南的长途汽车座票(正式车票)、高铁或动车二等座(卧铺、飞机票不予报销)的往返路费。往返路费将在夏令营结束后，报学校财务部门审核批准后发放。</t>
  </si>
  <si>
    <t>检验医学院</t>
  </si>
  <si>
    <t>成绩要求为必修课平均学分绩点在本专业前25%</t>
  </si>
  <si>
    <t>全国大学英语六级考试（CET-6）成绩≥425分</t>
  </si>
  <si>
    <t>6月26日（星期一）下午
营员报到：校内学生；营员报到：校外学生
6月27日 （星期二）上午
开营仪式、学院介绍、课题组宣讲、参观实验室
6月27日（星期二）下午
参观国际体外诊断研究院、课题组自由交流
6月28日（星期三）上午
优秀营员选拔考核
6月28 日（星期三）下午
闭营典礼、颁发结业证书</t>
  </si>
  <si>
    <t>2023年6月8日中午12:00-2023年6月14日中午12:00</t>
  </si>
  <si>
    <t>1.夏令营申请表（附件1）
2.身份证（双面）；
3.学生证（有个人信息的所有页面）；
4.《教育部学籍在线验证报告》；
5.本科各阶段成绩单盖章原件及同年级总成绩排名表（均须盖所在学校教务处公章）；
6.外语水平证明：全国大学英语六级考试（CET-6）成绩≥425分，或与之相当的英语水平扫描件。
7.个人获奖证书、代表作品等证明材料；
8.《考生诚信考核承诺书》（附件2）；
9.个人简历。</t>
  </si>
  <si>
    <t>学院为营员提供夏令营期间的统一伙食，为异地学校学生提供统一住宿，并给予往返交通补贴（根据火车硬座、硬卧，高铁/动车二等座或汽车票标准进行补贴，营员须提供相应票据凭证，实报实销）。学院为营员购买夏令营期间的人身意外伤害保险，营员在夏令营期间产生的医疗费用及因个人行为导致的意外事故，由营员本人承担。</t>
  </si>
  <si>
    <t>(一）参营营员如通过入营期间的综合考核且获得所在学校推免生资格，符合我校推免生招生章程所规定的条件，可直接拟录取为我院相关专业的直博生或硕士研究生，优先选择导师。
（二）通过我院夏令营考核的优秀营员如未获得所在学校的推免生资格，如果2024年以公开招考方式第一志愿报考我院与夏令营相同专业，考试成绩达到我校该专业复试基本分数线的，在同等条件下将给予优先录取。</t>
  </si>
  <si>
    <t>2023年6月1日-14日</t>
  </si>
  <si>
    <t>2023年6月26日-30日</t>
  </si>
  <si>
    <t>1、申请人下载并填写天津医科大学优秀大学生暑期夏令营活动申请表.doc及2023年度暑期夏令营个人信息汇总表.xls；
2、个人陈述（关于个人学术背景、曾经做过的研究工作以及未来学习和研究的计划、目标等）；
3、专家推荐信.doc2封，即需要2位相关或相近专业副教授（含）及以上职称的专家分别推荐；
4、本科阶段成绩单（截至目前），专业排名证明，需加盖教务或学生部门公章；
5、大学英语六级成绩单、其他英语水平证明（如近两年内TOEFL成绩或近三年内GRE成绩等）复印件；
6、其他证明材料（如体现自身学术水平的代表性学术论文或其他原创性工作成果复印件、获奖证书复印件等）。</t>
  </si>
  <si>
    <t>开营仪式、各专业面试</t>
  </si>
  <si>
    <t>2023年6月15日前</t>
  </si>
  <si>
    <t>通过国家英语六级考试，且成绩达到500分及以上；</t>
  </si>
  <si>
    <t>学校组织开营仪式
医院总体介绍，导师见面会，夏令营学生风采展示 ( 以PPT形式，每人5分钟)，面试
夏令营闭营</t>
  </si>
  <si>
    <t>2023年6月18日前</t>
  </si>
  <si>
    <t>我院录取的学术学位推荐免试硕士研究生期间表现优秀者，可优先申请硕博连读、公派出国等项目。相关说明参见天津市医科大学研究生院的有关规定；</t>
  </si>
  <si>
    <t>本科前四年综合成绩排名（班级或年级）前20%</t>
  </si>
  <si>
    <t>英语水平优良，达到全国大学英语六级≥460，或雅思不低于6.0分，或新托福不低于80分，或英语国家获得过学士及以上学位，或达到与此相当的其他各类外语考试水平</t>
  </si>
  <si>
    <t>1、学院内知名教授和近年国外引进青年教授开设学科前沿讲座。
2、现场面试，与专家交流互动。
3、院内及校园参观，亲历浙大学术氛围和研究生活。
4、团建活动，结识同龄优秀学子。</t>
  </si>
  <si>
    <t>2023年6月12日至2023年6月30日</t>
  </si>
  <si>
    <t>7月21日-7月22日</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</si>
  <si>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</si>
  <si>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1、食宿费：参加夏令营的营员统一由我院安排活动期间食宿，费用由我院承担。
2、交通费：杭州本地营员交通自理。外地营员请自行预定往返车票，我院负责报销优秀营员的往返汽车或火车硬席、动车/高铁二等座额度的交通费（交通费报销上限不超过500元，西部地区高校的同学可以提出申请，另行考虑），报销时须提供往返车票。</t>
  </si>
  <si>
    <t>外语水平达到CET6≥440、或 TOEFL/IELTS成绩单</t>
  </si>
  <si>
    <t>截止时间为2023年7月10日</t>
  </si>
  <si>
    <t>2023年8月24日-8月27日</t>
  </si>
  <si>
    <t>（1）《2023年夏令营申请表》（学生本人签字）；
（2）个人身份证（正反面）；
（3）本科成绩单;
（4）外语水平证明材料：CET-6、雅思、托福、专业外语成绩等；
（5）其他材料：如已发表论文、各类获奖或资格证书等。</t>
  </si>
  <si>
    <t>6月26日 上午
天津医科大学 开营仪式
6月26日 下午
天津医科大学眼科医院 开营仪式；医院简况宣讲
6月27日 全天
研究生工作介绍
面试（每位学生面试开始进行风采展示3分钟，包括自我介绍、科研经历以及未来学习和研究的计划、目标等）</t>
  </si>
  <si>
    <t>2023年6月26日-27日</t>
  </si>
  <si>
    <t xml:space="preserve">免费提供住宿（医院统一安排）（天津地区高校学生不安排住宿）。
获得优秀营员资格且录取为我院研究生者，入学报到后统一报销本次夏令营往返硬座火车票（动车或高铁仅限二等座）费用。
</t>
  </si>
  <si>
    <t xml:space="preserve">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的优秀营员，同等条件下优先推荐。相关说明参见天津医科大学研究生院的有关规定。
</t>
  </si>
  <si>
    <t>6月26日上午：开营仪式
6月26日下午：学院开营仪式、学院和教学情况介绍、实验平台介绍、参观实验室等
6月27日上午：教研室/外科体系/新技术介绍、临床实训中心介绍、参观实训中心等
6月27日下午：优秀研究生/学长经验分享、专家座谈、麻醉科活动等
6月28日上午：面试考核闭营</t>
  </si>
  <si>
    <t>2023年6月26日-28日</t>
  </si>
  <si>
    <t>1、本人签字、带照片、单位盖章的《天津医科大学优秀大学生暑期夏令营活动申请表》
2、加盖教务部门公章的成绩单
3、英语成绩单或证明（如四级证书、六级证书、托福、雅思、GRE等证书）
4、专家推荐信扫描件（需要2位相关或相近专业副教授（含）及以上职称的专家推荐且加盖专家单位公章）
5、荣誉与奖励证书（限5项）
6、发表文章（文章首页，并标出作者）
7、专利：专利申请书/授权书扫描件
8、社会实践获奖证书
（备注：1-4为必须提供项，5-8为可选项）</t>
  </si>
  <si>
    <t xml:space="preserve">活动期间免费提供职工食堂自助餐。 </t>
  </si>
  <si>
    <t>获得优秀营员者，如获得所在学校的研究生推荐免试资格，报考相同专业、学位类型可优先拟录取为天津医科大学推荐免试硕士研究生；如未获得所在学校的研究生推荐免试资格，但通过参加全国统考硕士研究生，报考相同专业、学位类型，考试成绩达到天津医科大学当年该专业复试基本分数线（含总分、单科分数）标准的优秀营员，同等条件下优先推荐。</t>
  </si>
  <si>
    <t>学习成绩优秀，大学期间必修课无不及格记录，缓考课程须有成绩，必修课平均学分绩点排名在本专业前25%；所在专业为省部级或国家级一流本科专业的，必修课平均学分绩点排名可放宽至本专业前40%</t>
  </si>
  <si>
    <t>英语水平较好，至少满足以下条件之一：全国大学英语六级考试（CET-6）成绩≥425分；雅思成绩≥6.0分；或TOEFL成绩≥80分；或与之相当的英语水平</t>
  </si>
  <si>
    <t>2023年6月28日12:00前</t>
  </si>
  <si>
    <t>2023年7月4-6日</t>
  </si>
  <si>
    <t>1. 《药学院2023年全国优秀大学生夏令营报名申请表》（见附件1）；
2. 个人简历；
3. 身份证（双面）；
4. 学生证（有个人信息的所有页面）；
5. 《教育部学籍在线验证报告》（有效期限内）；
6. 本科各阶段成绩单盖章原件及同年级总成绩排名表（均须盖所在学校教务处公章）；
7. 外语水平证明：全国大学英语六级考试（CET-6）成绩≥425分，或其他相当外语水平证明；
8. 其他相关证明材料（如发表论文、公开/授权专利、各类获奖材料等）；
9. 《药学院2023年夏令营考生诚信考核承诺书》（见附件2）。</t>
  </si>
  <si>
    <t>本次夏令营不收取任何费用，请各位考生谨防上当受骗。药学院将为营员提供夏令营期间的住宿（重庆市区高校学生不提供住宿），凭车票报销异地学校学生往返火车票费用。车票报销范围：高铁/动车(二等座）和其他列车普通硬卧（硬卧车程须在6小时以上）、硬座（硬座车程在6个小时以内），长途客车、船票（三等舱）等按照票价给予报销；飞机票按不超过高铁（动车）二等座价格报销。原则上应为就读高校所在地与重庆往返所产生的费用；
 药学院将为参营人员购买夏令营活动期间人身意外伤害保险；
营员在夏令营期间发生的医疗费用及因个人行为导致的意外事故，由学员本人或其派出单位承担。</t>
  </si>
  <si>
    <t>1.参营营员如通过复试综合考核且获得所在学校2024年推免生资格，符合我校相关专业2024年推免生招生章程所规定条件的，可直接拟录取为我校相关专业2024年的直博生或者硕士研究生，优先选择导师；
2.通过我校夏令营考核的优秀营员如未获得所在学校的推免生资格，如果选择以公开招考方式第一志愿报考我校夏令营专业2024年度硕士研究生，考试成绩达到我校该专业复试基本分数线的，在同等条件下将给予优先录取</t>
  </si>
  <si>
    <t>大学本科期间成绩优秀，可获得推免资格</t>
  </si>
  <si>
    <t>英语水平良好，达到全国大学英语六级（CET-6）或相当水平。具备利用英语进行科研、写作以及交流的能力</t>
  </si>
  <si>
    <t>2023年6月12日-26日</t>
  </si>
  <si>
    <t>2023年7月初-7月中</t>
  </si>
  <si>
    <t>夏令营申请表(申请表可于系统导出打印)，填写后学校教务处或院系负责人签字盖章；
个人简历及个人陈述(关于个人学术背景、曾经做过的研究工作以及未来学习和研究的计划、目标等)；
本科历年成绩单1份，须加盖所在学校教务部门公章；
英语六级水平证书或相关英语成绩证明；
成绩排名证明(含专业成绩排名和综合成绩排名，由学校教务部门盖章或院系出具证明)；
其他有关能力的证明材料(如：以第一作者发表论文、专利，各类获奖等)； 
两位副教授或以上专家的推荐信；
声明。</t>
  </si>
  <si>
    <t>6月12日-7月10日</t>
  </si>
  <si>
    <t xml:space="preserve">a.优秀大学生2023年暑期夏令营申请表（附件），填写完成后扫描为1个PDF文件，并命名为“省立医院+姓名+申请表”；
b.截止报名时间前的本科阶段成绩单，成绩单须有教务部门盖章，扫描为1个PDF文件，并命名为“省立医院+姓名+成绩单”；
c.语言成绩证明，如大学生英语四、六级考试成绩，TOEFL成绩，IELTS成绩，GRE成绩等能体现外语水平的证明。扫描为1个PDF文件，并命名为“省立医院+姓名+外语成绩证明”；
d.科研成果、奖励等证明材料，申请人可提交体现自身学术水平的代表性学术论文、出版物或原创性工作成果及获奖证书。扫描为1个PDF文件，并命名为“省立医院+姓名+科研奖励证明材料”。
</t>
  </si>
  <si>
    <t>1.6月19日上午：学院介绍、各专业介绍、“学霸说”；
2.6月19日下午-20日：各科研团队介绍，学长交流会等。</t>
  </si>
  <si>
    <t>2023年6月10日-14日</t>
  </si>
  <si>
    <t>2023年6月19日-20日</t>
  </si>
  <si>
    <t>1.2023年夏令营申请表（报名成功后系统自动生成，申请人本人签字后扫描）；
2. 四年制专业本科阶段前五个学期、五年制专业前七学期成绩单1份（须加盖院系或学校教务部门公章）；
3.个人简历1份；
4.考生结合自身情况选择提交：相关证明材料复印件1份（如国家英语四、六级证书等英语水平证明材料；已发表学术论文、出版物或原创性工作成果；各类获奖或资格证书等体现自身学习和工作能力的材料）</t>
  </si>
  <si>
    <t>学业成绩优秀，前三年成绩总体排名在本专业25%以内，或平均成绩在85分（含）以上</t>
  </si>
  <si>
    <t>全国高校外语四六级考试成绩合格，TOEFL、GRE等成绩优秀者优先入营</t>
  </si>
  <si>
    <t>本次夏令营在“新医科、新药科、新工科”理念指引下，采取线下形式开营。活动期间，设置专家讲坛、与导师面对面、学生个人展示、实验室、教学基地参观等环节，具体活动安排另行通知。</t>
  </si>
  <si>
    <t>2023年7月2日-4日</t>
  </si>
  <si>
    <t>1. 照片（证件照）；
2、有效居民身份证扫描件；
3、学校主管部门开具、盖章的在读证明；
4、本科历年成绩单，须加盖申请人所在学校或学院教务部门公章；
5、外语水平成绩证明件：国家英语四、六级考试成绩，或TOEFL成绩、GRE/GMAT成绩等体现自身英语水平的证明；
6、代表性获奖证书；
7、代表性科技成果（论文/著作的封面、封底、目录、正文首尾页，知识产权请提供公告书）。</t>
  </si>
  <si>
    <t>1.本次夏令营活动不收取任何费用；我院为正式入选并参加本次夏令营的全部营员免费提供夏令营期间的食宿（7月2日报到，住宿7月2日、3日晚两天，4日下午离营）；
2.夏令营营员如被正式录取为2024级上海大学医学院研究生，我院报销夏令营往返路费（营员学校或家庭所在城市至上海火车票，高铁二等座标准），在研究生入学当年予以补偿或报销；</t>
  </si>
  <si>
    <t xml:space="preserve">1.在本次夏令营中表现优异的学生报考2024年上海大学医学院研究生时，成绩达到我校公布的复试分数线后，同等条件下可优先录取；
2.营员通过我院推荐免试录取者，入学第一年享受一等研究生学业奖学金；
</t>
  </si>
  <si>
    <t>6 月26 日(周一)上午8:00-12:00
报到 (口腔医学院四楼教学办公室)学校统一开营仪式
6月26日(周一)下午14:00-17:00
学院介绍、专家讲座、师生交流(口腔医学院四楼会议室 )
6月27日 (周二)上午9:00-12:00
夏令营学生风采展示 (PPT 形式，3 分钟)面试(口腔医学院四楼会议室)</t>
  </si>
  <si>
    <t>2023年6月16日前</t>
  </si>
  <si>
    <t>1.申请人填写天津医科大学优秀大学生暑期夏令营活动申请表.doc及 个人信息汇总表.xls（个人信息汇总表发邮箱kqoff@tmu.edu.cn）；
2.个人陈述（关于个人学术背景、曾经做过的研究工作以及未来学习 和研究的计划、目标等）；
3.专家推荐信2封，即需要2位相关或相近专业具有高级职称的专家分 别推荐，且密封并在封口骑缝处签字；
4.本科阶段成绩单（截至目前），专业排名证明，需加盖教务或学生 部门公章；
5.大学英语六级成绩单或其他英语水平证明（如近两年内TOEFL成绩 或近三年内GRE成绩等）复印件；
6.其他证明材料（如体现自身学术水平的代表性学术论文或其他原创 性工作成果复印件、获奖证书复印件等）。</t>
  </si>
  <si>
    <t>获得优秀营员者，如获得所在学校的研究生推荐免试资格，报考 相同专业、学位类型可优先拟录取为我校推荐免试硕士研究生；如未 获得所在学校的研究生推荐免试资格，但通过参加全国统考硕士研究 生，报考相同专业、学位类型，考试成绩达到我校当年该专业复试基本分数线（含总分、单科分数）标准的优秀营员，同等条件下优先推荐。</t>
  </si>
  <si>
    <t>1.口腔医学院 2023年度优秀大学生暑期夏令营活动，将在学校研究生招生工作领导小组的直接领导下进行
2.所有申请人需确保提供的材料真实有效，如发现有不诚信行为将取消一切资格。
3.营员报到时需携带购买的意外保险证明复印件及父母签字的知情同意书，营员在夏令营期间发生的医疗费用及因个人行为导致的意外事故，由营员本人或派出单位承担。</t>
  </si>
  <si>
    <t>本科期间学习成绩优秀，总评成绩排名本专业同年级前列（或有其他突出表现），能获得推免资格</t>
  </si>
  <si>
    <t>外语水平良好（满足以下条件之一）：
①大学英语六级考试合格（≥425分）；
②雅思（IELTS，学术类）成绩≥6.0；
③托福（TOEFL）成绩≥90；
或其他体现自身外语水平的成绩证明。</t>
  </si>
  <si>
    <t>2023年6月12日-30日</t>
  </si>
  <si>
    <t>2023年7月13日-15日</t>
  </si>
  <si>
    <t>1. 入营申请表（系统中填写）
2. 报名信息真实承诺书（见系统）
3. 个人陈述  包括但不限于自我评价、报名理由、学业规划等，限制在2页内。
4. 推免资格证明 如暂无法提供，可提供在学证明，须加盖教务部门公章。
5. 成绩单+总评成绩证明 截至报名前成绩，须加盖教务部门公章。
6. 本科期间荣誉与获奖证明
7. 外语水平成绩证明 国家英语四、六级考试、托福、雅思等体现自身外语水平的成绩证明。
8. 学术水平证明 申请人还可提交体现自身学术水平的代表性学术论文、出版物或原创性工作成果。
9. 专家推荐信1-2封 相关领域副教授（含）以上职称进行推荐，并由专家本人签字确认。</t>
  </si>
  <si>
    <t>活动期间提供免费食宿；
活动期间提供团体意外保险。</t>
  </si>
  <si>
    <t>优秀营员在参加推免时可申请免复试，经学校同意后可直接录取</t>
  </si>
  <si>
    <t>申请人承诺所提供材料真实有效，如材料有误，我院可随时终止该申请人夏令营活动，由此造成的损失由申请人自行负责；
活动期间夏令营营员须遵守我院相关规定和要求；
更多信息见北京协和医学院研究生院官网http://graduate.pumc.edu.cn/；</t>
  </si>
  <si>
    <t>在学期间学习成绩优秀，能取得所在院校的推荐免试资格</t>
  </si>
  <si>
    <t>2023年6月15日-25日</t>
  </si>
  <si>
    <t>2023年7月9日-7月10日</t>
  </si>
  <si>
    <t xml:space="preserve">1.夏令营申请表(申请表可于系统导出打印，本人亲笔签名)，填写后学校教务处或院系负责人签字盖章；
2.个人简历及个人陈述(关于个人学术背景、曾经做过的研究工作以及未来学习和研究的计划、目标等，可于系统中下载模板)，须本人亲笔签名；
3.本科历年成绩单1份，须加盖所在学校教务部门公章；
4. 成绩排名证明(含专业成绩排名和综合成绩排名，由学校教务部门盖章或院系出具证明)；
5.英语六级水平证书或相关英语成绩证明（官方认证的纸质成绩单复印件）；
6.其他有关能力的证明材料(如：发表论文、专利，各类获奖等)；
7. 专家推荐信2封（副教授及以上职称相关专业专家分别推荐，模板可在系统中下载，须专家签字确认）；
8.声明（可在系统中下载模板）。
</t>
  </si>
  <si>
    <t>2023年6月13日-27日</t>
  </si>
  <si>
    <t>1.夏令营申请表(申请表可于系统导出打印)，填写后学校教务处或院系负责人签字盖章;
2.个人简历及个人陈述(关于个人学术背景、曾经做过的研究工作以及未来学习和研究的计划、目标等);
3.英语六级水平证书或相关英语成绩证明;
4.成绩单及成绩排名证明(含专业成绩排名和综合成绩排名)，由学校教务部门盖章或院系出具证明;
5.其他有关能力的证明材料(如：发表论文、专利，各类获奖等);
6.声明</t>
  </si>
  <si>
    <t>学科介绍及招生相关问题答疑，具体活动安排详见后续通知。</t>
  </si>
  <si>
    <t>截止时间为2023年6月20日24：00</t>
  </si>
  <si>
    <t>2023年7月4日</t>
  </si>
  <si>
    <t>1.“武汉大学口腔医学院2023年优秀大学生夏令营申请表”；
2. “武汉大学口腔医学院2023年优秀大学生夏令营个人陈述”；
3.本科阶段历年成绩单：须要体现全年级人数和个人排名，须加盖教务处或院系公章；
4.外语水平证明。</t>
  </si>
  <si>
    <t>本次活动不选拔优秀营员</t>
  </si>
  <si>
    <t>截止时间为2023年6月16日17点</t>
  </si>
  <si>
    <t xml:space="preserve">2023年6月26日-27日 </t>
  </si>
  <si>
    <t xml:space="preserve">1.申请人填写天津医科大学优秀大学生暑期夏令营活动申请 表.doc 及个人信息汇总表.xls； 
2. 个人陈述（关于个人学术背景、曾经做过的研究工作以及未 来学习和研究的计划、目标等）； 
3. 专家推荐信.doc 2 封，即需要 2 位相关或相近专业副教授（含） 及以上职称的专家分别推荐； 
4. 本科阶段成绩单（截至目前），专业排名证明，需加盖教务 部门公章； 
5. 大学英语六级成绩单或其他英语水平证明（如近两年内 TOEFL、雅思成绩等）复印件； 
6. 其他证明材料（如体现自身学术水平的代表性学术论文或其 他原创性工作成果复印件、获奖证书复印件等）。 
</t>
  </si>
  <si>
    <t xml:space="preserve">获得优秀营员者，如获得所在学校的研究生推荐免试资格，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的优秀营员，同等条件下优先推荐。 </t>
  </si>
  <si>
    <t>通过国家英语六级考试，且成绩达到480分及以上。</t>
  </si>
  <si>
    <t xml:space="preserve">
2023年6月26 日上午
学校组织开营仪式
2023年6月26-30 日
学院开营仪式、参观院内及实验室、面试考核。</t>
  </si>
  <si>
    <t>截止时间为6月15日24时</t>
  </si>
  <si>
    <t>1.申请人下载并填写《天津医科大学优秀大学生暑期夏令营活 动申请表》及《2023 年度暑期夏令营个人信息汇总表》，本人签 字、带照片、单位盖章。
2.《专家推荐信》2封PDF版，（需要2位相关或相近专业 副教授（含）及以上职称的专家分别推荐，且加盖专家单位公章）。
3.本科阶段成绩单（截至目前），专业排名证明，需加盖教务 部门公章；
4.大学英语六级成绩单、其他英语水平证明（近两年 TOEFL/GRE 成绩等）复印件；
5. 个人陈述（关于个人学术背景、曾经做过的研究工作以及 为来学习和研究的计划、目标等）；
6.其他证明材料 PDF 版（如体现自身学术水平的代表性学术论 文或其他原 创性工作成果复印件、专利、获奖证书复印件等）。</t>
  </si>
  <si>
    <t>获得优秀营员者，如获得所在学校的研究生推荐免试资格， 报考相同专业、学位类型可优先拟录取为我校推荐免试硕士研究生；如未获得所在学校的研究生推荐免试资格，但通过参加全国统考硕士研究生，报考相同专业、学位类型，考试成绩达到我校当年该专业复试基本分数线（含总分、单科分数）标准的优秀营员，同等条件下优先推荐</t>
  </si>
  <si>
    <t>2023年6月15日8：00-6月20日18：00</t>
  </si>
  <si>
    <t>1）《重庆医科大学第一临床学院2023年全国优秀大学生夏令营活动申请表》（附件2）；
（2）身份证（双面）；
（3）学生证（有个人信息的所有页面）；
（4）《教育部学籍在线验证报告》；
（5）本科各阶段成绩单盖章原件及同年级总成绩排名表（均须盖所在学校教务处公章）；
（6）外语水平证明：全国大学英语六级考试（CET-6）成绩≥425分，或与之相当的英语水平证明材料扫描件；
（7）考生诚信考核承诺书（附件3）；
（8）其他学术成果、获奖证书等证明材料（若有，请附上）。</t>
  </si>
  <si>
    <t>一）本次夏令营不收取任何费用。
（二）学院为营员提供夏令营期间的统一伙食及住宿，凭车票报销异地学校学生往返火车票费用。车票报销范围：高铁/动车(二等座)和其他列车普通硬卧(硬卧车程须在6小时以上)、硬座(硬座车程在6个小时以内)，长途客车、船票(三等舱)等按照票价给予报销；飞机票按不超过高铁(动车)二等座价格报销。原则上应为就读高校所在地与重庆往返所产生的费用，营员须提供相应票据凭证，实报实销，超出部分营员自行承担。
（三）学院为营员购买夏令营期间的人身意外伤害保险，营员在夏令营期间产生的医疗费用及因个人行为导致的意外事故，由营员本人或其他派出单位承担。
（四）中途退营同学，不享受上述政策。</t>
  </si>
  <si>
    <t>（一）如通过我院夏令营考核且获得所在学校推免生资格，且符合重庆医科大学推荐免试研究生或直博生招生章程所规定的条件，可直接录取为我院相关专业的推免硕士研究生或直博生，可优先选择导师。
（二）如未获得所在学校的推免生资格但为我院夏令营考核的优秀营员，若选择以公开招考的方式报考我院2024年硕士研究生，且考试成绩达到我院该专业复试基本分数线，在同等条件下将给予优先录取。
（三）如获我院夏令营考核的优秀营员，并录取为我院的推免硕士研究生或直博生，在入学后可获得1万元的科研启动经费。</t>
  </si>
  <si>
    <t>（一）营员申请材料务必真实有效，如有不实、弄虚作假，将取消其营员资格，综合考核结果作废。
（二）参加夏令营的学生必须遵守重庆医科大学第一临床学院的相关规定，按照活动日程安排参加各项活动。
（三）在营期间不得对考核内容进行录音、录像或录屏。
（四）营员报道后要求全程参加夏令营活动，擅自离营者视为自动放弃入营资格。
（五）营员需按期取得国家承认的学士毕业证书级学位证书。
（六）通过营员考核且申请我校推荐免试研究生的2024年应届本科毕业生，在全国推免服务系统开放后，仍需在该系统注册并填报志愿。后续请关注中国研究生招生信息网、我校研究生招生网相关通知。
其他未尽事宜，按照学校及学院相关规定执行。</t>
  </si>
  <si>
    <t>7月4日
下午 夏令营报到
晚上 破冰活动
7月5日
上午 开营仪式、名师论坛
下午 学科宣讲
晚上 小组讨论
7月6日
上午 学术交流会、营员风采展示
下午 拓展活动
7月7日
上午 闭营典礼
典礼结束后 考核面试</t>
  </si>
  <si>
    <t>6月13日8：00-6月25日17：00</t>
  </si>
  <si>
    <t>2023年7月4日-7日</t>
  </si>
  <si>
    <t>用餐及住宿安排：学院将承担营员活动期间营员用餐及住宿（居住在我
院两江院区学生宿舍的儿科学生除外）
交通：外地院校营员请自行预定往返火车票，学院将资助外地营员往返
交通费（从目前就读大学所在地至重庆，报销标准为火车硬座、硬卧，高铁/动车二
等座或汽车票，长途客车、船票（三等舱）等按照票价给予报销；飞机票报销价格
≤高铁（动车）二等座报销价格，则按照飞机票价格给予报销。需出示票根，实报
实销，超出部分营员自行承担）。
学院为参营人员购买夏令营活动期间人身意外伤害保险。
营员在营期间发生的医疗费用及因个人行为导致的意外事故，由学员本
人或其派出单位承担。
中途退营营员，不享受以上待遇。</t>
  </si>
  <si>
    <t xml:space="preserve">（一）如通过我院夏令营考核且获得所在学校推免生资格，且符合重庆医科大学推荐免试研究生或直博生招生章程所规定的条件，可直接录取为我院相关专业的推免硕士研究生或直博生，可优先选择导师。
（二）如未获得所在学校的推免生资格但为我院夏令营考核的优秀营员，若选择以公开招考的方式报考我院2024年硕士研究生，且考试成绩达到我院该专业复试基本分数线，在同等条件下将给予优先录取。
</t>
  </si>
  <si>
    <t>开营仪式、学术交流、参观学习</t>
  </si>
  <si>
    <t>5月27日-6月10日</t>
  </si>
  <si>
    <t>2023年6月-8月</t>
  </si>
  <si>
    <t>学院统一安排1晚住宿、部分时间段的就餐（学校或家庭所在地是长沙市的原则上不安排住宿），交通费自理。</t>
  </si>
  <si>
    <t>对获得我院优秀营员、取得其所在高校推荐免试资格且第一志愿报考我校的考生，特此提醒：
1.此类考生按我校接收推荐免试攻读硕士研究生办法进行报名和录取。
2.此类考生须于2023年9月28日-10月15日在教育部“全国推荐免试攻读研究生信息公开暨管理服务系统”(网址:http://yz.chsi.com.cn/tm)进行网上报名并确认录取，我院综合报名情况及提前面试时的成绩发出待录取通知（额满为止），否则视为放弃。</t>
  </si>
  <si>
    <t>此次线下夏令营招生类型为学术型</t>
  </si>
  <si>
    <t>7月20日
14:30 18:00 报到
7月21日
8: 30-10:00 开营仪式
10:00-20:00 与导师在一起，具体活动由科室安排
7月22日
12:00前：离院</t>
  </si>
  <si>
    <t>6月11日-18日</t>
  </si>
  <si>
    <t>2023年7月20-22日</t>
  </si>
  <si>
    <t>350名</t>
  </si>
  <si>
    <t xml:space="preserve">（1）本人有效二代身份证件和学生证；　
（2）大学英语四级或六级考试成绩单复印件一份；
（3）在校历年学习成绩单及成绩排名证明，并由所在学校或院系教务部门加盖公章；
（4）有学术成果（包括公开发表论文、出版著作、获得专利、获得学术科技奖项、承担课题或者其他具有学术水平的工作成果）者，提供学术成果一份；
（5）获得各类荣誉、表彰、奖励证书；
（6）个人简历及个人陈述，简要陈述参加本次夏令营的原因、目的和期望。
</t>
  </si>
  <si>
    <t>1.食宿：我院将为夏令营营员提供夏令营期间两天的住宿和部分时段的就餐（学校或家庭所在地是长沙市的原则上不安排住宿）。
2.交通费：外地院校的学生请自行预订往返车票，对于获得推免资格且在9月的国家推免系统中被我院录取的同学，给与一定的交通补助（请保留往返车票）。
3.我院负责购买入营学员在营期间保险，学生在夏令营期间发生的医疗费用及因个人行为导致的意外事故，保险外部分由学生本人承担。</t>
  </si>
  <si>
    <t>对获得我校优秀营员、取得其所在高校推荐免试资格且第一志愿报考我校的考生，特此提醒：
1.此类考生按我校接收推荐免试攻读硕士研究生办法进行报名和录取。
2.考生必须于教育部 “国家推免服务系统”（网址：htp://yz.chsi.com.cn/tm）开通的第一天网上报名、学院会尽快按报名时间先后顺序发出待录取通知（额满为止）。考生应在24小时内通过“推免服务系统”确认待录取，否则视为放弃。</t>
  </si>
  <si>
    <t>2023年6月12日-7月7日</t>
  </si>
  <si>
    <t>a.优秀大学生2023年暑期夏令营申请表（附件），填写完成后扫描为1个PDF文件，并命名为“山大二院+姓名+申请表”；
b.截止报名时间前的本科阶段成绩单，成绩单须有教务部门盖章，扫描为1个PDF文件，并命名为“山大二院+姓名+成绩单”；
c.语言成绩证明，如大学生英语四、六级考试成绩，TOEFL成绩，IELTS成绩，GRE成绩等能体现外语水平的证明。扫描为1个PDF文件，并命名为“山大二院+姓名+外语成绩证明”；
d.科研成果、奖励等证明材料，申请人可提交体现自身学术水平的代表性学术论文、出版物或原创性工作成果及获奖证书。扫描为1个PDF文件，并命名为“山大二院+姓名+科研奖励证明材料”。</t>
  </si>
  <si>
    <t>医院将为入选营员统一提供基本住宿费用、并为外地营员提供往返所在学校（或家庭）与济南之间的交通费补助（汽车或火车硬席、动车/高铁二等座额度）。外地学员请自行预订往返车票，并保留好车票原件于返回后寄回</t>
  </si>
  <si>
    <t>第二临床医学院</t>
  </si>
  <si>
    <t>本科期间学习成绩优秀，为双一流高校学生；或普通高校学生前五学期总成绩排名在本校同年级本专业前30%或预计能够获得所在学校推荐免试攻读硕士研究生资格的学生</t>
  </si>
  <si>
    <t>截止时间为7月14日</t>
  </si>
  <si>
    <t>2023年7月中下旬，为期一天</t>
  </si>
  <si>
    <t>15名</t>
  </si>
  <si>
    <t xml:space="preserve">1）个人简历
2）本科成绩单
3）学生证（正面，照片页和注册页）、身份证正反面
4）其他证明材料（如已发表论文、英文考试证书、获奖证书等复印件等）
</t>
  </si>
  <si>
    <t>优秀营员将在2024年硕士研究生招生录取时可享受以下优惠政策：若获得所在学校推荐免试研究生外推资格，符合我校推免生招生要求，并第一志愿报考我院硕士研究生，根据本人志愿，可以优先预录取。</t>
  </si>
  <si>
    <t xml:space="preserve"> 学习成绩优秀，本科期间综合成绩年级排名原则上要求为：“双一流”建设高校年级成绩排名前30%者，其他院校成绩排名前10%者</t>
  </si>
  <si>
    <t>全国大学外语四级水平考试成绩优良（480分以上），或全国大学外语六级水平成绩合格（425分以上），或TOEFL、GRE等考试成绩优秀者</t>
  </si>
  <si>
    <t>7月12日
下午：营员报到
7月13日
上午：开营仪式；参观医院
7月13日
下午：学科介绍、科室参观；导师见面与交流；复试考核(具体时间待入营后通知)
7月14日
上午：复试考核《具体时间待入营后通知)/参观金沙博物馆(自选)</t>
  </si>
  <si>
    <t>2023年6月15日-6月26日上午9：00</t>
  </si>
  <si>
    <t>2023年7月12日-14日</t>
  </si>
  <si>
    <t xml:space="preserve"> 1、申请表（报名成功后由系统自动生成）；
       2、本科成绩单和专业排名证明（各1份；需加盖所在学院教务处公章）；
       3、相关英语成绩、荣誉、比赛竞赛获奖证书复印件、学术成果复印件等。</t>
  </si>
  <si>
    <t xml:space="preserve">  对成功推免到我院的校外推免生，报销夏令营活动期间学校所在城市至成都的往返火车票价，报销标准参照学校相关规定执行（火车硬卧或动车二等座标准），金额不超过1000元/人，需报销者请妥善保管票据，预计在10月会通知邮寄至我院。</t>
  </si>
  <si>
    <t>参加夏令营复试考核合格的营员，如获得所在本科院校2024年推荐免试资格，在全国推免服务系统（预计9月下旬）开放后及时响应填报我院，且夏令营填报专业与推免填报专业一致者，可被我院直接录取为推荐免试研究生。</t>
  </si>
  <si>
    <t>请大家认真准备申请材料，只填报一个意向专业，我院将组织各学科专家对申请材料进行集体评议打分，根据评议成绩由高到低，按照二级学科(内外科涉及三级学科)依次排序确定入营名单。
       特别提示：请只提交正式发表的第一作者文章（英文论文可包括共一排第二的文章）、比赛竞赛获奖请提交校级及以上的获奖证书。</t>
  </si>
  <si>
    <t>本科阶段学习成绩优秀，本科（前三年）总评成绩专业排名前30%（C9高校可放宽至前50%），或在其他方面有突出表现。</t>
  </si>
  <si>
    <t xml:space="preserve">英语符合下述条件之一：（1）全国大学英语六级成绩≥425分；（2）新TOEFL ≥ 90分；（3）IELTS ≥ 6.0分。
</t>
  </si>
  <si>
    <t>学校参观、临床体验、学术讲座、笔试和面试等活动</t>
  </si>
  <si>
    <t>2023年6月13日-6月30日</t>
  </si>
  <si>
    <t>2023年7月下旬</t>
  </si>
  <si>
    <t>凡获得本学科2024年优秀生源选拔夏令营“优秀营员”的申请人均有机会获得本学科设立的优秀生源选拔夏令营奖学金。优秀生源选拔夏令营奖学金为一次性奖学金，奖励金额3000元/生。
优秀生源选拔夏令营奖学金资助对象须同时满足以下条件：1、被资助人须获得本科所在学校的推荐免试研究生资格且被本学科成功录取；2、被资助人须按时入学报到且正式获得本校研究生学籍。</t>
  </si>
  <si>
    <t>2023年6月12日-6月30日</t>
  </si>
  <si>
    <t xml:space="preserve"> a.2023年优秀大学生暑期夏令营申请表（附件），须本科院校或实习医院教务部门盖章，且同意参营；
    b.截止报名时间前的本科阶段成绩单，需出具成绩单的教务部门盖章；
    c.语言成绩证明，如大学生英语四、六级考试成绩，TOEFL成绩，IELTS成绩，GRE成绩等能体现外语水平的证明；
    d.科研成果、奖励等证明材料，申请人可提交体现自身学术水平的代表性学术论文、出版物或原创性工作成果及获奖证书。</t>
  </si>
  <si>
    <t>食宿及交通费：医院将为入选的外地营员提供夏令营期间的食宿，报销往返交通费用（汽车或火车硬席、动车/高铁二等座额度）；根据山东大学财务部要求，往返车票的时间必须为夏令营期间，由本科学校所在地至山东济南往返，外地营员请自行预订往返车票，活动结束后在规定时间内邮寄车票至医院。济南市区院校营员不负责交通费用及住宿。</t>
  </si>
  <si>
    <t>6月14日-6月30日</t>
  </si>
  <si>
    <t>a.2023年附属生殖医院优秀大学生暑期夏令营申请表（附件）；
b.截止报名时间前的本科阶段成绩单，需出具成绩单的教务部门盖章；
c.语言成绩证明，如大学生英语四、六级考试成绩，TOEFL成绩，IELTS成绩，GRE成绩等能体现外语水平的证明；
d.科研成果、奖励等证明材料，申请人可提交体现自身学术水平的代表性学术论文、出版物或原创性工作成果及获奖证书。</t>
  </si>
  <si>
    <t xml:space="preserve">一）综合考核内容
1. 专业素质测试：满分30分。主要考察考生大学阶段学习情况及成绩，掌握本学科专业理论知识程度，对本学科发展动态的了解程度及在本专业领域发展的潜力等。
2. 外国语及综合素质测试：满分40分（其中外国语20分，综合素质20分）。主要考察考生思想政治素质和道德品质，心理健康情况，外语听说能力，本学科以外的学习、科研、社会实践或实际工作表现，诚信记录，事业心、责任感、纪律性、协作性，人文素养，医德医风，举止、表达和礼仪等方面的情况。
3. 科研素质/临床技能测试：满分为30分。临床医学、口腔医学、护理、中医专业学位考生测试临床技能,主要考察考生临床操作能力等；其余考生测试科研素质,主要考察考生利用所学理论发现、分析和解决问题的能力，创新精神和创新能力等。
（二）综合考核方式
学院将组建考核专家小组负责对参营营员进行综合考核，并根据营员申请材料、面试综合考核情况，选拔出优秀营员，颁发优秀营员证书。
</t>
  </si>
  <si>
    <t xml:space="preserve">2023年6月13日中午12:00至6月19日上午8:00
</t>
  </si>
  <si>
    <t>1.《重庆医科大学全国优秀大学生夏令营报名申请表》（见附件1）；
2. 身份证（双面）；
3. 学生证（有个人信息的所有页面）；
4.《教育部学籍在线验证报告》（有效期限内）；
5.本科各阶段成绩单盖章原件及同年级总成绩排名表（均须盖所在学校教务处公章）；
6.外语水平证明：全国大学英语六级考试（CET-6）成绩≥425分，或与之相当的英语水平证明材料。
7. 其他相关证明材料（如发表论文、公开/授权专利、各类获奖材料等）；
8.《重庆医科大学2023年夏令营考生诚信考核承诺书》（见附件2）</t>
  </si>
  <si>
    <t>食宿：所有营员由学院提供在营期间的统一伙食，并为外地营员提供统一住宿；本地营员经申请可一并安排住宿。
交通费：外地院校营员请自行预定往返火车票，学院将资助外地营员往返交通费（从目前就读大学所在地至重庆，报销标准为火车硬座、硬卧,高铁/动车二等座或汽车票，长途客车、船票（三等舱）等按照票价给予报销；飞机票报销价格≤高铁（动车）二等座报销价格，则按照飞机票价格给予报销。需出示票根，实报实销，超出部分营员自行承担）。</t>
  </si>
  <si>
    <t>通过夏令营考核的申请人，如下半年获得推荐免试资格并申请我校推免研究生，届时还应通过教育部“全国推免服务系统”注册并填报志愿，按工作程序完成招生流程。</t>
  </si>
  <si>
    <t>6月13日-7月10日</t>
  </si>
  <si>
    <t>a.优秀大学生2023年暑期夏令营申请表（附件），填写完成后扫描为1个PDF文件，并命名为“千佛山医院+姓名+申请表”；
b.截止报名时间前的本科阶段成绩单，成绩单须有教务部门盖章，扫描为1个PDF文件，并命名为“千佛山医院+姓名+成绩单”；
c.语言成绩证明，如大学生英语四、六级考试成绩，TOEFL成绩，IELTS成绩，GRE成绩等能体现外语水平的证明。扫描为1个PDF文件，并命名为“千佛山医院+姓名+外语成绩证明”；
d.科研成果、奖励等证明材料，申请人可提交体现自身学术水平的代表性学术论文、出版物或原创性工作成果及获奖证书。扫描为1个PDF文件，并命名为“千佛山医院+姓名+科研奖励证明材料”。</t>
  </si>
  <si>
    <t>1.本夏令营属于非盈利性质的文化交流活动，主办单位不承担参加者活动期间所产生的任何法律和经济责任。
2.夏令营参加者应自觉遵守夏令营期间的各项规定和要求，遵从工作人员的统一安排，不得从事与夏令营无关的任何活动。</t>
  </si>
  <si>
    <t>品学兼优，在学期间平均成绩在85分以上且无不及格科目</t>
  </si>
  <si>
    <t>英语六级成绩≥450分，四级成绩≥470分</t>
  </si>
  <si>
    <t>1.宣讲会（线上）——6月21日
6月21日，肿瘤医院宣讲会将采用线上直播方式举行。解读研究生招生政策、介绍肿瘤医院总体情况以及各学科基本情况，并进行答疑。所有感兴趣的同学均可进入链接参与线上宣讲会。6月19日报名通道开启，学生可扫描二维码提交报名信息，报名过程中如有疑问可在宣讲会答疑环节咨询，报名截止7月2日。
2.师生见面会（线上）——7月8日至7月18日
师生见面会分学科举办，帮助学生深入了解学科和导师的科研方向，同时也提供学生自我展示的机会。各学科根据学生申报的第一志愿，遴选并邀请报名学生中优秀者进入师生见面会环节。师生见面会是确定入营学员的重要环节。
3.夏令营（现场）——7月27日至7月29日
计划录取营员200人左右。夏令营活动包括开营式、合影、校园游、能力测试、评选优秀营员等，提供学生和导师面对面交流机会。被录取的营员名单将于7月21日在我院官网上公布，夏令营期间提供免费食宿。</t>
  </si>
  <si>
    <t>2023年6月19日至7月2日</t>
  </si>
  <si>
    <t>2023年7月27日至7月29日</t>
  </si>
  <si>
    <t>1.个人证件照片（限100K内）
2.成绩单（须加盖院系或学校教务部门公章）；
3.总评成绩排名证明（须加盖院系或学校教务部门公章）；
4.国家英语四六级考试、托福、雅思、GRE等英语水平的成绩证明；
5.荣誉与奖励证书复印件；
6.发表文章（只需文章首页并标出作者）；
7.原创性工作成果；
8.专家推荐信1-2封，需副教授以上职称专家亲笔签字。</t>
  </si>
  <si>
    <t>第三临床学院</t>
  </si>
  <si>
    <t>2023年6月30日前</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</si>
  <si>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</si>
  <si>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 xml:space="preserve">审核和选拔工作由我院组织相关专家老师负责。入选营员名单将于7月5日前公布在夏令营报名系统中，录取的同学需在2023年7月10日前往系统确认是否参加，逾期未确认视放弃此资格。
注：审核通过后将通知加入夏令营官方钉钉群，后续通知将统一在钉钉群发布。
</t>
  </si>
  <si>
    <t>线上宣讲会；
线下组织开营仪式、导师沙龙、参观交流、师生零距离对话、历届优秀营员茶话会等，更有丰富多彩的文旅活动带你一同感受古都风貌</t>
  </si>
  <si>
    <t>2023年6月15日-6月30日</t>
  </si>
  <si>
    <t>入营营员给予适当食宿补贴，交通费用自理。</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</si>
  <si>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并提前参与到学院丰富的学术活动中，同时获得萱小医颁发的精美文创一份。
其余营员授予“合格营员”称号，同等条件下优先进入我校2024年推免生预选拔复试，同等条件下优先录取。
如有“优秀营员”放弃资格，“合格营员”可依次递补为“优秀营员”。</t>
  </si>
  <si>
    <t>1. 参加暑期夏令营的学生必须遵守学院相关规定，按照统一的安排参加各项活动，并注意安全，无故缺席者将被取消营员资格；
2. 营员在夏令营期间发生的医疗费用及因个人行为导致的意外事故，由营员本人或其派出单位承担。</t>
  </si>
  <si>
    <t>英语水平良好，全国大学外语六级考试成绩在425分以上</t>
  </si>
  <si>
    <t>主要活动包括学院及学科介绍、个人学术能力展示、优秀营员考核等。具体时间另行通知。</t>
  </si>
  <si>
    <t>2023年6月28日16:30前</t>
  </si>
  <si>
    <t>1）报名表（网上报名后）
2)由教务处或所在院系开具的成绩单与总评成绩排名证明，加盖公章（附件2）；
3)成绩单一份，需加盖教务部门公章；
4)个人简历一份，无特殊格式要求；
5)其它证明本人成绩及潜力的材料，如外语水平证明（英语六级证书等）、学术论文复印件、获奖证明材料等。</t>
  </si>
  <si>
    <t>吉林大学白求恩口腔医学院将根据申请者的学业水平、科研能力等，对申请者进行入围资格审查，入围名单将于7月4日之前在官网公布，请同学们随时关注。未入营的同学不再另行通知。</t>
  </si>
  <si>
    <t>优先考虑来自一流大学或所在学科为全国第四轮学科评估B+及以上高校的生源。</t>
  </si>
  <si>
    <t>截止时间为2023年6月28日下午17时</t>
  </si>
  <si>
    <t>2023年7月9日至7月12日</t>
  </si>
  <si>
    <t>100名优秀应届本科生正式营员
20名中山大学本科生作为旁听营员</t>
  </si>
  <si>
    <t>1.《中山大学肿瘤防治中心2023年全国优秀大学生夏令营申请表》 
2.个人简历（页面为A4大小，编排形式不限），内容应包括但不限于以下：本科成绩排名、英语水平、科研成果、竞赛获奖、社会服务等情况介绍； 
3.佐证材料（含清单目录1份） 
①《教育部学籍在线验证报告》，办理方式详见中国高等教育学生信息网http://www.chsi.com.cn/xlcx/bgys.jsp； 
②在读证明或学生证复印件； 
③本科阶段成绩单（含绩点，由学院或学校教务部门盖章）
④同年级总成绩排名原件（由学院或学校教务部门盖章，如成绩单显示排名，则无需单独提供此材料） 
⑤英语水平相关证书或成绩单复印件各1份（英语四、六级成绩单、TOEFL成绩等）； 
⑥其它材料（如有可提供）：包括各项获奖证书；参加学生科研活动的证明；发表或参与发表的论文正文首页等。</t>
  </si>
  <si>
    <t>本次活动不收取任何费用，本中心为营员提供活动期间的食宿（中山大学本校旁听生仅提供餐食，不提供住宿）；营员往返交通费自理，对于拟录取为本中心2024年免试研究生的营员可按中心财务标准报销交通费。</t>
  </si>
  <si>
    <t>申请者英语水平应达到以下条件之一：
① TOEFL≥90分（IBT）；
② 大学英语六级CET6≥425分；
③ IELTS（A类）≥6.0；
大学英语六级成绩7年内（2016年1月1日之后）有效，其余英语成绩5年内（2018年1月1日之后）有效。</t>
  </si>
  <si>
    <t>线上宣讲会：
7月3日18:40-22:00夏令营宣讲第一场（腾讯会议号728 639 314）；
7月4日18:40-22:00夏令营宣讲第二场（腾讯会议号764 923 384）。
线上见面会：
各专业团队根据学生提交的资料，择优组织学生线上见面会。根据各专业要求，营员准备3分钟自我介绍PPT 展示（中英文均可）。
线下活动：
各专业导师团队综合线上见面会情况，择优组织营员参加线下活动。参观世纪坛医院教学中心、国家市场监管重点实验室（肿瘤特医食品）、生物医学创新中心，开展特色学术沙龙、各专业组织结营考核等系列活动，评选优秀营员颁发证书。</t>
  </si>
  <si>
    <t>截止时间为2023年6月29日20:00</t>
  </si>
  <si>
    <t>线上宣讲会：2023年7月3日-4日（腾讯会议，具体通知另行通知）。
线上见面会：2023年7月5日-8日各专业组织学生线上见面会（腾讯会议，具体通知另行通知）。
线下报到时间：2023年7月12日14:00—17:00点，由各专业通知来参加线下活动的同学。
线下活动时间：2023年7月13日-14日。7月12日14:00-17:00报到。</t>
  </si>
  <si>
    <t>材料1：名称：本科阶段成绩单，含综合成绩排名，要求：教务部门或档案管理部门盖章，提交格式：PDF，命名方式：“1.本科阶段成绩单”。
材料2：名称：证明材料，要求：将英语水平证书、个人获奖证书等所有证明材料，存为一个PDF文件，提交格式：PDF，命名方式：“2.证明材料”。
材料3：名称：个人简历，要求：A4纸一页，包含基本信息，联系方式，本科院校，专业，主要课程，成绩体现，英语成绩，个人特长等，提交格式：PDF，命名方式：“3.个人简历”。
材料4：发表的科研论文（若有），PDF格式，文件名：“4.1论文1，4.2论文2……”
材料5：参加科研项目（若有），PDF格式，文件名：“5.1项目1，5.2项目2……”</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</si>
  <si>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
如有“优秀营员”放弃资格，“合格营员”可依次递补为“优秀营员”。</t>
  </si>
  <si>
    <t>1．主体活动：学院将于7月3日-5日举行线上学科宣讲活动，主要包括：学院基本情况介绍、各招生专业团队介绍、与导师面对面交流、与在读研究生交流等，具体日程安排待学院后续通知。
2．综合活动：各招生专业会在7月-8月夏令营主体活动后，会对报名本专业的学生展开学术讲座、学术沙龙、参与招生导师组会等活动，具体时间和参与方式待后续招生专业通知。
3．结营考核：学院将采取不同方式对学生进行全面考核，并根据考核成绩评出“优秀营员”、及“合格营员”。具体考核时间、考核内容、考核方式、评选办法等以学院后续通知为准。</t>
  </si>
  <si>
    <t>截止时间为2023年6月26日前</t>
  </si>
  <si>
    <t>2023年7月-8月</t>
  </si>
  <si>
    <t>学习成绩优秀，本科期间综合成绩年级排名原则上要求为：“双一流”建设高校年级成绩前30%，其他院校成绩排名前10%</t>
  </si>
  <si>
    <t>6月25日
下午：导师团队与研究方向宣讲(具体议程请关注后续通知)腾讯会议ID:323-4714-4538
7月10日
下午：营员报到
7月11日
上午：开营仪式、参观实验室
下午：科研平台介绍、导师团队见面交流、优秀学长交流
7月12日
上午：面试考核
下午：校园/医院参观、闭营仪式</t>
  </si>
  <si>
    <t>2023年6月16日-7月2日</t>
  </si>
  <si>
    <t>2023年7月11日-12日</t>
  </si>
  <si>
    <t>1、申请表（报名成功后由系统自动生成）；
2、本科成绩单和专业排名证明（各1份；院、校两级教务部门盖章均可）；
3、大学英语四/六级成绩单、TOEFL、GRE成绩单等英语成绩证明材料；
4、其他综合素质能力的证明材料（如发表论文、专利、荣誉获奖证书等的复印件）。
5、个人简历（1-2页）</t>
  </si>
  <si>
    <t>本次夏令营不收取费用，对成功推免到我中心的校外推免生，报销夏令营活动期间本科院校所在城市至成都的往返火车票价，报销标准参照学校相关规定执行（火车硬卧或二等座标准），金额不超过1000元/人，需报销者请妥善保管票据，预计10月通知邮寄回中心。</t>
  </si>
  <si>
    <t>第一天报到
第二天开营仪式及院内参观
第三天学科交流及选拔面试</t>
  </si>
  <si>
    <t>2023年6月16日-6月27日18:00</t>
  </si>
  <si>
    <t>1.南方医科大学第一临床医学院2023年全国优秀大学生暑期夏令营申请表电子版（见附件）
2.本科阶段成绩单及同年级总成绩排名表扫描版（由教务部门或院系盖章）
3.英语水平证明扫描版（四六级或雅思托福证书等）
4.本学院专任教师（有副高及以上职称）推荐信
以上1-3为必须项，有推荐信者同等条件下优先考虑。</t>
  </si>
  <si>
    <t>（一）我院为营员提供夏令营期间免费食宿（本校学生不提供住宿），交通费营员自理。
（二）为营员提供夏令营参营用品（入营纪念品、夏令营预录取证书等）。</t>
  </si>
  <si>
    <t>获得夏令营预录取通知书并之后取得所在学校“推免”资格的优秀营员，可直接接收为我校2023年临床医学“推免生”。</t>
  </si>
  <si>
    <t>本科期间成绩年级排名原则上要求为：“双一流”建设高校年级成绩排名前30%者，其他院校年级成绩排名前10%者。</t>
  </si>
  <si>
    <t>英语成绩优秀（CET-4考试成绩达到480分、CET-6考试成绩达到425分，或TOEFL、IELTS、GRE等考试成绩优秀者）。</t>
  </si>
  <si>
    <t xml:space="preserve">
7月3日：营员报到
7月4日：开营仪式、参观活动、技能比赛
7月5日：华西口腔前沿论坛、创新论坛
7月6日：博士论坛、预推免考核
7月7日：营员离营</t>
  </si>
  <si>
    <t>2023年6月17日-26日中午12:00</t>
  </si>
  <si>
    <t xml:space="preserve">　　1、申请表（报名成功后由系统自动生成）。
　　2、本科成绩单和全专业学业成绩排名证明（各1份，院、校两级教务部门盖章均可）。
　　3、大学英语CET-4/CET-6成绩单，TOEFL、IELTS、GRE成绩单等英语成绩证明材料。
　　4、个人简历及相关支撑材料做成一个PDF文件，如荣誉证书、资格证明、发表论文、专利等有关能力的证明材料。
</t>
  </si>
  <si>
    <t>夏令营期间我院协调安排食宿，报销营员学校所在城市至成都市的往返火车票，报销标准参照四川大学相关规定执行(火车硬卧或动车二等座标准)，需报销者请妥善保管票据待统一收取。</t>
  </si>
  <si>
    <t>第四临床学院</t>
  </si>
  <si>
    <t>在学期间学习成绩优秀，本科总成绩专业排名前20%</t>
  </si>
  <si>
    <t>英语水平良好，英语六级成绩≥450分</t>
  </si>
  <si>
    <t>1.现场活动：参观医院、导师面对面交流、优秀研究生见面交流会、学员汇报和结业等多样化活动形式。详细安排会发给入围考生。
2.面试选拔：组织相关面试，选拔优秀学员。</t>
  </si>
  <si>
    <t>2023年6月19日10:00-6月26日16:00</t>
  </si>
  <si>
    <t>合格营员可在2024年硕士研究生招生录取时享受以下优惠政策：若获得所在学校推免生资格，登陆“教育部推免系统”填报与夏令营面试专业相同的志愿（学院、专业、三级学科、学位类型、学习方式等一致），可直接被我校拟录取。</t>
  </si>
  <si>
    <t>1.6月28-29日16:00前，通过审核的考生需在系统上确认是否参加。未在规定时间内审核确认者视为自动放弃。
2.入营审核和录取工作由学院组织专家小组负责。届时申请者可在申请网址查看审核结果，并确认是否参加。
3.入营学员需全程参加夏令营各项活动。
4.如发现材料弄虚作假，取消或者追回由此获得的权益并保留追诉的权利。
5.未能参加夏令营的同学可关注学校后续推免生预报名通知。
6。未尽事宜，请关注学院后续通知。</t>
  </si>
  <si>
    <t>学习成绩优秀，本科期间综合成绩排名专业前20%</t>
  </si>
  <si>
    <t>学院宣传及学科介绍、专家讲坛、营员与导师交流、参观实验室等活动</t>
  </si>
  <si>
    <t>2023年6月16日-28日18点</t>
  </si>
  <si>
    <t>2023年7月5日-7日</t>
  </si>
  <si>
    <t>1、申请表（报名成功后由系统自动生成）；
2、本科成绩单和专业排名证明（各1份，需加盖所在学校教务处公章）；
3、相关获奖证书复印件、学术成果复印件等。</t>
  </si>
  <si>
    <t>生物医学工程学院（深圳校区）</t>
  </si>
  <si>
    <t>7月11日下午：营员报到、办理入住；   
7月12日上午：开营仪式、导师讲座；   
7月12日下午-7月14日中午：导师与营员交流、面试、实验室参观；  
7月14日中午：退宿、离营。</t>
  </si>
  <si>
    <t>2023年7月11日-14日</t>
  </si>
  <si>
    <t>、夏令营申请表（附件1）； 
2、个人简历；
3、本科阶段成绩单及同年级总成绩排名（由教务部门或院系盖章）；
4、相关证明材料：英语水平证书、获奖证书、论文、专利等科研成果复印件等；
5、学生证复印件；
6、教育部学籍在线验证报告；
7、二代居民身份证复印件，正反面复印在同一张A4纸内。</t>
  </si>
  <si>
    <t>本项目将为营员提供食宿（深圳本地高校营员只提供伙食、不提供住宿）。</t>
  </si>
  <si>
    <t>推免直博生 (CET-6) 430分及以上，推免硕士生 (CET-4） 450分及以上。</t>
  </si>
  <si>
    <t>2023年6月8日-6月20日</t>
  </si>
  <si>
    <t>宣讲会、综合考核</t>
  </si>
  <si>
    <t>截止时间为6月29日9：00AM</t>
  </si>
  <si>
    <t>2023年6月28日-6月30日</t>
  </si>
  <si>
    <t>最终综合考核的成绩作为2024年推免的面试成绩或者2024年硕士招生第一志愿“同等条件下优先录取”的参考（具体参考云南大学研究生院发布的相关通知）</t>
  </si>
  <si>
    <t xml:space="preserve"> 本科学习成绩优秀，具有较强动手能力和较好科研潜质，总成绩排名原则上在所读学校同年级本专业前30%以内（在其他方面有突出表现的学生除外），获得或者可能获得所在高校推荐免试生资格者优先；</t>
  </si>
  <si>
    <t>2023年7月3日12:00前</t>
  </si>
  <si>
    <t>2023年7月17日-7月20日</t>
  </si>
  <si>
    <t>1.《中山大学附属第七医院2023年全国优秀大学生夏令营申请表》（发送签字扫描版本，填写模板请下载文末附件）
2.个人简历（限1个页面）
3.身份证扫描件（正反面扫描在同一张A4纸内）；
4.《教育部学籍在线验证报告》，办理方式详见中国高等教育学生信息网http://www.chsi.com.cn/xlcx/bgys.jsp。
5.本科阶段成绩单、成绩总评排名的证明材料扫描件（加盖学校教务部门公章）；
6.英语水平的证明材料扫描件（大学英语四六级考试成绩、TOEFL、IELTS、GRE成绩等体现英语水平的证明材料）；
7.其他证明材料，如代表性学术论文（首页即可-即题目、摘要、作者所在页）、其他原创性工作成果、获奖证书等，学术论文以正式见刊为准。</t>
  </si>
  <si>
    <t>我院将为学员提供在活动期间的免费食宿，同时提供往返中山七院的交通补助（补助标准按相关规定执行）。</t>
  </si>
  <si>
    <t>北京安贞医院</t>
  </si>
  <si>
    <t>在校学习期间成绩优秀，本科总成绩专业排名前30%</t>
  </si>
  <si>
    <t>具备较强的英语能力，英语水平应达到一下条件之一：
CET-6成绩不低于450分；
TOEFL成绩不低于95分（IBT）；
IELTS（A类）成绩不低于6.5
上述英语成绩5年内有效（即成绩应为2018年1月1日之后取得）</t>
  </si>
  <si>
    <t>线下主体活动：开营欢迎仪式、医院参观、学科团队宣讲、师生座谈会、朋辈交流会、线下活动闭营仪式。
线上综合活动：学术沙龙、导师组会、招生政策讲解及答疑等。</t>
  </si>
  <si>
    <t>截止时间为2023年6月30日24:00</t>
  </si>
  <si>
    <t>1．教育部学籍在线验证报告：登陆“学信网”在“在线认证”一栏申请办理一个教育部学籍在线验证报告（电子版），下载并打印；电子版：将生成的验证报告电子文件，命名为：“1. 学籍信息”；
2．照片：本人近期一寸白底彩色身份证版式照片。电子版：照片请使用JPG格式电子文件，命名为：“2.照片”；
3．本科阶段成绩单及本专业排名证明(学校教务部门或院系盖章)。电子版；命名为：“3.1成绩单，3.2专业排名”；
4．英语水平证明：CET-6级成绩单；生成PDF格式的电子文件，命名为：“4.英语水平证明材料”；
5．学术成果证明材料：包括各类获奖证书扫描件。体现自身学术水平的代表性学术论文、出版物或原创性工作成果等。生成PDF格式的电子文件，如材料较多请建立文件夹，命名为：“5.学术成果证明材料”。
6．社会实践证明材料：包括各类获奖证书、活动证书扫描件。体现申请人组织、参加各类学校、学校开展的社会活动，生成PDF格式的电子文件，如材料较多请建立文件夹，命名为：“6.社会实践证明材料”。
7．自荐信：格式不限，可包括简历、为何报考我院及专业、未来学习研究计划等。电子版：生成PDF或Word格式的电子文件，命名为“7.自荐信”。
8．专家推荐信： 副教授及以上专家推荐书1份，生成PDF格式的电子版文件，命名为：“8.推荐信”。</t>
  </si>
  <si>
    <t>交通
城市间：高铁二等座/火车硬座票（按实际票面价格报销，需提供纸质车票）
城市内：不予报销
食宿
住宿：安贞医院附近宾馆，双人标准间
餐饮：由安贞医院食堂提供（每日三餐）
保险
由安贞医院购买人身意外保险
周边
文化衫、双肩包、笔记本、签字笔等</t>
  </si>
  <si>
    <t>优秀营员可在2024年硕士研究生招生录取时享受以下优惠政策：
如获得就读学校2024年推免资格，并登陆“教育部推免系统”填报与夏令营结营考核专业相同的志愿
（学院、专业、研究方向一致），将由学院优先向学校推荐录取。</t>
  </si>
  <si>
    <t>在大学期间学业及综合评价优秀</t>
  </si>
  <si>
    <t>7月8日：全天报到
7月9日：夏令营开幕式、学部情况介绍、名师讲堂、学长助力、师生交流、校园及实验室参观
7月10日：夏令营专业考核</t>
  </si>
  <si>
    <t>2023年6月17日-27日</t>
  </si>
  <si>
    <t>（1）本科学习期间成绩证明；
（2）本科学习期间排名证明材料；
（3）四、六级成绩单或获证证书复印件；
（4）其他科技创新类奖项获奖证明</t>
  </si>
  <si>
    <t>入选夏令营的大连理工大学本校学生除住宿自理外，餐食及营服统一安排。
入选夏令营的外校学生活动期间的食宿及营服统一安排。
对于入选夏令营的异地学生，录取后可报销参加夏令营时的（仅限学校所在地或家庭居住地直达大连）往返路费。（火车硬卧（硬座）、高铁（动车）二等座、轮船三等舱等费用，其他交通工具按照火车硬卧标准折算）。</t>
  </si>
  <si>
    <t>1.报到地点：入住酒店（具体地点另行通知）
2.报到时请携带身份证、学生证
3.参加夏令营的学生必须严格遵守相关规定，按照活动安排统一行动，严谨擅自离队、私自行动，活动结束后应及时返程
4.如有变化，请提前告知</t>
  </si>
  <si>
    <t>2023年6月12日8:00-6月25日14:00</t>
  </si>
  <si>
    <t>1.山东大学全国优秀大学生暑期夏令营属于非盈利性质的文化交流活动，不收取任何费用。基础医学院不承担参加者活动期间所产生的任何法律和经济责任。
2.夏令营参加者应自觉遵守夏令营期间的各项规定和要求，遵从工作人员的统一安排，不得从事与夏令营无关的任何活动。</t>
  </si>
  <si>
    <t>国家蛋白质科学中心（凤凰中心）</t>
  </si>
  <si>
    <t>成绩优秀，拟获得推荐免试资格这优先</t>
  </si>
  <si>
    <t>同等条件下通过英语六级考试或者新TOEFL≥90或者IELTS≥6.0者优先</t>
  </si>
  <si>
    <t>截止时间为2023年7月2日</t>
  </si>
  <si>
    <t>2023年7月9日-13日</t>
  </si>
  <si>
    <t>（1）《2023年优秀青年学生夏令营申请表》（附件）；
（2）所在学校教务处盖章的成绩单扫描件；
（3）大学英语四、六级证书或其他英语能力证明、获奖证书扫描件及其他科研成果证明材料</t>
  </si>
  <si>
    <t>暑期夏令营期间由凤凰中心安排免费食宿，并报销往返路费(火车硬座/高铁二等座)。</t>
  </si>
  <si>
    <t>康复医学院</t>
  </si>
  <si>
    <t>成绩优秀；本科阶段总成绩排名在该校同年级本专业前15％之内（985、211、双一流院校和部委省共建高校可排名在30%以内）或平均成绩80分以上（GPA3.0以上）</t>
  </si>
  <si>
    <t>英语水平优良，具有大学英语六级证书（425分以上）</t>
  </si>
  <si>
    <t>2023年6月18日-25日</t>
  </si>
  <si>
    <t>.教育部学籍在线验证报告：登陆“学信网”在“在线认证”一栏申请办理教育部学籍在线验证报告；
2.身份证：本人身份证正反面；
3.本科阶段成绩单 (学校教务部门或院系盖章)；
4.本科阶段本专业排名证明(学校教务部门或院系盖章)；
5.英语水平证明：CET-4/CET-6成绩单；
6.其他证明材料：包括各类获奖证书复印件、代表性学术论文、出版物或原创性工作成果等；
7.个人简历：简要简历，A4纸1页以内。
8.南方医科大学康复医学院2023年全国优秀大学生夏令营申请表签字盖章扫描版。</t>
  </si>
  <si>
    <t>非广州本地学校学生将由我院统一安排住宿，交通费及伙食费自理。</t>
  </si>
  <si>
    <t>优秀营员如获得推免资格并申请我院免试研究生，学院根据招生规模按夏令营综合表现依次录取，额满为止。</t>
  </si>
  <si>
    <t>2023年6月20日～6月30日</t>
  </si>
  <si>
    <t>2023年7月8日～7月10日</t>
  </si>
  <si>
    <t>1、大学本科前三年所修课程成绩单；
2、国家英语四、六级及其他英语等级考试证书；
3、大学期间的获奖证书；
4、学生证、身份证；
5、其他能体现申请者素质能力的材料。</t>
  </si>
  <si>
    <t>本次夏令营活动不收取任何费用，医学部为参营学员提供午餐、晚餐，其他费用学员自理。</t>
  </si>
  <si>
    <t>在学期间学习成绩优秀，本科总成绩年级排名前 30%</t>
  </si>
  <si>
    <t>全国大学英语六级水平(成绩 425 分以上)</t>
  </si>
  <si>
    <t>截止时间为2023年6月26日</t>
  </si>
  <si>
    <t>2023年7月6日</t>
  </si>
  <si>
    <t>申请材料要求(各项材料纸质版、电子版各一份) ，电子版报名时提交、纸质 版报到时审查。
1) 教育部学籍在线验证报告：登陆“学信网”在“在线认证”一栏申请办理教育 部学籍在线验证报告(电子版)，下载电子版，将生成的验证报告电子文件，命 名为：“1. 学籍信息”；
2) 照片：本人近期一寸白底彩色身份证版式照片。电子版：照片请使用JPG 格式电子文件，命名为：“2.照片”；
3) 本科阶段成绩单及本专业排名证明(学校教务部门或院系盖章)。电子 版：各生成 PDF 格式的电子文件，命名为：“3. 1 成绩单， 3.2 专业排名”；
4) 英语水平证明：生成 PDF 格式的电子文件，命名为：“4.英语水平”；
5) 其他证明材料：包括各类获奖证书复印件；体现自身学术水平的代表性 学术论文、出版物或原创性工作成果等)。电子版：生成 PDF 格式的电子文件， 如材料较多请建立文件夹，命名为：“5.其他证明材料”；
6) 自荐信：格式不限，可包括简历、为何报考相关学院及专业、未来学习 研究计划等。电子版：生成 PDF 或 Word 格式的电子文件，命名为“6. 自荐 信”。
7)用英文去描述一个您印象最深的实验。生成 PDF 或 Word 格式的电子 文件，命名为“7.课题设计”。
8) 专家推荐书：副教授及以上专家推荐书 1 份(附件 1)。电子版生成一份PDF 格式的电子文件， 命名为：“8.推荐书”。</t>
  </si>
  <si>
    <t>学院将从最终进入夏令营结营考核的营员中，根据考核成绩选拔优秀者授予 “优秀营员”称号。优秀营员可在 2024 年首都医科大学硕士研究生招生录取时享 受以下优惠政策：
如获得就读学校 2024 年推免资格， 并登陆“教育部推免系统”填报与夏令营 结营考核专业相同的志愿(学院、专业)， 将由学院优先向学校推荐录取。
其余营员授予“合格营员”称号， 同等条件下优先进入我校 2024 年推免生预选拔复试，同等条件下优先录取。
如有“优秀营员”放弃资格，“合格营员”可依次递补为“优秀营员”。</t>
  </si>
  <si>
    <t xml:space="preserve">
7月9日：营员报到
7月10日：开营式、学院介绍、专题报告、参观院史馆、市内参观
7月11日-12日上午：以招生方向为单位开展科研实训、交流活动、夏令营考核
7月12日下午：退房、办理退营手续</t>
  </si>
  <si>
    <t>截止时间为2023年6月28日24：00</t>
  </si>
  <si>
    <t>2023年7月9日-7月12日</t>
  </si>
  <si>
    <t>1、《上海交通大学基础医学院2023年全国优秀大学生夏令营报名登记表》（报名系统生成，本人签字）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5、两位副高（含）以上职称的专家推荐信（请使用报名系统中的模板）
6、其他证明材料扫描件（国家英语四、六级等各类英语考试成绩单、获奖或资格证书、论文著作等）各1份
注：身份证和学生证须准备原件用于核验；所有材料的电子版/扫描件请按要求上传报名系统；夏令营入围同学请准备全套纸质版材料，入营后提交给各系招生秘书。</t>
  </si>
  <si>
    <t>上海交通大学医学院各培养单位2024年夏令营选拔活动已相继开展，欢迎积极参与！
各培养单位夏令营活动办法将在医学院研究生招生网（https://www.shsmu.edu.cn/yjsy/info/1058/6456.htm）陆续发布</t>
  </si>
  <si>
    <t>肿瘤医院宣讲会</t>
  </si>
  <si>
    <t>院史介绍、招生政策解读、教研室介绍、答疑</t>
  </si>
  <si>
    <t>2023年6月19日开始报名</t>
  </si>
  <si>
    <t>2023年6月21日</t>
  </si>
  <si>
    <t>国家热带病研究中心全球健康学院</t>
  </si>
  <si>
    <t>英语水平CET6≥500、TOEFL≥94或IELTS≥6.5</t>
  </si>
  <si>
    <t>开营式、全球视野与全健康论坛、参观交流、朋辈分享交流活动、评审考核、 结营仪式</t>
  </si>
  <si>
    <t>2023年7月15日-7月17日</t>
  </si>
  <si>
    <t>1) 《上海交通大学医学院研究生招生夏令营申请表》（报名系统生成）；
2) 身份证、学生证复印件各1份；
3) 本科期间成绩单复印件1份；
4) 其他证明材料复印件（如发表的学术论文、获奖或资格证书、国家英语四、六级等各类英语考试成绩单）各1份；
5) 2位所在学院副教授（含）以上职称的专家推荐信（见附件一模板）</t>
  </si>
  <si>
    <t>全球健康学院各系根据夏令营期间学生的表现，给每位学生一个评定。优秀者，如获得所在学校推荐免试直升研究生资格，且符合医学院接收优秀本科毕业生推荐免试攻读博士学位研究生招生要求，结合本人志愿和夏令营活动情况，可直接录取或直接获得参加我院推荐免试研究生的复试资格。</t>
  </si>
  <si>
    <t>附属南京医院（南京市第二医院）</t>
  </si>
  <si>
    <t>第一天：报到
第二天：
上午：开营仪式：观看医院宣传片，了解医院概况；参观钟阜院区重点科室、临床技能中心。
下午：重点学科（专科）介绍；导师见面会；师兄师姐交流会。
第三天：
上午：参观汤山院区重点科室、临床科研中心、院史馆、廉政文化墙、麻风病防治科普馆等。
下午：离开医院</t>
  </si>
  <si>
    <t>2023年6月5日-7月21日</t>
  </si>
  <si>
    <t>2023年8月</t>
  </si>
  <si>
    <t>1.个人简历
2.大学期间成绩单和专业排名
3.英语四、六级英语成绩证明或其他英语水平证明复印件
4.其他材料（如：发表论文、专利、获奖证书复印件等）</t>
  </si>
  <si>
    <t xml:space="preserve"> CET6≥425 （TOEFL≥90或IELTS≥6.0）</t>
  </si>
  <si>
    <t>2023年6月20日-7月16日</t>
  </si>
  <si>
    <t>医院将为获得“正式参营资格”的非上海生源学生提供住宿（上海生源原则上不提供），并报销本科就读高校至上海的往返火车票（原则上按照动车二等座标准）。详情将在审核后通过邮件告知。</t>
  </si>
  <si>
    <t>2023年6月21日-07月17日00：00</t>
  </si>
  <si>
    <t>2023年7月24日-25日</t>
  </si>
  <si>
    <t>（1）《上海交通大学医学院研究生招生夏令营申请表》《上海精准医学研究院暑期研究生招生申请表》各一份；
（2）身份证、学生证复印件各1份，核验原件；
（3）本科成绩单1份（需加盖教务处公章）；
（4）其他证明材料复印件（如发表的学术论文、获奖或资格证书、国家英语六级成绩单等）各1份；
（5）2位所在学院副教授（含）以上职称的专家推荐信（仅报考直博申请者），原件。</t>
  </si>
  <si>
    <t>未获得本科学校推免资格的学生，若参加2024年全国研究生统一入学考试，初试成绩达到医学院复试分数线，同等条件下可获得优先录取资格。</t>
  </si>
  <si>
    <t>上海交通大学在2024年继续面向直博生实施博士生“致远荣誉计划”，旨在培养一批具有宽阔视野、科学精神、创新能力与社会责任感的未来科学和工程技术领军人才，推动博士生创新培养体系建设。学院将推荐优秀学生申报“致远荣誉计划”，后续资料提交时间及提交方式请随时关注：招生首页-上海交通大学医学院研究生院网站https://www.shsmu.edu.cn/yjsy/zsgz1/zssy.htm，有意向的同学可参考2023年的通知提前准备。</t>
  </si>
  <si>
    <t>精神病与精神卫生学专业</t>
  </si>
  <si>
    <t>CET6≥425或TOFEL≥90或IELTS≥6.0</t>
  </si>
  <si>
    <t>组织参观、临床体验、学术团队宣讲、笔试和面试等活动</t>
  </si>
  <si>
    <t>2023年6月22日10:00起至2023年7月4日22:00</t>
  </si>
  <si>
    <t>2023年7月底</t>
  </si>
  <si>
    <t>1、对于全程完整参加优秀生源选拔夏令营活动的参营者，本学科将为其提供夏令营活动期间在本中心的全部伙食和指定地点的住宿费用、外地院校的学生往返上海的路费（无论何种交通工具，均按动车二等座标准。须提交票根进行报销），以及在营期间由我中心组织的集体课余活动费用。
2、不符合“申请资格”或因提供虚假、不实材料导致未通过“正式参营资格”审核的申请人，本学科不承担申请人办理“正式参营资格审查”的往返路费、食宿等其他费用，申请人须自理。</t>
  </si>
  <si>
    <t>医学院2024年研究生（含直博）优秀生源选拔优惠政策分设A、B、C、D、E五等标准：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
未获得推免资格的A、B、C等学生自动降为D等。</t>
  </si>
  <si>
    <t>7月3日营员线上签到及材料核验
7月4日
上午：开营仪式、学院及系科介绍
下午：公共卫生学院夏令营学术论坛
7月5日营员分组汇报
7月6日夏令营考核（含专业英语、专业知识考核等）
7月7日结营仪式</t>
  </si>
  <si>
    <t>2023年6月16日10:00起至2023年6月30日</t>
  </si>
  <si>
    <t>2023年7月3日-7日</t>
  </si>
  <si>
    <t>（1）《上海交通大学公共卫生学院 2024 年全国优秀大学生招生夏令营报名登记表》（报名系统生成）；
（2）身份证、学生证扫描件各1份；
（3）本科期间成绩单扫描件1份（教务处盖章）；
（4）截至目前，成绩在所学本科专业和年级的排名证明，以及已获绩点/绩点总分的证明（专业排名/排名总人数；年级排名/排名总人数；已获绩点/绩点总分）（教务处盖章）；
（5）两位所在学院副教授及以上职称的专家推荐信（模板见附件）；
（6）其他证明材料扫描件（获奖或资格证书、国家英语四、六级等各类英语考试成绩单、论文著作等）各1份。</t>
  </si>
  <si>
    <t>公共卫生学院将根据营员综合素质、科研能力和学术潜质等进行考核，考核评审结束后给予相应的考核等级（经医学院研究生院统一公示后生效），具体如下：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E等，不适合本学科，建议申请其他学科</t>
  </si>
  <si>
    <t>华南师范大学</t>
  </si>
  <si>
    <t xml:space="preserve">2023年7月10日
上午：营员报道
下午：校园认知之旅（参观校园及实验室）
晚上：破冰活动
2023年7月11日
上午：开营仪式/集体合影/项目介绍会/学术讲座
下午：学术讲座
晚上：学院交流会
2023年7月12日
下午：学术讲座
下午：实践活动
</t>
  </si>
  <si>
    <t>2023年6月25日-7月5日</t>
  </si>
  <si>
    <t>1．符合夏令营申报条件的学生，填写报名表（见附件一）；
2．本科阶段成绩单（需加盖所在院系或学校教务处公章）；
3．《个人简历》（PDF或WORD文档），包必须涵盖个人基本信息、学校、专业、英文能力、年级排名（示例：1/100）、科研和获奖情况，社会工作等，语言不限；
4．其他证明材料（如：能体现自身能力的获奖证书、英语水平证明包括国家英语四、六级考试成绩或TOEFL/GRE/GMAT/雅思成绩、或能体现自身学术水平的代表性学术论文和成果的复印件等）。</t>
  </si>
  <si>
    <t>夏令营线下举办。学院将为异地学校营员提供夏令营期间在广州的免费食宿（双人间），并给予部分交通补贴，广州地区高校学生不提供住宿和交通补贴。
餐饮：发放校内食堂餐券；
交通费：每人报销上限为500元的交通费，仅限汽车票，火车硬座票、硬卧票，高铁、动车二等座及以下的车票或经济舱机票【要求：需提供车票(如乘坐铁道交通)或带有本人名字的客票行程单；车票时间范围：夏令营活动前后3天的合理行程。如无法提供上述报销票据，则无法报销】。</t>
  </si>
  <si>
    <t xml:space="preserve">申请者的入选资格由我院夏令营组委会对本人的材料进行审核，确定入选名单。我院的录取通知将提前通过电子邮件或短信方式告知到申请者本人，申请人须在规定时间内确认是否参加，逾期未确认视为放弃本次夏令营资格。届时请留意通知消息，未接到入选通知的同学皆为未入选者，不再另行通知。 </t>
  </si>
  <si>
    <t>CET6≥425（TOEFL≥90或IELTS≥6.0）</t>
  </si>
  <si>
    <t>7月10日
下午营员报到、材料审核
7月11日
上午:开营仪式、学院及名师讲座、朋辈分享
下午:医学院参观院史馆、图书馆等
7月12日
附属医院参观、学术交流等
7月13日
上午:夏令营考核及结营仪式下午:退房、办理退营手续</t>
  </si>
  <si>
    <t>2023年7月6日中午12:00前</t>
  </si>
  <si>
    <t>2023年7月10日至7月13日</t>
  </si>
  <si>
    <t>1、《上海交通大学护理学院2024年全国优秀大学生招生夏令营报名登记表》（报名系统生成）；
2、身份证扫描件、学生证扫描件（需包含封面、个人信息页、注册页）各1份；
3、本科期间成绩单扫描件1份（教务处盖章）；
4、截至目前，成绩在所学本科专业和年级的排名证明，以及已获绩点/绩点总分的证明（专业排名/排名总人数；年级排名/排名总人数；已获绩点/绩点总分）（教务处盖章）；
5、两位所在学院副教授及以上职称的专家推荐信（模板见附件1）；
6、其他证明材料扫描件（获奖或资格证书、国家英语四、六级等各类英语考试成绩单、论文著作等）各1份。
7、个人简历</t>
  </si>
  <si>
    <t>护理学院将根据营员综合素质、科研能力和学术潜质等进行考核，考核评审结束后给予相应的考核等级（经医学院研究生院统一公示后生效），具体如下：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E等，不适合本学科，建议申请其他学科。</t>
  </si>
  <si>
    <t xml:space="preserve">1、申请人按要求参加我校夏令营活动后，如欲申请我校2024年推免生，必须通过教育部中国研究生招生信息网“全国推荐优秀应届本科毕业生免试攻读研究生信息公开暨管理服务系统”（简称全国推免服务系统）注册并填报志愿，根据实际进程完成接收、确认复试、待录取通知等相应程序。届时请申请人关注上海交通大学医学院研究生院招生信息网和中国研究生招生信息网的通知；
2、请务必确保填报信息的真实性及准确性。如提供虚假材料，一经发现：
（1）立即取消申请人的入营资格；
（2）若已获得入营资格，则申请人将被终止参营活动；
（3）若夏令营活动已结束，则取消已获得的选拔结果；
（4）拒绝接受申请人之后所有报考本学科的申请。
3、本办法由上海交通大学护理学院负责解释。其他与本办法不一致的，以《上海交通大学招收优秀应届本科毕业生推免攻读研究生实施办法》为准。
</t>
  </si>
  <si>
    <t>1.8月2日，下午，营员报到
2.8月3日，08:30-10:00，开营仪式（医院介绍，医学科
学家专题、医学教育和招生政策宣讲）
3.8月3日，10:00-12:00，学科介绍、科室参观、导师见
面与交流
4.8月3日，下午，复试考 试（具体时间待后通知）
5.8月4日，上午，复试考试（具体时间待后通知）/医院参
观（自选），离营</t>
  </si>
  <si>
    <t>截止时间为2023年7月6日09:00</t>
  </si>
  <si>
    <t>2023年8月2日-8月4日</t>
  </si>
  <si>
    <t>250-300名</t>
  </si>
  <si>
    <t>①个人简历②身份证③学生证④本科阶段成绩
单⑤发表论文、获奖证书⑥公开发表第一作者论文、获奖证书
⑦其他辅助材料</t>
  </si>
  <si>
    <t>对成功推免到我院的校外推免生，报销复令营活动期间
学校所在城市至广州的往返火车票和一定的住宿补助，报销标
准参照学校相关规定执行（火车硬卧或动车二等座标准），金
额不超过1000元/人，需报销者请妥善保管票据，预计在10
月会通知邮寄至我院。</t>
  </si>
  <si>
    <t>参加复令营复试考核合格的营员，如获得所在本科院校
2024年推荐免试资格，在全国推免服务系统（预计9月下
旬）开放后及时响应填报我院，且推免填报专业与夏令营拟录
取专业一致者，可被我院直接录取为推荐免试研究生。</t>
  </si>
  <si>
    <t>学习成绩优秀，总成绩排名原则上在所读学校同年级本专业前30%之内者(在其它方面有突出表现的学生除外)，已经获得或即将获得所在高校推荐免试生资格者优先。</t>
  </si>
  <si>
    <t>2023年7月10日－7月13日</t>
  </si>
  <si>
    <t>（1）个人简历
（2）身份证扫描件（正反面复印到一页纸上扫描）
（3）《教育部学籍在线验证报告》，办理方式详见中国高等教育学生信息网http://www.chsi.com.cn/xlcx/bgys.jsp。
（4）本科阶段成绩单、成绩总评排名的证明材料扫描件（加盖教务部门公章）
（5）英语水平证明材料扫描件1份（大学英语四六级考试成绩、TOEFL、GRE成绩等体现自身英语水平的证明材料）；
（6）负责或参与的科研项目扫描件（如有可提供）
（7）发表文章扫描件（如有可提供）
（8）其他获奖证明等（如有可提供）</t>
  </si>
  <si>
    <t>本科学习成绩优秀，具有较强的专业知识和较好的科研潜质</t>
  </si>
  <si>
    <t>7月19日（周三）上午：营员报到；
7月19日（周三）下午：开营仪式，医院研究生教育情况介绍，参观医院；
7月20日（周四）全天：参加学术讲座；
7月21日（周五）上午：综合能力面试；
7月21日（周五）下午：结营仪式；</t>
  </si>
  <si>
    <t>2023年7月19日-21日</t>
  </si>
  <si>
    <t>本次夏令营不收取任何费用，免费为学员提供食宿；
本单位为异地高校学生补助往返交通费用，火车票按我校规定的学生交通标准报销（普通列车硬座/硬卧车票），超出部分由学生自己负担；</t>
  </si>
  <si>
    <t>参加本次夏令营活动将作为我院2024年硕士研究生招生优先录取依据（含接收推荐免试研究生）</t>
  </si>
  <si>
    <t>基础医学院（泰康医学院）</t>
  </si>
  <si>
    <t>学习成绩优异，预计可获得所在学校推免资格</t>
  </si>
  <si>
    <t>优秀营员选拔考核分背景评估、综合面试两个部分进行。
1、背景评估：根据营员提交的申请材料进行评估，包括：营员的学习经历、学习成绩、科研能力、外语水平等情况。
2、综合面试：包括心理素质测试、专业英语测试及专业面试，主要测试营员心理素质、专业英语能力、掌握本专业系统知识情况、攻读硕士学位的目的与科研计划等。重在考查营员综合运用所学知识的能力、科研创新能力（专业能力倾向）以及对本学科前沿领域及最新研究动态的掌握情况等。</t>
  </si>
  <si>
    <t>2023年7月6-7日</t>
  </si>
  <si>
    <t>1.“武汉大学泰康医学院（基础医学院）2023年优秀大学生夏令营申请表”（以下简称“申请表”，附件1），申请表须有本人所在学校院系推荐意见和教务部门盖章；
2.“武汉大学泰康医学院（基础医学院）2023年优秀大学生夏令营个人陈述”（以下简称“个人陈述”，附件2）；
3.武汉大学泰康医学院（基础医学院）2023年优秀大学生夏令营诚信承诺书（附件3）；
4.其它证明材料：
（1）本科阶段成绩单；
（2）成绩排名证明（如不能提供，请所在学校院系或教务部门出具不能提供成绩排名的证明）；
（3）国家英语四、六级考试成绩或TOEFL/GRE/GMAT/IELTS成绩等体现自身外语水平的证明；
（4）体现自身学术水平的代表性学术论文、专利、出版物或原创性成果，各类获奖竞赛证书等证明。
材料要求：
（1）本科阶段历年成绩单：须加盖教务处或院系公章，JPG、PDF或ZIP格式，文件大小不超过1M；
（2）外语水平证明：JPG、PDF或ZIP格式，文件大小不超过1M；
（3）获奖证书：JPG、PDF或ZIP格式，可选择相对重要证书，文件大小不超过1M；
（4）学术科研成果：JPG、PDF或ZIP格式，可选择代表作，文件大小不超过2M；
（5）近期正面免冠彩色证件照片，背景为白色或浅色，JPG格式，150×200像素，大小100K以内；</t>
  </si>
  <si>
    <t>取得所在学校“推免资格”的优秀营员，在规定时间内进入教育部推免系统报名我院的推免生，且服从专业调剂，可优先接收为我院2024年推免硕士生（以学院推免工作细则为准）。</t>
  </si>
  <si>
    <t>我院将开展校外招生宣传工作。为方便考生，在进行校外招生宣传的同时，对符合夏令营营员条件的优秀生源，可现场进行选拔考核，合格者，将获得优秀营员。拟获得优秀营员者须经“学院资格审查、研究生院审核、优秀营员公示”后30日内，登录“武汉大学研究生招生服务系统”录入信息，由系统记载、留存，否则，视为自动放弃优秀营员资格。</t>
  </si>
  <si>
    <t>在校前五或七个学期学业成绩排名在专业或班级前 20%(所有专业课成绩及格)</t>
  </si>
  <si>
    <t>203年6月16日-26日</t>
  </si>
  <si>
    <t>2023年7月10-11日</t>
  </si>
  <si>
    <t>1. 优秀大学生暑期夏令营申请表 (见附件) ；
2. 身份证正反面扫描件；
3. 本科前五个学期成绩单及综合成绩排名证明 (须加盖学校教务部门公章) ；
4. 外语水平证明 (大学英语四级、六级考试，托福，雅思，PETS 等证书或成绩单)
5. 有关学术科研成果 (发表论文、专利或参与科研项目情况等，论文提供封面及首页， 没有可不提供) ；
6. 各类获奖、资格证书等体现自身学习和工作能力的材料 (没有可不提供) 。</t>
  </si>
  <si>
    <t>获得优秀营员资格者，并取得所在学校推免资格的优秀营员，可直接接收为郑州大 学护理与健康学院2023年推荐免试硕士研究生。</t>
  </si>
  <si>
    <t>医学技术学院</t>
  </si>
  <si>
    <t>夏令营开幕仪式、学院及专业介绍；各专业分组开展组会、讲课、交流汇报等；夏令营考核（含专业英语、专业知识考核等）及结营仪式等。具体时间、地点及举办形式将另行通知。</t>
  </si>
  <si>
    <t>2023年6月26日-7月5日</t>
  </si>
  <si>
    <t>1）《上海交通大学医学院医学技术学院2024年全国优秀大学生招生夏令营报名登记表》（报名系统生成）；
（2）身份证、学生证扫描件各1份；
（3）本科期间成绩单扫描件1份（教务处盖章）；
（4）截至目前，成绩在所学本科专业同年级和同班级的排名证明（年级排名+年级总人数；班级排名+班级总人数）（教务处盖章）；
（5）两位所在学院副教授及以上职称的专家推荐信（模板见附件）；
（6）其他证明材料扫描件（获奖或资格证书、国家英语四、六级等各类英语考试成绩单、论文著作等）各1份。</t>
  </si>
  <si>
    <t>医学技术学院将根据营员综合素质、科研能力和学术潜质等进行考核，考核评审结束后给予相应的考核等级（经医学院研究生院统一公示后生效），具体如下：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E等，不适合本学科，建议申请其他学科。</t>
  </si>
  <si>
    <t>北京脑重大疾病研究院</t>
  </si>
  <si>
    <t>全国大学英语六级水平(成绩425分以上)</t>
  </si>
  <si>
    <t>1．主体活动：学院将于7月6日举办线上宣讲，活动包括介绍脑院基本情况、招生导师介绍研究工作、与招生导师和在读研究生交流。
2．综合活动：各招生专业在主体活动结束后，面向报考本专业的营员开展学术讲座、学术沙龙、参与课题组组会等活动，具体时间和参与方式待后续通知。
3．结营考核：学院将采取不同方式对学生进行全面考核，并根据考核成绩评出“优秀营员”、及“合格营员”。具体考核时间、考核内容、考核方式、评选办法等以学院后续通知为准。</t>
  </si>
  <si>
    <t>2023年6月30日24:00前</t>
  </si>
  <si>
    <t>1．教育部学籍在线验证报告：登陆“学信网”在“在线认证”一栏申请办理教育部学籍在线验证报告(电子版)，下载并打印。生成PDF格式文件，命名为“1.学籍信息”；
2．照片：本人近期一寸白底彩色身份证版式照片。使用JPG格式文件，命名为“2.照片”；
3．专家推荐书：副教授及以上专家推荐书1份(附件1)。将原件生成PDF格式文件，命名为“3.推荐书”；
4．本科阶段成绩单及本专业排名证明(学校教务部门或院系盖章)。将原件生成PDF格式文件，命名为“4.1成绩单，4.2专业排名”；
5．英语水平证明：生成PDF格式文件，命名为“5.英语水平”；
6．其他证明材料：包括各类获奖证书复印件，如体现自身学术水平的代表性学术论文、出版物或原创性工作成果等。将原件生成PDF格式文件，如材料较多请建立文件夹，命名为“6.其他证明材料”。
7．自荐信：应包括1页个人简历和不超过2页的自述。自述内容
可包括为何报考相关学院及专业、未来学习研究计划等。生成PDF格式文件，命名为“7.自荐信”。</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</si>
  <si>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
如有“优秀营员”放弃资格，“合格营员”可依次递补为“优秀营员”。</t>
  </si>
  <si>
    <t>北京安定医院</t>
  </si>
  <si>
    <t>英语水平良好，达到全国大学英语六级水平(成绩425分以上)</t>
  </si>
  <si>
    <t>1.线下活动：7月中下旬，具体时间以后续通知安排为准。活动内容：学校招生政策讲解及答疑、师生面对面、参观交流、营员自我展示、沉浸式体验我学院临床与科研工作等。
2.线上活动：8月份，具体时间及内容以后续通知安排为准。活动内容：为加强营员对医院临床、教学、科研的深入了解，将组织丰富多彩的线上活动，包括学术沙龙、导师组会、学长深入交流等。
3.结营考核：学院将采取不同方式对学生进行全面考核，并根据考核成绩评出“优秀营员”、及“合格营员”。具体考核时间、考核内容、考核方式、评选办法等以学院后续通知为准。</t>
  </si>
  <si>
    <t>2023年7月5日24:00前</t>
  </si>
  <si>
    <t>2023年7月中下旬-8月</t>
  </si>
  <si>
    <t>20-25名</t>
  </si>
  <si>
    <t>1.教育部学籍在线验证报告：登陆“学信网”在“在线认证”一栏申请办理《教育部学籍在线验证报告(电子版)》，下载并打印。电子版：将生成的验证报告电子文件，命名为：“1.学籍信息-姓名”；
2.照片：本人近期一寸白底彩色身份证版式照片。电子版：照片请使用JPG格式电子文件，命名为：“2.照片”；
3.专家推荐书：副教授及以上专家推荐书1份。电子版生成一份PDF格式的电子文件，命名为：“3.推荐书-姓名”；
4.本科阶段成绩单及本专业排名证明(学校教务部门或院系盖章)。电子版：各生成PDF格式的电子文件，命名为：“4.1成绩单-姓名，4.2专业排名-姓名”；
5.英语水平证明：生成PDF格式的电子文件，命名为：“5.英语水平-姓名”；
6.其他证明材料：包括各类获奖证书复印件；体现自身学术水平的代表性学术论文、出版物或原创性工作成果等)。电子版：生成PDF格式的电子文件，如材料较多请建立文件夹，命名为：“6.其他证明材料-姓名”；
7.自荐信：格式不限，可包括简历、为何报考相关学院及专业、未来学习研究计划等。电子版：生成PDF或Word格式的电子文件，命名为“7.自荐信-姓名-联系方式”。
申请材料如有虚假，一经发现将取消其参加资格并记录在案。</t>
  </si>
  <si>
    <t>1.本次夏令营活动不收取任何费用；
2.为入选营员免费提供一日三餐及住宿，为京外学生提供交通补贴。</t>
  </si>
  <si>
    <t>学院将从最终进入夏令营结营考核的营员中，根据考核成绩选拔优秀者授予“优秀营员”称号。优秀营员可在2024年首都医科大学硕士研究生招生录取时享受以下优惠政策：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其余营员授予“合格营员”称号，同等条件下优先进入我校2024年推免生预选拔复试，同等条件下优先录取。如有“优秀营员”放弃资格，“合格营员”可依次递补为“优秀营员”。</t>
  </si>
  <si>
    <t>.线下主体活动
深入了解我所培养特色与学科优势，解读招生政策，感受我所优秀的文化氛围与先进的学术水平。设置开营仪式、专家讲座、师生零距离对话、学长学姐及历届优秀营员交流分享、参观实验室、手术展示、前沿热点科研项目介绍等精彩课程。全程参与的营员还将获得神外所颁发的精美文创礼品一份。
.线上综合活动
夏令营主体活动结束后，将持续组织营员参加学术讲座、学术沙龙、导师组会、学长学姐交流及学校招生政策讲解和答疑活动。具体时间和内容请以后续通知安排为准。
.结营考核
学院将采取不同方式对学生进行全面考核，并根据考核成绩评出“优秀营员”及“合格营员”。具体考核时间、考核内容、考核方式、评选办法等以学院后续通知为准。优秀营员将持续获得校院丰富学术活动的参与机会。</t>
  </si>
  <si>
    <t>2023年7月2日中午12:00前</t>
  </si>
  <si>
    <t>15-20名</t>
  </si>
  <si>
    <t>1．教育部学籍在线验证报告：登陆“学信网”在“在线认证”一栏申请办理《教育部学籍在线验证报告(电子版)》，下载并打印。电子版：将生成的验证报告电子文件命名为：“1.学籍信息-姓名”；
2．照片：本人近期一寸白底彩色身份证版式照片。电子版：照片请使用JPG格式电子文件，命名为：“2.照片-姓名-联系方式”；
3．本科阶段成绩单及本专业排名证明(学校教务部门或院系盖章)。电子版：各生成PDF格式的电子文件，命名为：“3.1成绩单-姓名，3.2专业排名-姓名”；
4．证明材料：要求将英语水平证书、获奖证书等所有证明材料，扫描为一个PDF文件，命名为：“4.证明材料-姓名”。
5．个人简历和自荐信：要求A4纸一页，包含基本信息，联系方式，本科院校，专业，主要课程，成绩体现，英语成绩，个人特长等。电子版：PDF格式，命名为“5.个人简历-姓名-联系方式”。
6.个人成果(若有)：发表的科研论文、出版的出版物或原创性工作成果等。科研论文请制作目录表格，包括文章名、作者、标注第几作者、署名单位，期刊分区和影响因子等。电子版：目录Excel格式、其他PDF格式，请单独建立文件夹，命名为：“6.个人成果-姓名”。</t>
  </si>
  <si>
    <t>入营营员住宿自理，我所提供午餐，并给予适当食宿和交通补贴。</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</si>
  <si>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如获得就读学校2024年推免资格，并登陆“教育部推免系统”填报与夏令营结营考核专业相同的志愿(学院、专业、研究方向一致)，将由学院优先向学校推荐录取。同时提前参与到学院丰富的学术活动中。
其余营员授予“合格营员”称号，同等条件下优先进入我校2024年推免生预选拔复试，同等条件下优先录取。</t>
  </si>
  <si>
    <t>1．参加暑期夏令营的学生必须遵守学院相关规定，按照统一的安排参加各项活动，并注意安全，无故缺席者将被取消营员资格；
2.营员在夏令营期间发生的医疗费用及因个人行为导致的意外事故，由营员本人或其派出单位承担。</t>
  </si>
  <si>
    <t xml:space="preserve">英语水平良好，全国大学英语六级水平(成绩 425 分以上) </t>
  </si>
  <si>
    <t>举办期间将安排学院介绍、 学 科发展和人才培养报告、招录工作宣讲、现场参观和实地观摩等活动， 并为营员提供展示自我、师生交流的机会。</t>
  </si>
  <si>
    <t>2023 年 6 月 26 日 8:00 前</t>
  </si>
  <si>
    <t>① 个人简历(含本人近期一寸照片，像素为 390*260，大小在 200k 以内；包括但不限于籍贯、生源地、教育经历、工作/实习经历、 技能专长、性格简介、兴趣爱好等) ；
② 教育部学籍在线验证报告：登陆“学信网”在“在线认证”一 栏申请办理教育部学籍在线验证报告；
③ 英语水平证明；
【能够体现自我能力的申请材料】
④ 本科阶段成绩单及本专业排名证明(学校教务部门或院系盖章)；
⑤ 其他证明材料：包括各类获奖证书、体现自身学术水平的代表 性学术论文、出版物或原创性工作成果等)。</t>
  </si>
  <si>
    <t>最终进入夏令营结营考核的营员，根据考核成绩选拔优秀者授予 “优秀营员”称号，其余营员为“合格营员”。
1.优秀营员如获得就读学校 2024 年推免资格， 并登陆“教育部推 免系统”填报与夏令营结营考核专业相同的志愿(学院、专业、研究 方向一致)，将由学院优先向学校推荐录取；
2.优秀营员如未获得所在学校推免生资格者， 参加2024 年全国硕 士研究生统一考试并第一志愿报考我院各专业，进入复试环节后同等 条件下可优先录取；
3. 以上情况下如出现优秀营员放弃拟录取资格，可根据考核成绩 顺次递补合格营员。</t>
  </si>
  <si>
    <t>1．2023 年 7 月：学术分享、云参观、交流等 (更多精彩活动待后续通知)。
2．2023 年 8 月：学术活动、学校招生政策讲解及答疑等。
3．结营考核：学院将采取不同方式对学生进行全面考核， 并根据考核成绩评出“优秀营员”及“合格营员”。具体考核时间、评选办法等以学院后续通知为准。</t>
  </si>
  <si>
    <t>2023年6 月 26 日 24:00 前</t>
  </si>
  <si>
    <t>学院将从最终进入夏令营结营考核的营员中，根据考核成绩选拔优秀者授予  “优秀营员”称号。优秀营员可在 2024 年首都医科大学硕士研究生招生录取时享  受的优惠政策为：如获得就读学校 2024 年推免资格，并登陆“教育部推免系统” 填报与夏令营结营考核专业相同的志愿(学院、专业、研究方向一致)，将由学院  优先向学校推荐录取。
其余营员授予“合格营员”称号， 同等条件下优先进入我校 2024 年推免生预 选拔复试，同等条件下优先录取。
如有“优秀营员”放弃资格，“合格营员”可依次递补为“优秀营员”。</t>
  </si>
  <si>
    <t>7月9日 营员报到
7月10日 开营式、叁观等
7月11日-12日上午 夏令营考核
7月12日下午 退房、办理退营手续</t>
  </si>
  <si>
    <t>2023年6 月 28 日 24:00 前</t>
  </si>
  <si>
    <t>2023年7月9日-12日</t>
  </si>
  <si>
    <t>1、《上海交通大学基础医学院2023年全国优秀大学生夏令营报名登记表》（报名系统生成，本人签字）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5、两位副高（含）以上职称的专家推荐信（请使用报名系统中的模板）
6、其他证明材料扫描件（国家英语四、六级等各类英语考试成绩单、获奖或资格证书、论文著作等）各1份
注：身份证和学生证须准备原件用于核验；所有材料的电子版/扫描件请按要求上传报名系统；夏令营入围同学请准备全套纸质版材料，入营后提交。</t>
  </si>
  <si>
    <t>7月4日上午
学科介绍及专家讲座
参观学院
7月4日下午
参观附属医院（一）
7月5日上午
参观附属医院 (二)
7月5日下午
朋辈座谈
学科面试/交流
闭营仪式</t>
  </si>
  <si>
    <t>2023年6月29日前，每天8:00-18:00</t>
  </si>
  <si>
    <t>参加推免或全国统考并录取为我院2024级硕士研究生的营员，在报到入学后可获得交通补贴（标准：本科院校地处北京、天津、河北、山西、辽宁、吉林、黑龙江、上海、江苏、浙江、安徽、福建、江西、山东、河南、湖北、湖南、广东、重庆、四川、陕西等21省/市的营员500元/人；本科院校地处内蒙古、广西、海南、贵州、云南、西藏、甘肃、青海、宁夏、新疆等10省/区的营员600元/人)。</t>
  </si>
  <si>
    <t>我院将对营员进行综合考核，并根据营员申请材料、面试综合考核情况，选拔出优秀营员，颁发优秀营员证书。优秀营员若获得所在院校推荐免试资格，可根据本人志愿，直接录取为我校2024级推荐免试硕士研究生。</t>
  </si>
  <si>
    <t>第五临床学院（北京医院）</t>
  </si>
  <si>
    <t>在学期间成绩优秀，获得推免资格者优先</t>
  </si>
  <si>
    <t>英语水平良好，达到国家六级或相当水平，具备利用英语进行科研写作以及交流的能力</t>
  </si>
  <si>
    <t>2023年6月26日至7月5日</t>
  </si>
  <si>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7.专家推荐信2封（副高及以上职称相关专业专家分别推荐）；
8.声明。</t>
  </si>
  <si>
    <t>1.因报名同学较多，不提供电话确认。所提交的申请材料只适用于当次申请。
2.材料审核及夏令营入营资格审定：夏令营材料审核和夏令营入营资格审定工作由专门工作委员会负责。夏令营入营名单将在北京医院官网教学栏公布，未入选者，不另行通知。</t>
  </si>
  <si>
    <t>学习成绩优秀，本科阶段总成绩排名在所读学校同年级本专业前20%之内，能获得所在高校推荐免试生资格者优先</t>
  </si>
  <si>
    <r>
      <t>具有良好听、说、读、写的英语应用能力，达到国家英语六级</t>
    </r>
    <r>
      <rPr>
        <b/>
        <sz val="28"/>
        <color rgb="FF3E3E3E"/>
        <rFont val="Helvetica Neue"/>
        <family val="2"/>
      </rPr>
      <t>426分</t>
    </r>
    <r>
      <rPr>
        <sz val="28"/>
        <color rgb="FF3E3E3E"/>
        <rFont val="Helvetica Neue"/>
        <family val="2"/>
      </rPr>
      <t>以上或相当水平。</t>
    </r>
  </si>
  <si>
    <t>7月10肉 开营仪式及学校参观活动
7月11日 学院导师线上学术讲座
7月12日 师生交流及营员考核
7月13日 闭营仪式及优秀营员颁证</t>
  </si>
  <si>
    <t>2023年6月23日-28日 24:00</t>
  </si>
  <si>
    <t>2023年7月10日-7月13日</t>
  </si>
  <si>
    <t>线下60人，线上40人</t>
  </si>
  <si>
    <t xml:space="preserve">1. 点击链接填写问卷进行报名：
https://www.wjx.cn/vm/OWcfGhY.aspx#
2. 协和生策学院2023年夏令营申请表（二维码下载）
3. 个人陈述（包括但不限于兴趣特点、经历以及你选择协和生策学院的理由以及攻读研究生阶段的学习和研究计划等，1000字以内），需在最后手写签名（可下载后附模板）；
4. 本科阶段成绩单、截至报名时间的加权成绩及排名（加盖教务部门公章）；
5. 英语六级水平证书或相关英语成绩证明；
6. 其他证明材料（如发表论文、专利，各类获奖证书等）；
7. 专家推荐信2封，需副教授及以上职称专家亲笔签字；
8. 身份证及学生证复印件；
9.声明（可下载后附模板）。
</t>
  </si>
  <si>
    <t>1.本次夏令营活动不收取任何费用；
2.为所有京外营员提供参加入营仪式的交通补贴；
3.为京外优秀营员提供入京参加闭营颁证仪式的交通补贴。</t>
  </si>
  <si>
    <t>1.本次夏令营将通过考核评选出优秀营员，并为优秀营员颁发证书。
2.如获得推荐免试资格并申请我校推免研究生，在推免复试中同等条件下具有优先录取资格；
3.如进入全国研究生统一考试的复试阶段，在同等条件下具有优先录取资格。</t>
  </si>
  <si>
    <t>1.请报名营员务必在规定时间内认真准确填写并提交申请材料的所有内容，如因信息提供有误，由此导致的相关损失和责任由营员自行负责，本次活动的所有申请材料将作保密处理。
2.了解更多学院信息及导师信息，可通过以下链接进入学院官网及协和医学院“导师风采”主页查看：
学院官网：
https://shpm.pumc.edu.cn/index.htm
协和医学院“导师风采”主页：
http://pumc.teacher.360eol.com</t>
  </si>
  <si>
    <t>学院及学科介绍、个人学术能力考核与展示、与导师面对面交流、参观校园和实验室等</t>
  </si>
  <si>
    <t>2023年7月14日、15日</t>
  </si>
  <si>
    <t>（1）《吉林大学基础医学院2023年全国优秀大学生夏令营报名表》（系统生成）；
（2）本科成绩单和成绩排名，需加盖教务部门公章；
（3）其他证明材料—外语水平证明（英语四、六级证书等）、获奖证明材料、发表论文材料。</t>
  </si>
  <si>
    <t>1、我院将根据学生提交的本次夏令营活动申请材料及在本次夏令营期间的综合表现等评选优秀营员。
2、对于符合我校接收推荐免试硕士研究生相关要求，通过2024年推免生考核录取到我院的优秀营员，将获得第一学年学业奖学金。
3、对于通过2024年全国统一考试录取到我院的优秀营员，同等条件下优先获得第一学年学业奖学金。</t>
  </si>
  <si>
    <t>松江研究院</t>
  </si>
  <si>
    <t>7月16日 营员报到
7月17日 上午开营式、学院介绍、专题报告
7月17日 下午导师专题报告
7月18日上午参观实验室，与导师课题组互动
7月18日 下午参观松江周边人文和自然风貌
7月18日晚上冷餐会
7月19日上午集中笔试、面试
7月19日下午 退房、办理退营手续</t>
  </si>
  <si>
    <t>2023年7月5日12：00前</t>
  </si>
  <si>
    <t>2023年7月16日-19日</t>
  </si>
  <si>
    <t>1、《上海交通大学松江研究院2023年全国优秀大学生夏令营报名登记表》（报名系统生成，本人签字）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5、两位副高（含）以上职称的专家推荐信（请使用报名系统中的模板）
6、其他证明材料扫描件（国家英语四、六级等各类英语考试成绩单、获奖或资格证书、论文著作等）各1份</t>
  </si>
  <si>
    <t xml:space="preserve">基础医学院各学科方向根据营员综合素质、科研能力和学术潜质等进行考核，考核评审结束后给予相应的考核等第成绩（经医学院研究生院统一公示后生效），具体如下：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
</t>
  </si>
  <si>
    <t>本科前5学期课程成绩平均学分积（或学分绩点）专业排名前40%</t>
  </si>
  <si>
    <t>英语六级≥425分或有其他相当的英语考试（如雅思、托福、GRE等）的成绩的申请者优先考虑</t>
  </si>
  <si>
    <t>7月5日
14: 30-17: 00 报到(友谊校区毅字楼322室)
7月6日
8:30-9:00 开营仪式
9:00-10:00 学院、学科介绍
10:00-12:00 实验室参观/导师见面
14:30-17:00 学生考核</t>
  </si>
  <si>
    <t>6月26日——7月1日（下午17点截止）</t>
  </si>
  <si>
    <t>7月5日——7月6日</t>
  </si>
  <si>
    <t>1）《西北工业大学2023年全国优秀大学生暑期夏令营申请表》
（2）本科前三年成绩单、综合测评成绩单（加盖学校或院系教务部门公章）
（3）身份证、学生证、四六级证书扫描件。
（4）其他证明材料（已发表论文、获奖证书或其它考试证书的扫描件）</t>
  </si>
  <si>
    <t>夏令营活动期间，我院统一安排食宿。对于最终被我院推免录取的异地学生，报销往返动车二等硬座火车票费用（需上交往返票根）。</t>
  </si>
  <si>
    <t>1.考核优秀且获得所在院校2024年推免生资格的学员，报考我校可被我校直接录取为推荐免试研究生。考核良好且获得所在院校2024年推免生资格的学员，如报考我校，可在同等条件下优先录取。
2.考核优秀或良好但未获得所在院校2024年推免生资格的学员，如报考我校2024年硕士研究生且初试成绩达到报考学院报考专业的复试分数线，同等条件下优先录取，并优先向优秀导师推荐，申报我校各类研究生项目时优先。</t>
  </si>
  <si>
    <t>7月10 日：报到入营，举办开营仪式、学术报告
7月11~13日：各系室学科交流及面试
7月14日：闭幕、离营</t>
  </si>
  <si>
    <t xml:space="preserve">        1.中山大学2023年优秀大学生夏令营申请表（附件）。
        2.本科阶段成绩单及同年级总成绩排名（由教务部门或院系盖章）1份。
        3.学生证复印件。
        4.教育部学籍在线验证报告。
        5.二代居民身份证复印件2份，正反面复印在同一张A4纸内。
        6.其他相关证明材料：英语水平及获奖证书复印件等。</t>
  </si>
  <si>
    <t xml:space="preserve">我院将为营员提供食宿（广州本地高校营员只提供伙食、不提供住宿），路费请自理。
</t>
  </si>
  <si>
    <t>7月24日
上午、下午 开营仪式、主题讲座
7月25日
上午、下午 相关教研室师生专题交流
7月26日
上午、下午 相关教研室师生专题交流
7月27日
上午、下午 闭营仪式、夏令营结束</t>
  </si>
  <si>
    <t>7月8日前填写提交报名信息；7月14日前寄送纸质版材料</t>
  </si>
  <si>
    <t>2023年7月24日至27日</t>
  </si>
  <si>
    <t>1、身份证扫描件（正反面复印到一页纸上扫描）
2、本科阶段成绩单、成绩总评排名的证明材料扫描件（加盖教务部门公章）
3、英语四、六级证书扫描件（如同时有四六级，上传六级证书扫描件即可）
4、负责或参与科研项目扫描件（非必须项，最多上传2项， 扫描项目名称和负责人排名页即可）
5、发表文章扫描件（非必需项，最多上传2项，扫描题目和作者署名页即可）
6、其它获奖证书扫描件（非必需项，最多上传三张）</t>
  </si>
  <si>
    <t>1、所有入选人员按要求参加完活动后将获得神秘礼物一份。
2、活动夏令营活动期间，我院将为学生提供在广州的食宿（广州本地学校学生不提供食宿）及异地学校学生往返硬座火车票费用(选择其他交通工具的按照硬座火车票标准报销)。</t>
  </si>
  <si>
    <t xml:space="preserve">.因报名同学较多，不提供电话确认。所提交的申请材料只适用于当次申请。
2.材料审核及夏令营入营资格审定：夏令营材料审核和夏令营入营资格审定工作由专门工作委员会负责。夏令营入营名单将在北京医院官网教学栏公布，未入选者，不另行通知。
</t>
  </si>
  <si>
    <t>8月10日—8月20日</t>
  </si>
  <si>
    <t>1、同济医院2023年夏令营申请表（见附件）；
2、本科阶段成绩单及同年级总成绩排名1份（由教务部门或院系盖章）；
3、英语水平的证明（如国家英语四六级考试成绩、TOEFL成绩或GRE成绩等）；
4、以及其他证明材料（如体现自身学术水平的代表性学术论文或其他原创性工作成果复印件、获奖证书复印件等）；
5、个人陈述1份（格式不限），此材料请上传至系统中的“学术成果、申请表及推荐信”一栏。</t>
  </si>
  <si>
    <t>英语水平良好，全国大学外语六级考试成绩达到425分</t>
  </si>
  <si>
    <t>学术讲座、专业介绍、师生交流、校园参观、营员考核等活动</t>
  </si>
  <si>
    <t>截止时间为2023年7月3日16:00</t>
  </si>
  <si>
    <t>2023年8月8日至10日</t>
  </si>
  <si>
    <t>(1)  《吉林大学2023年夏令营报名表》（报名系统生成）；
(2)  由教务处或所在院系开具的成绩排名证明（附件）；
(3)  成绩单一份（需加盖公章）；
(4)  个人简历一份，无特殊格式要求；
(5)  外语水平证明（英语六级证书等）及其它获奖证明材料。</t>
  </si>
  <si>
    <t>夏令营期间，吉林大学第一医院将为营员提供午餐，为非本地营员提供交通费用（高校或家庭所在城市至长春的往返普通火车硬卧、硬座车票、高铁动车二等座车票）和安排住宿。家庭住址或本科学校在长春的营员一般情况不安排住宿。</t>
  </si>
  <si>
    <t>获得优秀营员，且具备所在本科学校“推荐免试资格”的2024年应届毕业生，报考吉林大学第一医院相应专业（须与夏令营申报专业一致）在符合我校接收推荐免试硕士研究生相关要求和学院相关政策的基础上，可直接接收为吉林大学白求恩第一临床医学院“推免生”。</t>
  </si>
  <si>
    <t>1.申请夏令营的同学在上交电子版材料后，通过链接中群号加入考生群，如夏令营安排有改动，我们会及时在群中通知大家。
2.如有未尽事宜，由学院招生领导小组负责解释。
特别说明：为保证夏令营活动的质量，夏令营营员人数有限，无法满足所有有志考生，欢迎未入选者继续考取吉林大学第一医院研究生。</t>
  </si>
  <si>
    <t>成绩优秀；本科阶段总成绩排名在该校同年级本专业前30％之内</t>
  </si>
  <si>
    <t>具有良好的外语水平，满足下列条件之一：1.英语四级≧480分；2.六级≧425分；3.雅思≧6.0分；4.托福≧90分。有全国英语比赛等获奖者优先</t>
  </si>
  <si>
    <t>2023年7月10日13日</t>
  </si>
  <si>
    <t>1.南方医科大学优秀大学生夏令营申请表（需系统填写导出后签字盖章）（必需项）
2.学生证、身份证（正反面、扫描件）（必需项）
3.个人简历（必需项）
4.成绩单及同年级总成绩排名表原件扫描件（需所在高校教务部门盖章）
5.本科阶段重要获奖证明（有则提供，非必需项）
6.论文发表、科研成果、学术产出等证明（有则提供，非必需项）</t>
  </si>
  <si>
    <t>广东省人民医院</t>
  </si>
  <si>
    <t>成绩优秀，本科阶段总成绩排名在该校同年级本专业前列；报名学生能获得所在院校推免资格者优先</t>
  </si>
  <si>
    <t>（一）6月30日前：提交报名申请及材料。
（二）7月1日-7月5日：遴选并公示营员，限50人以内。
（三）7月11-13日：报到、开营活动、面试与选拔。
（四）营员报到后，须全程参加本营活动，脱营者将取消面试选拔资格。</t>
  </si>
  <si>
    <t>2023年7月11-13日</t>
  </si>
  <si>
    <t>1.南方医科大学广东省人民医院2023年全国优秀大学生暑期夏令营申请表（必需项）
2.学生证（必需项）
3.个人简历（必需项）
4.本科阶段成绩单及同年级总成绩排名表（由教务部门或院系盖章，必需项）
5.英语水平证明（四六级或雅思托福证书等，必需项）
6.本科阶段重要获奖证明（有则提供，非必需项）
7.论文发表、科研成果、学术产出等证明（有则提供，非必需项）
8.本学院专任教师（有副高及以上职称）推荐信（有则提供，非必需项）
9.其他个人业绩材料补充</t>
  </si>
  <si>
    <t>获得夏令营预录取通知书并之后取得所在学校“推免”资格的优秀营员，可直接接收为我校2024年临床医学“推免生”</t>
  </si>
  <si>
    <t>具有良好的外语水平。满足下列条件之一者可优先：1.英语四级≥500分；2.六级≥450分；3.雅思≥6.0分；4.托福≥90分；5.全国性英语比赛三等奖以上获得者</t>
  </si>
  <si>
    <t>（一）6月28日前：提交报名申请及材料。
（二）6月29日-7月5日：遴选并公示营员，限100人内。
（三）7月10-13日：报到、开营活动、面试与选拔。
（具体活动详见营员报到手册）
（四）营员报到后，须全程参加本营活动，脱营者将取消面试选拔资格。</t>
  </si>
  <si>
    <t>2023年6月28日前</t>
  </si>
  <si>
    <t>2023年7月10日至13日</t>
  </si>
  <si>
    <t>（1）南方医科大学第二临床医学院2023年全国优秀大学生暑期夏令营申请表（必需项）
（2）学生证（必需项）
（3）个人简历（必需项）
（4）本科阶段成绩单及同年级总成绩排名表（由教务部门或院系盖章，必需项）
（5）英语水平证明（四六级或雅思托福证书等，必需项）
（6）本科阶段重要获奖证明（有则提供，非必需项）
（7）论文发表、科研成果、学术产出等证明（有则提供，非必需项）
（8）其他个人业绩材料补充</t>
  </si>
  <si>
    <t>（一）为营员提供夏令营参营用品（营员证、精美纪念品、夏令营证书等）。
（二）为营员提供夏令营期间免费食宿（本校学生不提供住宿），交通费营员自理。</t>
  </si>
  <si>
    <t>（一）获得夏令营预录取通知书并之后取得所在学校“推免”资格的优秀营员，可直接接收为我校2023年临床医学“推免生（含直博生）”。
（二） 通过夏令营并最终推免录取我院，符合条件的学生将享受“珠江青苗人才计划”支持。</t>
  </si>
  <si>
    <t>全国各高校临床医学、儿科学、医学影像学(五年)、麻醉学(五年)专业2024届本科毕业生。</t>
  </si>
  <si>
    <t>生物治疗全国重点实验室</t>
  </si>
  <si>
    <t>重点考虑全国“双一流”建设高校的2024届本科毕业生，学习成绩优秀，本科期间综合成绩排名原则上要求为年级成绩排名前30%者</t>
  </si>
  <si>
    <t>实验室宣传及学科介绍、专家讲坛、营员与导师交流、参观实验室等活动。同时组织拟推免或报考实验室硕士研究生的营员进行提前考核</t>
  </si>
  <si>
    <t>1、申请表（报名成功后由系统自动生成）；
2、本科成绩单和专业排名证明（各1份；需加盖所在学校教务处公章）；
3、大学英语四/六级成绩单、TOEFL、GRE成绩单等英语成绩证明材料；
4、相关获奖证书复印件、学术成果复印件等。</t>
  </si>
  <si>
    <t>考核优秀的营员，获得推免资格且满足学校接收推免生条件者，在推免系统及时响应填报我校即可免复试予以录取；未能获得推免资格但第一志愿报考我实验室的优秀营员（统考报考专业需与夏令营考核专业相同），同等条件下优先录取。</t>
  </si>
  <si>
    <t>"（一）获得夏令营预录取通知书并之后取得所在学校“推免”资格的优秀营员，可直接接收为我校2023年临床医学“推免生（含直博生）”。
（二） 通过夏令营并最终推免录取我院，符合条件的学生将享受“珠江青苗人才计划”支持。"</t>
  </si>
  <si>
    <t>线下活动主要包括学科报告会、与导师面对面、与在读研究生交流、医院参观等。线下活动结束后，经导师评估，部分营员可进入到心仪导师研究团队，远程线上参与科学研究。同时，夏令营线下活动结束后，专业将安排部分线上活动，为学生打造优质便捷的交流平台。</t>
  </si>
  <si>
    <t>7月5日9:00前</t>
  </si>
  <si>
    <t>2023年7月24日至7月26日</t>
  </si>
  <si>
    <t>(1)教育部学籍在线验证报告：登陆“学信网”在“在线认证”一栏申请办理一个教育部学籍在线验证报告(电子版)，下载并打印；电子版：将生成的验证报告电子文件，命名为：“1.学籍信息”；
(2)照片：本人近期一寸白底彩色身份证版式照片。电子版：照片请使用JPG格式电子文件，命名为：“2.照片”；
(3)专家推荐书：副教授及以上专家推荐书1份(附件1)。电子版生成一份PDF格式的电子文件，命名为：“3.推荐书”；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
(8)个人信息采集表(请在学院提供的模板里填写个人信息，并上传)，文件格式：Excel，命名为“8.个人信息采集表”。</t>
  </si>
  <si>
    <t>住宿费用和交通费用自理，学院免费提供三餐，学院后续会提供适当食宿补贴。</t>
  </si>
  <si>
    <t>在学期间学习成绩优秀，本科总成绩年级排名前20%</t>
  </si>
  <si>
    <t>申请者英语水平应达到以下条件之一：
①TOEFL≥90分(IBT)；
②新GRE≥305分；
③WSK(PETS5)考试合格；
④大学英语六级CET6≥425分；
⑤IELTS≥6.0。</t>
  </si>
  <si>
    <t>深入了解学院培养特色、学科优势、科研实力与师资力量，亲身感受学院文化、学术氛围。组织开营仪式、导师沙龙、参观交流、师生零距离对话、与优秀学长学姐茶话会等</t>
  </si>
  <si>
    <t>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2．照片：本人近期一寸白底彩色身份证版式照片。电子版：照片请使用JPG格式电子文件，命名为：“2.照片”；
3．专家推荐书：副教授及以上专家推荐书1份。电子版生成一份PDF格式的电子文件，命名为：“3.推荐书”；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t>
  </si>
  <si>
    <t>包含入营营员食宿费。交通费用需自理</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</si>
  <si>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
如有“优秀营员”放弃资格，“合格营员”可依次递补为“优秀营员”</t>
  </si>
  <si>
    <t>1.参加我院夏令营的学员，需携带所有申请材料的纸质版原件给学院复核，复核合格后才能参加后续活动。
2.参加暑期夏令营的学生必须遵守学院相关规定，按照统一的安排参加各项活动，并注意安全，无故缺席者将被取消营员资格。
3.营员在夏令营期间发生的医疗费用及因个人行为导致的意外事故，由营员本人或其派出单位承担。</t>
  </si>
  <si>
    <t>能够获得所在学校硕士研究生推荐免试资格，或成绩优异（综合成绩在本专业排名前20%优先）</t>
  </si>
  <si>
    <t xml:space="preserve">第一天
15:00-17:00 学员注册报到
第二天
9:00-12:00 学院介绍；认知神经科学方向总体介绍讲座和座谈
14:30-17:30 情绪与健康心理学方向总体介绍讲座和座谈
第三天
9:00-12:00 发展与教育心理学方向总体介绍讲座和座谈
14:30-17:30 心理测量与管理方向总体介绍讲座和座谈
第四天
9:00-12:00 暑期夏令营营员面试及结营仪式
</t>
  </si>
  <si>
    <t>2023年6月19日-7月7日</t>
  </si>
  <si>
    <t>2023年7月8日-7月11日</t>
  </si>
  <si>
    <t xml:space="preserve">①第二代身份证
正反面扫描照片（合并为一张小于200K的图片并命名为：“1、身份证.jpg”，须能看清楚身份证号码、发证机关、有效期）；
②注册至本学期的学生证
扫描照片（合并为一张小于200K的图片并命名为：“2、学生证.jpg”，须能看清楚发证学校、最少六个注册章等信息）；
③成绩单
扫描照片（一份pdf或者一张小于500K的图片并命名为：“3、成绩单.jpg”或“3、成绩单.pdf”，须能看清楚修读科目名称、学分、分值等信息）；
④外语水平证明材料
英语四六级、托福、雅思成绩单等，合并为一张小于200K的图片并命名为：“4、外语成绩.jpg”；
⑤能证明申请人资质的其它材料
如获奖证书、发表的代表性作品、论文和参与研究课题的成果等（全部放入一个Word文档并命名为“5、其他材料.docx”）。
</t>
  </si>
  <si>
    <t>暑期学校以线下方式举行，学院将为异地学校学员提供暑期学校期间在深圳的免费食宿，并给予来深的路费报销（仅限机票经济舱、高铁二等票、汽车票，不提供离深的路费报销）。深圳地区高校学生原则上不提供住宿及路费报销，仅提供免费用餐。</t>
  </si>
  <si>
    <t>院长有约、导师沙龙、学术交流、实地参访、实践活动等</t>
  </si>
  <si>
    <t>2023年6月13日-7月14日</t>
  </si>
  <si>
    <t>本科期间学习成绩优异，“双一流”建设高校本科生截至目前总成绩排名在本专业前30％及以内、普通类高校本科生截至目前总成绩在本专业排名前20%及以内或预计可获得所在高校免试推荐资格的学生</t>
  </si>
  <si>
    <t>具有良好的英语水平，优先考虑CET-6≥425分或雅思、托福考试成绩优良，或在相应的英语国家（地区）获得过学位或有连续6个月以上的学习经历的学生</t>
  </si>
  <si>
    <t>营员报到及分班建群
学院介绍与各学位点介绍宣讲
优秀营员选(学科组面试）
优秀营员结果公布</t>
  </si>
  <si>
    <t>2023年6月31日前</t>
  </si>
  <si>
    <t>1、个人简历
2、本科阶段成绩单（截至申请之日所能提供的所有课程成绩），加盖院/系公章；
3、前7学期总评成绩排名证明一份（由所在学院/系出具证明）；
4、外语水平证明，如国家英语四、六级考试，TOEFL/IELTS/GRE等能够体现外语水平的成绩证明；
5、学生证（正面，照片页和注册页）、身份证正反面
6、其他证明材料，包括各种获奖证书、参加社会实践活动的证明等，要求能够展现自身风采与综合素质的材料。</t>
  </si>
  <si>
    <t>1、优秀营员获得所在学校研究生推荐免试资格，并符合我校2024年接收推荐免试硕士研究生拟录取条件的，在依照我校接收推荐免试硕士研究生工作方案完成我校推免报名后，同等条件下可优先拟录取为我院2024年学术型硕士研究生，无需再参加我校推免生复试。
2、“优秀营员”资格仅在其所参加考核的同一学院同一个二级学位点内有效，特殊优质生源报学院审批同意后可在一级学位点内调剂。</t>
  </si>
  <si>
    <t>（1）《中科院医学所及国科大杭高院分子医学院2023年大学生暑期夏令营申请表》（见附件）
（2）本科成绩单（需加盖教务处或院系公章）
（3）专业排名证明或其他证明材料（需加盖公章或辅导员签字）
（4）英语四/六级成绩单复印件
（5）身份证复印件
（6）其他等级证书或校级以上获奖证书复印件
（7）副教授以上职称专家推荐信（需有推荐教师签名）
（8）已发表论文或出版物复印件</t>
  </si>
  <si>
    <t>夏令营期间我们将为营员提供免费餐食、住宿以及来程的交通费（凭高校或家庭所在城市至杭州火车硬座或高铁动车二等座车票报销交通补贴）。提前到达或延迟离开期间的食宿费用自行承担。</t>
  </si>
  <si>
    <t>近距离亲身感受学院文化，了解学院特色及学科优势，组织开营仪式、学科介绍、研究生教学及培养制度、导师面对面、参观交流、与优秀学长学姐交流等活动</t>
  </si>
  <si>
    <t>截止日期2023年7月7日13:00</t>
  </si>
  <si>
    <t>10-15名</t>
  </si>
  <si>
    <t>(1)教育部学籍在线验证报告：登陆“学信网”在“在线认证”一栏申请办理“教育部学籍在线验证报告”(电子版)；将生成的验证报告电子版文件，命名为：“1.学籍信息”。
(2)照片：本人近期彩色生活照片1-2张。电子版：照片请使用JPG格式，请勿过度美颜，命名为：“2.照片”。
(3)本科阶段成绩单及本专业排名证明(学校教务部门或院系盖章)。电子版：各生成PDF格式的电子文件，命名为：“3.1成绩单、3.2专业排名”。
(4)英语水平证明：生成PDF格式的电子文件，命名为：“4.英语水平”。
(5)自荐信：格式不限，可包括简历、为何报考相关学院及专业、未来学习研究计划等。电子版：生成PDF格式的电子文件，命名为“5.自荐信”。
(6)其他证明材料(如有)：包括各类获奖证书复印件；体现自身学术水平的代表性学术论文、出版物或原创性工作成果等。电子版：生成一个PDF格式的电子文件，命名为：“6.其他证明材料”。</t>
  </si>
  <si>
    <t>1．本次夏令营活动不收取任何费用。
2．住宿及交通费用自理，为入选营员免费提供午餐。
3．营员在夏令营期间发生的医疗费用及因个人行为导致的意外事故，由营员本人或其派出单位承担。</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</si>
  <si>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其余营员授予“合格营员”称号，同等条件下优先进入我校2024年推免生预选拔复试，同等条件下优先录取。如有“优秀营员”放弃资格，“合格营员”可依次递补为“优秀营员”。</t>
  </si>
  <si>
    <t>接收报名学科专业：消化内科、肝病内科、普通外科、耳鼻咽喉头颈外科、放射科、肿瘤内科、泌尿外科。仅限招收专业学位硕士研究生</t>
  </si>
  <si>
    <t>全国大学英语六级水平(成绩500分以上)，或雅思6.5分以上，或托福95分以上</t>
  </si>
  <si>
    <t>1．线下主体活动：包含医院院史与医院现状、各科室与专业概况与特色、研究生教学及培养制度、医院总体科研情况等多方面的介绍，学术讲座、师生晤谈交流、在读研究生交流、院内参观等。夏令营具体安排另行通知。
2．结营考核：学院将采取不同方式对学生进行全面考核，并根据考核成绩评出“优秀营员”、“合格营员”。具体考核时间、考核内容、考核方式、评选办法等以学院后续通知为准。</t>
  </si>
  <si>
    <t>2023年7月9日24:00前</t>
  </si>
  <si>
    <t>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2．照片：本人近期一寸白底彩色身份证版式照片。电子版：照片请使用JPG格式电子文件，像素为390*260，大小在200k以内，命名为：“2.照片”；
3．本科阶段成绩单及本专业排名证明(学校教务部门或院系盖章)。电子版：各生成PDF格式的电子文件，命名为：“3.1成绩单，3.2专业排名”；
4．英语水平证明：生成PDF格式的电子文件，命名为：“4.英语水平”；
5．其他证明材料：包括班干部、党团组织、学生会任职证明；各类获奖证书复印件；体现自身学术水平的代表性学术论文、出版物或原创性工作成果等。电子版：生成PDF格式的电子文件，如材料较多请建立文件夹，命名为：“5.其他证明材料”。
6．自荐信：格式不限，可包括简历、为何报考相关学院及专业、未来学习研究计划等。电子版：生成PDF格式的电子文件，命名为“6.自荐信”。</t>
  </si>
  <si>
    <t>我院为入选营员免费提供食宿，往返交通费用营员自理。营员必须遵守我院的相关规定，按照统一的安排参加各项活动，并注意安全。营员在夏令营期间发生的医疗费用及因个人行为导致的意外事故，由营员本人承担。</t>
  </si>
  <si>
    <t>英语水平良好；英语达到国家四/六级水平（425分以上）或托福、雅思等成绩合格。</t>
  </si>
  <si>
    <t>2023年8月1日-2023年8月20日</t>
  </si>
  <si>
    <t>2023年9月14日-2023年9月15日（周四、周五）</t>
  </si>
  <si>
    <t>1.《华中科技大学同济医学院口腔医学院2023年学术夏令营申请表》，见附件。
2. 成绩单（由院系教务部门盖章），成绩排名证明。
3. 全国大学英语四、六级成绩单，或其他体现英语水平的证明。
4. 获奖证书及参与科研项目证明复印件等。
5. 体现自身学术水平的学术论文、出版物或原创性成果，请注明本人排名。</t>
  </si>
  <si>
    <t>本次夏令营活动不收取任何费用，所有营员食宿自理。</t>
  </si>
  <si>
    <t>本院将在确认优秀营员待录取为我院2024级推免硕士生后，对其在夏令营期间的部分住宿、交通费用进行资助，具体资助方案后续通知。</t>
  </si>
  <si>
    <t>在学期间学习成绩优秀，原则上本科期间学业成绩达到本专业年级排名前20%</t>
  </si>
  <si>
    <t>英语水平优秀（CET-4考试成绩达到480分、CET-6考试成绩达到425分，或TOEFL、IELTS、GRE等考试成绩优秀者</t>
  </si>
  <si>
    <t>学院及学科介绍、专家学术讲座、营员与导师面对面交流、参观实验教学示范中心及江苏省口腔医学研究重点实验室</t>
  </si>
  <si>
    <t>2023年7月01日至2023年7月08日</t>
  </si>
  <si>
    <t>1）身份证、学生证扫描件和教育部学籍在线验证报告（有效验证期内）；
2） 截至目前的成绩单扫描件（请所在院系教务部门签章并注明专业排名和专业总人数）；
3）全国大学英语四、六级考试成绩单等体现自身英语水平的证明材料扫描件；
4）其它材料，包括：获奖证书，发表学术论文首页或证明，出版物封面及作者页，课题证明等扫描件；
5）个人简历（1页）和个人陈述（1页），模板见附件1；
6）南京医科大学夏令营报名申请表</t>
  </si>
  <si>
    <t>活动期间学院为入选营员提供餐饮服务，宁外院校请自行预订往返车票/机票和住宿，学院将报销往返高铁/动车二等座车票（参照营员学校所在地往返南京），并给予500元住宿补贴，超出部分请自行承担。</t>
  </si>
  <si>
    <t>来自一流大学或所在学科为全国第四轮学科评估B+及以上高校生命科学相关专业；
本科三年级、医学院校本科四年级在校生优先接收；</t>
  </si>
  <si>
    <t>全国大学英语六级考试 (CET-6) 430分及以上，全国大学英语四级考试 (CET-4)450分及以上的学生优先接收；</t>
  </si>
  <si>
    <t>开营仪式、参观研究所、研究生招生与培养介绍、招生学科、导师团队介绍、与导师面对面交流、与在校生交流、营员团体活动等。</t>
  </si>
  <si>
    <t>2023年7月5日前</t>
  </si>
  <si>
    <t>2023年7月17-21日</t>
  </si>
  <si>
    <t>线下20-40名+线上不限</t>
  </si>
  <si>
    <t>1、身份证明材料：学生证、身份证
2、成绩证明材料：本科成绩单、专业排名证明（由教务处盖章）、英语水平证明（四六级证书）各1份。
3、请申请人将以上规定材料的电子版发送至电子邮箱：188@imbcams.com.cn，邮件命名方式为：学校+姓名+专业。</t>
  </si>
  <si>
    <t>夏令营不收取任何费用，食宿等费用由我所承担，并为营员报销至昆明的往返高铁二等座/火车硬座费用（昆明本地学生除外），若营员乘坐飞机，不超过高铁二等座/火车硬座费用标准的实报，若超过高铁二等座/火车硬座费用标准的，按高铁二等座/火车硬座费用标准报销，超过部分由本人承担，报销以提供的票据为准。</t>
  </si>
  <si>
    <t>截止时间为7月20日23:59</t>
  </si>
  <si>
    <t>2023年7月24日全天</t>
  </si>
  <si>
    <t xml:space="preserve">
申请同学须填写下列问卷：https://bdkqyxyjyc.wjx.cn/vm/h9R8VYI.aspx#，
同时上传“北京大学口腔医学院2023年全国优秀大学生夏令营申请表”（详见附件，须本人亲笔签字、学校教务处或院系负责人签字盖章）。</t>
  </si>
  <si>
    <t>本次活动不收取任何费用。</t>
  </si>
  <si>
    <t>本科成绩优异，学习成绩（年级）排名在班级前 20%</t>
  </si>
  <si>
    <t>英语水平良好。英语达到国家六级水平（425 分及以上）或托福、雅思等成绩合格</t>
  </si>
  <si>
    <t>招生政策解读、学科交流、综合能力测试</t>
  </si>
  <si>
    <t>2023年7月5日-8月15日</t>
  </si>
  <si>
    <t>2023 年9月10日（周日）—9月12日（周二）</t>
  </si>
  <si>
    <t>210名</t>
  </si>
  <si>
    <t>1.《华中科技大学同济医学院附属协和医院 2023 年学术夏令营申请表》，见附件。
2.成绩单（由院系教务部门盖章），成绩排名证明。
3.全国大学英语六级成绩单，或其他体现自身英语水平的成绩证明。
4.获奖证书及参与科研项目证明复印件等。
5.体现自身学术水平的学术论文、出版物或原创性成果，请注明本人排名。</t>
  </si>
  <si>
    <t>1.提供一定的免费工作餐； 
2.统一安排住宿，评为优秀夏令营学员的报销火车票和住宿费。（按票据报销；单程上限 800 元,软卧、动车一等座及飞机票不予报销）；
3. 夏令营营员的考核情况作为 2024 级推荐免试研究生的重要参考之一。</t>
  </si>
  <si>
    <t>，夏令营营员的考核情况作为2024 级推荐免试研究生的重要参考之一。</t>
  </si>
  <si>
    <t>专业要求：临床医学、中西医结合临床、药剂学等专业，其中报名参加临床医学专业学位的申请者本科专业需符合医师资格报考条件规定及湖北省住院医师规范化培训招录要求（本科专业已限定专业方向的考生，如检验医学、麻醉学、儿科学、放射医学、超声医学等，只能申请原本科专业或全科医学）。</t>
  </si>
  <si>
    <t>2023年6月25日-7月2日</t>
  </si>
  <si>
    <t>2024年拟招生专业
 - 071007遗传学
 - 071009细胞生物学
 - 071010生物化学与分子生物学
 - 083100生物医学工程
 - 100211妇产科学
 - 100401流行病与卫生统计学
 - 100702药剂学
 - 100706药理学
（最终以当年招生简章为准）</t>
  </si>
  <si>
    <t>开营仪式，学院介绍，使学生对本学科的科研平台、师资和实验室资源等有深入了解
各方向学科带头人做主题报告和主题演讲
研究生导师与同学进行师生交流，介绍本学科主要研究内容、成果和相关产业现状
特邀本专业优秀毕业生与同学进行互动交流，分享就业、深造的心得体会
组织本专业研究生举办学术创新分享交流会
迈瑞医疗和新产业公司参观
结营仪式</t>
  </si>
  <si>
    <t>2023年6月21日-7月2日</t>
  </si>
  <si>
    <t>2023年7月12-16日</t>
  </si>
  <si>
    <t>个人简介
有效期内的身份证和学生证（每学期加盖有注册章）
前两年半成绩单（有学校教务部门或所在院系公章，如有不实，取消资格）与总评成绩排名证明（有学校教务部门或所在院系公章）
获奖证书
大学英语四、六级考试成绩、或TOEFL成绩、或GRE/GMAT成绩等体现自身英语水平的证明
申请人还可提交体现自身学术水平的代表性学术论文、出版物或原创性工作成果</t>
  </si>
  <si>
    <t>线上、线下相结合</t>
  </si>
  <si>
    <t>活动内容主要包括但不限于主题讲座，名医大家面对面、院长有约，力求为学员打造了一个交流学术、拓展视野、畅谈理想、共话未来的高端平台。并通过导师见面互选环节，遴选优秀营员。
专题主题负责科室开营宣讲单位基本情况介绍教育处各研究室及重点专科介绍各实验室、重点专科学术论坛研究生科研能力培训讲座教育处青年学术沙龙</t>
  </si>
  <si>
    <t>2023年7月1日至7月7日</t>
  </si>
  <si>
    <t>2023年度7月-8月</t>
  </si>
  <si>
    <t>优秀营员拿到推免资格后在我校接受2023年推免研究生时可免予参加我校推荐免试研究生（含直博生）复试。</t>
  </si>
  <si>
    <t>来自于“双一流”建设高校的学生截至报名前总评成绩在本专业排名前30%；或普通类高校的学生截至目前总评成绩在本专业排名前20%；其中申报直博生的营员，截至目前总评成绩在本专业排名前3%（含3%）；各类国家级基地班或入选拔尖创新人才计划的学生截至报名前总评成绩在本专业排名前30%（含30%）；</t>
  </si>
  <si>
    <t>具有良好的英语水平，CET-4成绩合格（≥425分）</t>
  </si>
  <si>
    <t>2023年7-8月（具体时间详见各学院实施细则）</t>
  </si>
  <si>
    <t>1.近期正面免冠彩色证件照片，电子版JPG格式，150×200像素，大小100K以内；
2.本科阶段历年成绩单和成绩排名（须加盖教务处或院系公章，PDF格式）；
3.英语CET-6或CET-4成绩单；
4.其他获奖证书，发表的学术论文，在科研技能、创新创业、社会实践及组织才能等方面取得的优异成果相关证明材料（如有多项应做目录，PDF格式）；
5.各学院要求提交的其它材料。</t>
  </si>
  <si>
    <t>1.本次夏令营不收取任何费用。
2.参加线下考核活动的非本校营员，学校将根据实际报考我校2024年硕士研究生情况发放夏令营车票补贴，标准为：营员本科院校地处黑龙江、吉林、辽宁、天津、北京5 省（市）享受200 元车票补贴；本科院校地处内蒙古、山西、陕西、河北、山东、河南、安徽、湖北、上海、江苏、浙江、江西、湖南、福建14 省（市）享受600 元车票补贴；本科院校地处海南、广西、广东、贵州、重庆、四川、云南、西藏、甘肃、青海、宁夏、新疆12 省( 区) 享受800 元车票补贴，发放时间为统考报名结束后。</t>
  </si>
  <si>
    <t>各学院将根据预选拔综合考核结果评定“优秀营员”，如报考专业与夏令营考核专业一致的情况下，享受以下政策：
1.取得所在本科院校2024年推荐免试资格，并符合我校2024年接收推荐免试研究生章程相关要求，可被我校直接拟录取为推荐免试研究生；
2.取得所在本科院校2024年推荐免试资格，并符合我校2024年直博生接收条件，征得报考博导同意后，可被我校直接拟录取为直博生；
3.凡参加2024年全国硕士研究生统一入学考试并且第一志愿报考沈阳药科大学，如初试成绩达到报考专业的国家基本分数线要求，在所报考学科所在学院同意的前提下，可申请参加本专业复试。</t>
  </si>
  <si>
    <t>在同一研究领域内，报名学术学位的营员推免生报名时改报专业学位，无需再参加推免生复试。</t>
  </si>
  <si>
    <t>学生本科期间综合成绩排名在该校同年级本专业前20%之内</t>
  </si>
  <si>
    <t>具备良好的英语应用能力</t>
  </si>
  <si>
    <t>开营仪式后，将安排专家学术报告、导师见面会、参观附属医院、综合素质考核等内容。综合素质考核以面试形式进行。具体安排另行通知</t>
  </si>
  <si>
    <t>申请时间：即日起至2023年7月9日</t>
  </si>
  <si>
    <t>活动时间：2023年7月15日—7月16日</t>
  </si>
  <si>
    <t>（1）个人简历；
（2）本科成绩单（包括专业人数和本人在全专业学生中的总成绩排名；须加盖学校教务处或学院公章）；
（3）国家英语四、六级考试成绩，或雅思、TOEFL成绩，GRE/GMAT成绩等体现自身英语水平的证明；
（4）申请表中所涉及的论文代表作、相关证书、证明材料（有条件的可提供院系或导师推荐意见）；
（5）校级及以上获奖证书、其他能够证明科研水平和能力的材料，请提供扫描件；
（6）其他能突出自身特长、社会贡献、综合素质能力的重要证书或证明的扫描件。</t>
  </si>
  <si>
    <t>本次夏令营活动期间不收取任何费用。学院负责夏令营期间营员的住宿和餐饮安排。</t>
  </si>
  <si>
    <t>科学创新中心</t>
  </si>
  <si>
    <t>创新中心整体情况介绍、参观科研实验室、与导师面对面交流、在读研究生交流、面试等环节，具体日程稍后发布</t>
  </si>
  <si>
    <t>申请时间：即日起至2023年7月10日</t>
  </si>
  <si>
    <t>活动时间：2023年7月19-22日</t>
  </si>
  <si>
    <t xml:space="preserve">1. 教育部学籍在线验证报告：登陆“学信网”在“在线认证”一栏申请办理教育部学籍在线验证报告（电子版），下载电子版，将生成的验证报告电子文件，命名为：“1.学籍信息”；
2. 照片：本人近期一寸白底彩色身份证版式照片。电子版：照片请使用JPG格式电子文件，命名为：“2.照片”；
3. 本科阶段成绩单及本专业排名证明（学校教务部门或院系盖章）。电子版：各生成PDF格式的电子文件，命名为：“3.1成绩单，3.2 专业排名”；
4. 英语水平证明：生成PDF格式的电子文件，命名为：“4.英语水平”；
5. 其他证明材料：包括各类获奖证书复印件；体现自身学术水平的代表性学术论文、出版物或原创性工作成果等。电子版：生成PDF  格式的电子文件，如材料较多请建立文件夹，命名为：“5.其他证明材料”；
6. 自荐信：格式不限，可包括简历、为何报考相关学院及专业、未来学习研究计划等。电子版：生成PDF或Word格式的电子文件，命名为“6.自荐信”；
7. 用英文去描述一个你印象最深的实验。生成PDF或Word格式的电子文件，命名为“7.课题设计”；
8. 专家推荐书：副教授及以上专家推荐书1 份（附件1）。电子版生成一份PDF 格式的电子文件，命名为：“8.推荐书”。
</t>
  </si>
  <si>
    <t>1. 食宿：中心统一安排；
2. 交通：报销往返普通火车硬座票费用（仅限活动开始到达和结束当日离京火车票；如选坐其它交通工具，费用依照普通火车的硬座标准报销）；
3. 参加夏令营的学生必须遵守中心相关规定，按照统一的安排参加各项活动，并注意安全，无故缺席者将被取消营员资格；
4. 营员在夏令营期间发生的医疗费用及因个人行为导致的意外事故，由营员本人或其派出单位承担。</t>
  </si>
  <si>
    <t>优秀营员可在2024年首都医科大学研究生招生录取时享受以下优惠政策：
如获得就读学校2024年推免资格，并登陆“教育部推免系统”填报与夏令营结营考核专业相同的志愿（学院、专业），将由中心优先向学校推荐录取。
其余营员授予“合格营员”称号，同等条件下优先进入我校2024年推免生预选拔复试，同等条件下优先录取。如有“优秀营员”放弃资格，“合格营员”可依次递补为“优秀营员”。</t>
  </si>
  <si>
    <t>活动简介：暂定为学科报告会、与导师面对面、与在读研究生交流、院内参观等</t>
  </si>
  <si>
    <t>申请时间：即日起至2023年7月9日24点</t>
  </si>
  <si>
    <t>本次夏令营预计招生10-15人</t>
  </si>
  <si>
    <t>（1）教育部学籍在线验证报告：登陆“学信网”在“在线认证”一栏申请办理一个教育部学籍在线验证报告（电子版），下载并打印；电子版：将生成的验证报告电子文件，命名为：“1.学籍信息”；
（2）照片：本人近期一寸白底彩色身份证版式照片。电子版：照片请使用JPG格式电子文件，命名为：“2.照片”；
（3）专家推荐书：副教授及以上专家推荐书1份（附件1）。电子版生成一份PDF格式的电子文件，命名为：“3.推荐书”；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t>
  </si>
  <si>
    <t xml:space="preserve">本次夏令营活动不收取任何费用。
</t>
  </si>
  <si>
    <t xml:space="preserve">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其余营员授予“合格营员”称号，同等条件下优先进入我校2024年推免生预选拔复试，同等条件下优先录取。如有“优秀营员”放弃资格，“合格营员”可依次递补为“优秀营员”。
</t>
  </si>
  <si>
    <t>英语成绩按六级达到426分或四级达到497分</t>
  </si>
  <si>
    <t>具体日程（预计包括学院和医院介绍、重点科室（专业）宣讲、推免面试等）请关注后续通知</t>
  </si>
  <si>
    <t>申请时间：2023年7月3日10:00-7月12日16:00</t>
  </si>
  <si>
    <t>活动时间：2023年7月18-20日</t>
  </si>
  <si>
    <t>预计招收营员40人</t>
  </si>
  <si>
    <t>（1）身份证正反面（一页）
（2）学生证个人信息页和注册页（一页）
（3）成绩单（院系或教务处盖章）
（4）英语水平证明材料（英语六级/四级证书等）
（5）获奖证书及发表文章首页（如有）</t>
  </si>
  <si>
    <t>获得“优秀营员”证书者，可享受以下优惠政策：
1、“优秀营员”可获得精美纪念品一份；
2、“优秀营员”如获得所在学校推荐免试研究生资格，登陆“教育部推免系统”填报与夏令营面试专业相同的志愿（学院、专业、三级学科、学位类型、学习方式等一致），可直接被我校拟录取。</t>
  </si>
  <si>
    <t>主要内容包括：开营仪式；招生政策与研究生培养情况简介；优秀营员考核等</t>
  </si>
  <si>
    <t>申请时间：2023年7月10日—2023年8月15日</t>
  </si>
  <si>
    <t>动时间：2023年8月24日—8月25日</t>
  </si>
  <si>
    <t>本次夏令营活动计划根据申请条件择优招收营员100人</t>
  </si>
  <si>
    <t>1、《华中科技大学同济医学院生殖健康研究所2023年暑期夏令营申请表》1份（附件1，需签字盖章）；
2、本科阶段成绩单和专业排名证明材料（由学校教务部门盖章）；
3、英语水平证明。大学英语四、六级成绩单，或TOEFL/GRE/GMAT/雅思等成绩证书的扫描件；
4、个人简历1份；
5、体现自身学术水平的代表性学术论文或其他原创性工作成果、获奖证书等；
6、《2023年夏令营营员个人信息汇总表》1份（附件2，excel电子版）。</t>
  </si>
  <si>
    <t>参加夏令营的学子按要求完成各项活动，可获得研究所颁发的“优秀大学生学术夏令营”活动结业证书，部分同学将获得“优秀营员”证书。取得“优秀营员”资格的学生如报考研究所推荐免试研究生，在推免计划允许的情况下，同等条件优先录取。</t>
  </si>
  <si>
    <t>招收专业为学术型妇产科学硕士（100211）。</t>
  </si>
  <si>
    <t>妇产医学院</t>
  </si>
  <si>
    <t>全国大学英语六级水平（成绩≥425分）或TOEFL（iBT）≥90分或IELTS（A类）≥6.0分</t>
  </si>
  <si>
    <t>7月 18 日13:00-16:00报到
7月 19 日8:30-9:00开营仪式9:00-11:00西院教学科研区参观14:00-16:00东院诊疗区参观
7月 20 日8:30-10:00师生交流10:00-10:30闭营仪式12:00 以前退房</t>
  </si>
  <si>
    <t>申请时间：即日起至2023年7月9日24:00前</t>
  </si>
  <si>
    <t>教育部学籍在线验证报告：登陆“学信网”在“在线认证”一栏申请办理一个教育部学籍在线验证报告（电子版），下载并打印；电子版：将生成的验证报告电子文件，命名为：“1. 学籍信息”；
照片：本人近期一寸白底彩色身份证版式照片。电子版：照片请使用JPG格式电子文件，命名为：“2.照片”；
专家推荐书：副教授及以上专家推荐书1份（附件1）。电子版生成一份PDF格式的电子文件，命名为：“3.推荐书” ；
本科阶段成绩单及本专业排名证明(学校教务部门或院系盖章)。电子版：各生成PDF格式的电子文件，命名为：“4.1成绩单，4.2专业排名”；
英语水平证明：生成PDF格式的电子文件，命名为：“5.英语水平”；
其他证明材料：包括各类获奖证书复印件；体现自身学术水平的代表性学术论文、出版物或原创性工作成果等)。电子版：生成PDF格式的电子文件，如材料较多请建立文件夹，命名为：“6.其他证明材料”。
自荐信：格式不限，可包括简历、为何报考相关学院及专业、未来学习研究计划等。电子版：生成PDF或Word格式的电子文件，命名为“7.自荐信”。</t>
  </si>
  <si>
    <t>食宿：为入选营员提供夏令营期间在学院活动期间的食宿(本校或家庭所在地是北京的学生不安排住宿；住宿时间：7月18-20日中午12时止)；
交通：学院将参照营员本科学校所在地至北京的“高铁二等座票”、“动车等座票”或者“普快列车硬座票”的标准报销单程交通费(需提供该程车票作为报销凭证；营员请自行预定往返车票)；
参加暑期夏令营的学生必须遵守学院相关规定，按照统一的安排参加各项活动，并注意安全，无故缺席者将被取消营员资格；
营员在夏令营期间发生的医疗费用及因个人行为导致的意外事故，由营员本人或其派出单位承担</t>
  </si>
  <si>
    <t xml:space="preserve">学院将采取开放式考核的方式从最终进入夏令营结营考核的营员中，对营员进行全面考核，并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
</t>
  </si>
  <si>
    <t>附属北京积水潭医院</t>
  </si>
  <si>
    <t>在学期间学习成绩优秀，基本具备保研资格</t>
  </si>
  <si>
    <t>英语水平应达到以下条件之一：①TOEFL≥90分（IBT）；②新GRE≥305分；③WSK（PETS 5）考试合格；④大学英语六级CET6≥425分；⑤国家英语专业四级（TEM-4）考试合格；⑥IELTS（A类）≥6.0；⑦在官方语言为英语的国家或地区参加过英文授课学位项目学习并获得学位</t>
  </si>
  <si>
    <t>拟采取线上+线下形式举办</t>
  </si>
  <si>
    <t>申请时间：即日起至2023年7月15日24:00前</t>
  </si>
  <si>
    <t>活动时间：线下主题活动2023年7月底；线上综合活动2023年8月</t>
  </si>
  <si>
    <t>1
教育部学籍在线验证报告：登录“学信网”在“在线认证”一栏申请办理一个教育部学籍在线验证报告（电子版），下载并打印。
2
照片：本人近期一寸白底彩色身份证版式照片。
3
专家推荐书：副教授及以上专家推荐书1份（附件1）。电子版需专家签字后扫描生成。
4
本科阶段成绩单及本专业排名证明(学校教务部门或院系盖章)。
5
英语水平证明：英语六级水平证书或托福、雅思等相关英语成绩证明（官方认证的纸质成绩单复印件）。
6
其他证明材料：包括各类获奖证书复印件；体现自身学术水平的代表性学术论文、出版物或原创性工作成果；社会实践证明材料等。
7
自荐信：格式不限，可包括简历、为何报考相关学院及专业、未来学习研究计划等。</t>
  </si>
  <si>
    <t>为入选营员免费提供午餐，评为优秀营员且成功报考我院2024级研究生的京外生源，正式录取后可给与一定的食宿及交通补贴。</t>
  </si>
  <si>
    <t>学院将从最终进入夏令营结营考核的营员中，根据考核成绩选拔优秀者授予“优秀营员”称号。优秀营员可在2024年首都医科大学硕士研究生招生录取时享受以下优惠政策：
如获得就读学校2024年推免资格，并登录“教育部推免系统”填报与夏令营结营考核专业相同的志愿（学院、专业、研究方向一致），将由学院优先向学校推荐录取。
其余营员授予“合格营员”称号，同等条件下优先进入我校2024年推免生预选拔复试，同等条件下优先录取。
如有“优秀营员”放弃资格，“合格营员”可依次递补为“优秀营员”。</t>
  </si>
  <si>
    <t>综合测评专业排名前30%。（已发表第一作者SCI论文的同学可不受此条限制）</t>
  </si>
  <si>
    <t>申请者英语水平应达到以下条件之一：① CET-4通过（或≥425分）；② WSK（PETS-4）考试合格；③ 国家英语专业四级及以上考试合格；④ TOEFL成绩65分以上（IBT）或250分以上（CBT）；⑤ GRE成绩1300分以上，新GRE成绩325分以上；⑥ IELTS ≥5.5</t>
  </si>
  <si>
    <t xml:space="preserve">7月18日14:00-17:00报到
7月19日上午开营仪式、专业推介、师生交流
7月19日下午参观长清校区(博物馆-教室-图书馆-食堂-针灸研究院-中医外治新材料研究院)
7月20日上午参观针灸推拿学学科相关科室(针灸科、推拿科、中医外治中心、治末病中心、小儿推拿中心)
7月20日下午专家讲座
7月21日上午个人展示、闭营
</t>
  </si>
  <si>
    <t>报名时间为2023年7月3日～2023年7月13日</t>
  </si>
  <si>
    <t>举办时间为2023年7月18日-21日</t>
  </si>
  <si>
    <t>1.《山东中医药大学针灸推拿学院2023年大学生夏令营申请表》；
2.有效身份证件（正反面在一页上）；
3.本人学籍认证报告，学信网上在线验证并下载；
4.学生证（照片、学号页及注册页）；
5.本科成绩单（需有院系或教务处红章），综合测评专业排名证明材料（盖章要求同前）。
6.英语水平证明材料（英语成绩证书等）；
7.个人简历（中英文均可，无格式要求）；
8.获奖证书复印件（包括本科期间能突出自己特长、社会贡献、综合素质能力等各类证书）；
9.已发表或接收的论文及专利，或其它原创性成果、有参考价值的科研实验工作证明材料等。</t>
  </si>
  <si>
    <t>本次夏令营不收取任何费用，并为所有学员提供食宿（食宿地点在校内）；所有学员请自行预定往返车票，并以纸质车票为凭证，我校将报销往返车票（仅限高铁二等座及以下）。</t>
  </si>
  <si>
    <t>在夏令营活动中被评为优秀营员的申请人，如下半年获得推荐免试资格并申请我校推免研究生，届时还应通过教育部“全国推免服务系统”注册并填报志愿，按工作程序完成招生流程。</t>
  </si>
  <si>
    <t>国家卫生健康委科研所（延长报名）</t>
  </si>
  <si>
    <t>报名时间延长至2023年7月7日</t>
  </si>
  <si>
    <t>研究生培养基地（宁波院区）</t>
  </si>
  <si>
    <t>申请时间：2023年7月5日-2023年7月11日</t>
  </si>
  <si>
    <t>第一期时间为7月17日至7月30日，第二期时间为8月7日至8月20日</t>
  </si>
  <si>
    <t>面向国内各高校在读医学类和药学类专业本科学生（不限年级）。每期限10人，名额有限</t>
  </si>
  <si>
    <t>夏令营期间为营员免费提供食宿，凭票按火车（汽车）硬座标准报销往返路费（实报高校所在城市至余姚北的火车硬座或硬卧或动车二等座，市内车费不予报销，具体报销规则另行通知）。</t>
  </si>
  <si>
    <t>苏州大学苏州医学院</t>
  </si>
  <si>
    <t>放射医学与防护学院</t>
  </si>
  <si>
    <t>学习优秀，成绩排名在本专业前30%</t>
  </si>
  <si>
    <t>英语基础扎实</t>
  </si>
  <si>
    <t>申请时间：即日起至7月10日</t>
  </si>
  <si>
    <t>活动时间：2023年7月14日</t>
  </si>
  <si>
    <t>招收50名学员</t>
  </si>
  <si>
    <t>第十临床医学院(附属北京胸科医院)</t>
  </si>
  <si>
    <t>在本科学习期间成绩优秀，本科总成绩年级排名前30%</t>
  </si>
  <si>
    <t>具备较强的英语听、说、读、写能力,一般需具备如下其一成绩：CET6≥460；CET4≥500;雅思≥6.0；托福≥90</t>
  </si>
  <si>
    <t>活动安排：线下活动与线上活动相结合。线下活动主要包括学科报告会、与导师面对面、与在读研究生交流、医院和科室参观等。夏令营线下活动结束后，专业将安排部分线上活动，为学生打造优质便捷的交流平台，部分营员可进入到心仪导师研究团队，远程线上参与科学研究。</t>
  </si>
  <si>
    <t>申请时间：即日起至2023年7月13日24:00</t>
  </si>
  <si>
    <t>活动时间：2023年7月26-27日</t>
  </si>
  <si>
    <t>入营人数原则上不超过10人</t>
  </si>
  <si>
    <t>1.教育部学籍在线验证报告：登陆“学信网”在“在线认证”一栏申请办理教育部学籍在线验证报告(电子版)，下载并打印；
2.照片：本人近期一寸白底彩色身份证版式照片，不可过度修图。电子版：照片请使用JPG格式电子文件，像素为390*260，大小在200k以内；
3.专家推荐书(见附件)：副教授及以上专家推荐签字后扫描；
4.本科阶段成绩单及本专业排名证明(学校教务部门或院系盖章)；
5.英语水平证明；
6.其他证明材料：包括身份证正反面扫描，学生证首页和内容页扫描，各类获奖证书复印件；体现自身学术水平的代表性学术论文、出版物或原创性工作成果等；
7.自荐信：格式不限，可包括简历、为何报考相关学院及专业、未来学习研究计划等。</t>
  </si>
  <si>
    <t>夏令营营期1天，餐食由北京胸科医院承担，补贴住宿费，往来交通费用需自理。营员必须遵守我院各项规定，按照统一安排参加各项活动，注意安全，无故缺席者将被取消营员资格。</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</si>
  <si>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如获得就读学校2024年推免资格，并登陆“教育部推免系统”填报与夏令营结营考核专业相同的志愿(学院、专业、研究方向一致)，将由学院直接向学校推荐录取。
其余营员授予“合格营员”称号，同等条件下优先进入我校2024年推免生预选拔复试，同等条件下优先录取。
如有“优秀营员”放弃资格，“合格营员”可依次递补为“优秀营员”。</t>
  </si>
  <si>
    <t>本科期间成绩年级排名要求：“双一流”建设高校年级成绩排名前30%者，其他学科评估B+及以上院校年级成绩排名前15%者。</t>
  </si>
  <si>
    <t>申请对象外语水平须达到CET6≥425(TOEFL≥90/IELTS≥6.0)。</t>
  </si>
  <si>
    <t>8月7日13:30-16:30报到 
8月8日9:00-11:30开营仪式及参观 13:30-17:00科研临床实训、交流活动
8月9日8:30-17:00科研临床实训、交流活动
8月10日8:30-11:30考核13:30-17:00考核
8月11日9:00-10:00结营</t>
  </si>
  <si>
    <t>2023年8月7日-11日</t>
  </si>
  <si>
    <t xml:space="preserve">入营人数：30-40名
</t>
  </si>
  <si>
    <t>1.《上海交通大学口腔医学院 2023 年全国优秀大学生招生夏令营报名登记表》（报名系统生成）；
    2. 身份证、学生证复印件；
    3. 本科期间成绩单（教务处盖章）；
   4. 成绩年级排名证明（教务处盖章）；
   5. 2名所在学院副高及以上职称专家推荐信；
   6. 其他证明材料扫描件（发表论文、英语、奖项等）。
   注：身份证和学生证须准备原件用于报到核验；
      所有材料的扫描件请按要求上传报名系统；夏令营入围同学请准备全套纸质版材料待入营后上交。</t>
  </si>
  <si>
    <t>学院将提供夏令营期间餐饮和非上海高校营员住宿，报销营员高校所在城市至上海市的往返火车票（火车硬卧或动车二等座标准），需报销者请妥善保管车票待另行通知。</t>
  </si>
  <si>
    <t>第四临床医学院(附属北京同仁医院)</t>
  </si>
  <si>
    <t>在校学习期间成绩优秀，本科总成绩在所学专业内排名前30%</t>
  </si>
  <si>
    <t>具备较强的英语听、说、读、写能力，大学英语(CET)六级成绩不低于425分</t>
  </si>
  <si>
    <t>学院将于7月下旬组织线下活动：使营员能够深入了解学院风貌、各学科优势、科研实力与师资力量，亲身感受学院文化、学术氛围。组织参观交流、师生零距离对话</t>
  </si>
  <si>
    <t>申请时间：即日起至2023年7月13日17:00</t>
  </si>
  <si>
    <t>活动时间：2023年7月</t>
  </si>
  <si>
    <t>1.如实填写“附件1：2023年夏令营个人信息采集表”(Excel数据表)。
2.教育部学籍在线验证报告：登陆“学信网”在“在线认证”一栏申请办理《教育部学籍在线验证报告(电子版)》，下载并打印。将生成的验证报告电子文件，命名为：“2.学籍信息-姓名”。
3.照片：本人近期一寸白底彩色身份证版式照片。照片请使用JPG格式电子文件，像素为390*260，大小在200k以内，命名为：“3.照片-姓名-联系方式”。
4.本科阶段成绩单及本专业排名证明(学校教务部门或院系盖章)。分别扫描成PDF格式文件，命名为：“4.1成绩单-姓名，4.2专业排名-姓名”。
5.英语水平证明：生成PDF格式的电子文件，命名为：“5.英语水平证明-姓名”。
6.其他证明材料：包括各类获奖证书复印件；体现自身学术水平的代表性学术论文、出版物或原创性工作成果等。扫描成PDF格式文件，如材料较多请建立文件夹，命名为：“6.其他证明材料-姓名”。
7.自荐信：格式不限，可包括简历、为何报考我院及相关专业、未来学习研究计划等。生成PDF格式文件，命名为“7.自荐信-姓名-联系方式”。</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</si>
  <si>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并提前参与到学院丰富的学术活动中，其余营员授予“合格营员”称号，同等条件下优先进入我校2024年推免生预选拔复试，同等条件下优先录取。</t>
  </si>
  <si>
    <t>第三临床医学院(附属北京朝阳医院)</t>
  </si>
  <si>
    <t>全国大学英语六级水平(成绩450分以上)，或雅思6.5分以上，或托福95分以上</t>
  </si>
  <si>
    <t>活动安排：线下活动。主要包括医院院史与医院现状、专业概况与特色、学术讲座、师生晤谈交流、在读研究生交流、院内参观等。具体安排另行通知。</t>
  </si>
  <si>
    <t>申请时间：即日起至2023年7月13日23:59前</t>
  </si>
  <si>
    <t xml:space="preserve">入营人数原则上不超过20人
报名学科专业：急诊医学、呼吸内科、心内科、骨科、泌尿外科、麻醉科、放射科、口腔科。仅限招收专业学位硕士研究生
</t>
  </si>
  <si>
    <t xml:space="preserve">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2．照片：本人近期一寸白底彩色身份证版式照片。电子版：照片请使用JPG格式电子文件，像素为390*260，大小在200k以内，命名为：“2.照片”；
3．专家推荐书：副教授及以上专家推荐书1份(附件1)。电子版生成一份PDF格式的电子文件，命名为：“3.推荐书”；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
</t>
  </si>
  <si>
    <t>1．住宿：为入选营员免费提供食宿；
2．交通：交通费用自理</t>
  </si>
  <si>
    <t>学院将从最终进入夏令营结营考核的营员中，根据考核成绩选拔优秀者授予“优秀营员”称号。优秀营员可在2024年首都医科大学硕士研究生招生录取时享受以下优惠政策：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
其余营员授予“合格营员”称号，同等条件下优先进入我校2024年推免生预选拔复试，同等条件下优先录取。</t>
  </si>
  <si>
    <t>大学期间无不及格及重修课程，截至目前的成绩平均绩点≥4.0（绩点5分制）或成绩排名在专业前30%</t>
  </si>
  <si>
    <t>国家英语六级考试成绩须≥425分，或有其他证明本人外语能力的正式成绩证明（如托福总分不低于80分、雅思总分不低于5.5分）；</t>
  </si>
  <si>
    <t>7月29日上午报到茶山校区
7月29日下午开营仪式、参观校园、素质拓展茶山校区
7月30日全天分单位交流各培养单位
7月31日上午分单位交流各培养单位
7月31日下午闭营仪式、营员返程茶山校区</t>
  </si>
  <si>
    <t>申请时间：即日起至2023年7月20日</t>
  </si>
  <si>
    <t>活动时间：2023年7月29日-31日</t>
  </si>
  <si>
    <t>1.本人第二代居民身份证和学生证；
2.学籍在线验证报告（登录中国高等教育学生信息网（www.chsi.com.cn），进入“学信档案”-“在线验证报告”，在线申请验证并下载“教育部学籍在线验证报告”）；
3. 英语CET-6成绩单或其他英语水平测试成绩单；
4. 上述申请条件（四）的佐证材料
以上材料请按顺序整理，材料原件扫描合成一个PDF文档并压缩成zip格式（以“夏令营申请-姓名-所在学校”命名)上传至夏令营报名平台。</t>
  </si>
  <si>
    <t>我校夏令营不收取任何费用，学校为每位营员购买人身意外伤害保险。营员交通和食宿自理，根据营员本科高校所在地，凭交通及住宿发票按照以下标准一次性给予来温的交通食宿补贴：（1）温州市内：200元/人；（2）浙江省内（除温州市）：500元/人；（3）华东地区（除浙江省）：800元/人；（4）华南、华中、华北地区：1000元/人；（5）东北、西北、西南地区：1200元/人。</t>
  </si>
  <si>
    <t>2024年博士生“致远荣誉计划”</t>
  </si>
  <si>
    <t xml:space="preserve">（1）我校致远荣誉计划本科生；
（2）教育部基础学科拔尖学生培养计划成绩排名前50%的学生；
（3）C9高校学科排名 B+以上且成绩排名前20%的学生；
（4）全国A类学科普通班成绩排名前16%的学生。
</t>
  </si>
  <si>
    <t>报名时间即日起至2023年7月20日17:00</t>
  </si>
  <si>
    <t>活动时间：2023年8月3日-4日</t>
  </si>
  <si>
    <t>附属新华医院2024年博士生“致远荣誉计划”</t>
  </si>
  <si>
    <t xml:space="preserve">（1）我校致远荣誉计划本科生；
（2）教育部基础学科拔尖学生培养计划成绩排名前50%的学生；
（3）C9高校学科排名 B+以上且成绩排名前20%的学生；
（4）全国A类学科普通班成绩排名前15%的学生。
</t>
  </si>
  <si>
    <t>报名时间2023年7月10日- 7月13日</t>
  </si>
  <si>
    <t>活动时间：2023年7月17日-7月19日</t>
  </si>
  <si>
    <t>直博生5名</t>
  </si>
  <si>
    <t>.学习成绩优秀，在学期间无不及格科目，提供教务部门审核的成绩单</t>
  </si>
  <si>
    <t>英语水平优良，CET62500分或托福90分或雅思&gt;6.5分</t>
  </si>
  <si>
    <t>申请时间：2023年7月18日至7月24日</t>
  </si>
  <si>
    <t>活动时间：2023年8月上旬</t>
  </si>
  <si>
    <t>计划招收营员400名左右</t>
  </si>
  <si>
    <t>1.个人简历;2.推免资格证明3.本科期间成绩单和专业排名 (截至2023年6月30日) ，须由教务部门盖章;4.专家推荐信，点击下载模板，要求副高及以上职称，须由推荐专家本人签名;5.英语相关考试成绩证明;6其他证明材料(如体现自身学术水平的代表性学术论文或其他原创性工作成果复印件、获奖证书复印件等)。</t>
  </si>
  <si>
    <t>基础医学院 线上
空军特色医学中心 线下
空军卫勤训练基地 线下
航空航天医学系 线下
军事预防医学系 线上
军事生物医学工程学系 线下
药学系 线下
军事医学心理学系 线上
护理系 待定
第一附属医院 线上
第二附属医院 线上
第三附属医院 线上</t>
  </si>
  <si>
    <t>基础医学院即日起—2023年7月20日
空军特色医学中心即日起—2023年7月28日
空军卫勤训练基地即日起—2023年8月18日
航空航天医学系即日起—2023年 7月20日
军事预防医学系即日起—2023年8月10日
军事生物医学工程学系考核时间：2023年8月下旬
药学系 即日起—2023年8月14日
军事医学心理学即日起—2023年8月21日
护理系即日起—2023年7月30日
第一附属医院考核时间：2023年8月下旬
第二附属医院考核时间：2023年8月30日
第三附属医院 即日起—2023年7月31日</t>
  </si>
  <si>
    <t>基础医学院2023年8月下旬
空军特色医学中心考核时间：2023年8月
空军卫勤训练基地考核时间：2023年8月底
航空航天医学系考核时间：2023年7月24日—7月25日
军事预防医学系军事预防医学系考核时间：2023年8月下旬
军事生物医学工程学系考核时间：2023年8月下旬
药学系考核时间：2023年8月22日
军事医学心理学另行通知
护理系考核时间：2023年8月下旬
第一附属医院考核时间：2023年8月下旬
第二附属医院考核时间：2023年8月30日
第三附属医院 考核时间：2023年8月中下旬</t>
  </si>
  <si>
    <t>附属第六人民医院2024级博士生“致远荣誉计划”</t>
  </si>
  <si>
    <t>（1）我校致远荣誉计划本科生；
    （2）教育部基础学科拔尖学生培养计划成绩排名前50%的学生；
    （3）C9高校学科排名 B+以上且成绩排名前20%的学生；
    （4）全国A类学科普通班成绩排名前15%的学生。</t>
  </si>
  <si>
    <t>报名时间：2023年7月10 日- 7月13日17:00</t>
  </si>
  <si>
    <t>2023年7月17日-7月18日</t>
  </si>
  <si>
    <t>直博生6名</t>
  </si>
  <si>
    <t>宣讲会、见面会、实地参观、学术沙龙、结营考核等环节。
宣讲会：2023年7月26日上午（腾讯会议，具体事项另行通知）。
专业组交流：各专业团队根据学生提交的资料，择优组织学生见面会（具体事项和时间由各专业团队另行通知）。根据各专业要求，营员准备3分钟自我介绍PPT 展示（中英文均可）。
结营考核：各专业组织结营考核等系列活动，评选优秀营员颁发证书。</t>
  </si>
  <si>
    <t>报名时间：即日起至2023年7月23日24:00前</t>
  </si>
  <si>
    <t>活动时间：2023年7月26日</t>
  </si>
  <si>
    <t>拟招收人数20人</t>
  </si>
  <si>
    <t>①教育部学籍在线验证报告：登陆“学信网”在“在线认证”一栏申请办理教育部学籍在线验证报告（电子版），下载并打印；电子版：命名为：“1.本人姓名+学籍信息”；
②照片：本人近期一寸白底彩色身份证版式照片， JPG 格式电子文件，像素为390*260，大小在200k以内，命名为：“2.本人姓名+照片”；
③英语水平证明：生成PDF格式的电子文件，命名为：“3. 本人姓名+英语水平”；
【能够体现自我能力的申请材料】
④本科阶段成绩单及本专业排名证明(学校教务部门或院系盖章，如无法盖章请写一份承诺书，并签名) 电子版，命名为：“4.本人姓名+成绩单/专业排名”；
⑤其他证明材料：包括各类获奖证书、体现自身学术水平的代表性 学术论文、出版物或原创性工作成果等)电子版，如材料较多可建立文件夹，命名为：“5.本人姓名+其他证明材料”；
⑥自荐信：格式不限，可包括简历、为何报考相关学院及专业、未 来学习研究计划等，命名为“6.本人姓名+自荐信”。</t>
  </si>
  <si>
    <t>1.学院将从最终进入夏令营结营考核的营员中，根据考核成绩选拔优秀者授予“优秀营员”称号。优秀营员如获得就读学校2024年推免资格，并登陆“教育部推免系统”填报与夏令营结营考核专业相同的志愿（学院、专业、研究方向一致），将由中心优先向学校推荐录取。
2.其余营员授予“合格营员”称号，同等条件下优先进入我校2024年推免生预选拔复试，同等条件下优先录取。</t>
  </si>
  <si>
    <t>大学本科成绩优秀，达到该院校推免要求；原则上要求截止目前本科期间成绩达到本专业年级排名前10%（双一流建设高校可放宽至前30%）</t>
  </si>
  <si>
    <t>CET-6≥425</t>
  </si>
  <si>
    <t xml:space="preserve">主要通过材料审核结合综合面试的方式开展考核工作，其中综合面试要求申请者幻灯汇报个人基本情况、参与科研和社会实践活动情况等(汇报时间约5分钟)，并回答评委提问。
</t>
  </si>
  <si>
    <t>申请时间：即日起至7月31日24:00前</t>
  </si>
  <si>
    <t>活动时间：2023年8月中下旬</t>
  </si>
  <si>
    <t>（1）《2023年暑期夏令营活动申请表》（附件2，纸质版签字并扫描）；
（2）个人简历1份；
（3）本科成绩单(截至目前)，全专业成绩排名证明（加盖学校或院系教务部门公章）；
（4）外语等级考试成绩单（大学英语六级考试成绩、TOEFL成绩等）；
（5）身份证（正反）、学生证扫描件；
（6）学术科研成果（论文、课题及专利等）和竞赛获奖证书；
（7）文体特长等级证书或获奖证书等证明材料。</t>
  </si>
  <si>
    <t>考核优秀者可申请推免为直博生。</t>
  </si>
  <si>
    <t>附属第一人民医院2024级博士生“致远荣誉计划”</t>
  </si>
  <si>
    <t>（1）我校致远荣誉计划本科生；
（2）教育部基础学科拔尖学生培养计划成绩排名前 50%的学生；
（3）C9 高校学科排名 B+以上且成绩排名前 20%的学生；
（4）全国 A 类学科普通班成绩排名前 15%的学生。</t>
  </si>
  <si>
    <t>1.   身份证复印件
2.   学生证复印件
3.   《学籍在线验证报告》（如果有）
4.   报名系统打印的报名登记表
5.   学习成绩证明单
6.   符合致远直博生要求的英语成绩证明
7.   公开发表（或接收）的学术论文等(若有)
8.医学院要求的其他资料
其他：普通直博生和硕士夏令营择期举办（一般在7月中下旬报名、8月中上旬线下举办）</t>
  </si>
  <si>
    <t>附属仁济医院2024级博士生“致远荣誉计划”</t>
  </si>
  <si>
    <t>（1）上海交通大学致远荣誉计划本科生；
（2）教育部基础学科拔尖学生培养计划成绩排名前50%的学生；
（3）C9高校学科排名B+以上且成绩排名前20%的学生；
（4）全国A类学科普通班成绩排名前15%的学生。</t>
  </si>
  <si>
    <t>报名时间为2023年7月13日16:00-7月16日20:00</t>
  </si>
  <si>
    <t>预计于7月18-20日左右举行，具体于7月17日当天通知到有资格参加的考生本人</t>
  </si>
  <si>
    <t>通过面试者，填写并提交《上海交通大学荣誉计划申请表》（附件 2），同时提交材料包括：①个人陈述；②本科成绩单；③成绩排名证明；④发表论文；⑤博士研究计划；⑥两封专家推荐信；⑦ 校外联合培养导师的支撑材料。</t>
  </si>
  <si>
    <t>有志从事科学研究和临床研究工作，学习成绩优秀，具有较强动手能力和较好科研潜质，总成绩排名原则上在所读学校同年级本专业前30％之内者（在其它方面有突出表现的学生除外），已经获得或即将获得所在高校推荐免试生资格者优先。</t>
  </si>
  <si>
    <t>8.7 报道
8.8 开营仪式、名师讲座等
8.9 相关教研室师生专题交流、面试等
8.10 相关教研室师生专题交流、面试等
8.11 闭营仪式</t>
  </si>
  <si>
    <t>申请时间：即日起至7月21日</t>
  </si>
  <si>
    <t>活动时间：2023年8月7日-11日</t>
  </si>
  <si>
    <t>本项目将从全国重点高等院校拟招收80名医学相关专业（医学、生物学、药学）大学应届毕业生。</t>
  </si>
  <si>
    <t>1、《中山大学附属第六医院2023年全国优秀大学生夏令营申请表》；
2、本科阶段成绩单及同年级总成绩排名（由教务部门或院系盖章）扫描件；
3、英语四六级证书扫描件。
4、个人简历
5、体现自身英语水平的证明以及其他证明材料（如体现自身学术水平的代表性学术论文（包括包括相关杂志封面、目录页及文章正文页）或其他原创性工作成果复印件、获奖证书复印件等）。</t>
  </si>
  <si>
    <t xml:space="preserve">我院将为参加夏令营的正式营员购置保险及提供夏令营期间的食宿，以及往返所在学校或者实习医院与广州之间的路费补助（火车硬卧或动车二等座标准，需报销者请妥善保管票据）。
</t>
  </si>
  <si>
    <t>2023年“优才计划” 直博项目</t>
  </si>
  <si>
    <t>学习成绩优秀，专业成绩和综合成绩均名列本专业前茅，本科专业为非中医学专业，其中非医学专业学生原则上需同时达到相应学分要求(见附件2</t>
  </si>
  <si>
    <t>英语水平应达到以下要求之一：
(1)TOEFL成绩90分及以上；
(2)GRE成绩305分及以上(新)；
(3)国家英语六级考试合格(六级成绩达到425分)；
(4)雅思成绩(A类)6分及以上。</t>
  </si>
  <si>
    <t>①《北京中医药大学2023年“优才计划”夏令营申请表》(附件3)；
②本科学习成绩单；
③大学英语六级考试成绩单或其他英文水平证明；
④获奖证书；
⑤代表性学术论文；
⑦其他能佐证具有学习医学能力的相关材料；</t>
  </si>
  <si>
    <t>申请时间截止至2023年8月12日17:00</t>
  </si>
  <si>
    <t>若优秀营员获得本科所在学校的2024年优秀应届本科毕业生推荐免试攻读研究生资格，可优先参加我校2024年推免生复试考核，同等条件下优先录取为北京中医药大学2024年“优才计划”项目博士研究生。</t>
  </si>
  <si>
    <t xml:space="preserve"> 空军军医大学</t>
  </si>
  <si>
    <t>西京医院</t>
  </si>
  <si>
    <t>大学本科成绩优秀，达到该院校推免资格</t>
  </si>
  <si>
    <t>1.《2023年空军军医大学第一附属医院暑期夏令营活动申请表》 (Word版)、《2023年暑期夏令营个人情况一览表》
(Excel版)
活动申请表
个人情况一览表
2.学校教务处或就读学院(系) 加盖公章的本科阶段成绩单、专业排名证明 (PDF版);
3.外语水平证明，如国家英语六级考试成绩单、TOEFL成绩、GRE成绩等(PDF版)4.学术科研成果(发表的论文、科研课题、专利等)(PDF版):
5.文体特长等级证书或各类获奖证书证明材料(PDF版)</t>
  </si>
  <si>
    <t>申请时间：7月15日-7月31日</t>
  </si>
  <si>
    <t>活动时间：2023年8月下旬</t>
  </si>
  <si>
    <t>面试对专业水平、科研能力、英语水平、个人素质等进行综合考评。
面试分个人陈述和专家提问两部分。个人陈述要求中文幻灯、英文汇报，主要内容为个人基本情况、参与科研和社会实践活动情况等个人陈述时间不超过5分钟、专家提问环节不超过3分钟。
专家对所有面试学员进行百分制打分，最终根据学员综合情况进行总评分</t>
  </si>
  <si>
    <t>1. 学员见面会：由医院领导介绍唐都医院的发展历史与现状，以及在人才培养、教学和科研等方面取得的成绩；
2. 学科宣讲会：由各学科负责人向学生介绍导师团队、研究方向、科研基础设施和研究生毕业去向等，使学生对各科室及研究方向有更进一步的了解；
3. 面试考核：面试考核内容包括综合素质考核、专业能力考核、英语口语能力考核三部分。面试分为个人陈述和专家提问，个人陈述要求中文幻灯、英文汇报，主要内容为个人基本情况、参与科研和社会实践活动情况等，个人陈述3分钟，专家提问3分钟。</t>
  </si>
  <si>
    <t>申请时间：即日-8月14日11:00</t>
  </si>
  <si>
    <t>活动时间：2023年8月30日</t>
  </si>
  <si>
    <t>（1）身份证（正反面）；
（2）《2023年暑期夏令营活动申请表》（附件1，签字盖章齐全）和《2023年暑期夏令营活动个人情况一览表》（附件2）；
（3）本科院校推免证明（盖章版）；
（4）本科成绩单、专业排名证明（加盖学校教务部门公章）；
（5）全国大学英语等级考试（国家英语六级考试、GRE或TOEFL成绩单）；
（6）学术科研成果（发表的论文、参与的课题或专利等）和获奖证书复印件；
（7）文体特长等级证书或获奖证书等证明材料。</t>
  </si>
  <si>
    <t>航空航天医学系</t>
  </si>
  <si>
    <t>CET4≥425分或CET6≥425</t>
  </si>
  <si>
    <t>1.空军军医大学及航空航天医学系概况介绍；
2.校史、校园参观（校史馆、张华纪念馆参观）；
3.学术前沿讲座
4.结营考核，选拔优秀营员。</t>
  </si>
  <si>
    <t>申请时间：2023年7月11日-7月22日</t>
  </si>
  <si>
    <t>活动时间：2023年7月24日-2023年7月25日</t>
  </si>
  <si>
    <t>1.《航空航天医学系2023年暑期夏令营报名表》（word版和签字盖章PDF版）；
2.《航空航天医学系2023年暑期夏令营个人情况一览表》（Excel版）；
3.身份证复印件（PDF版）；
4.CET-4或CET-6考试成绩、其他外语水平证明（PDF版）；
5.本科成绩单（PDF版，需体现具体成绩和专业排名，学校教务处或就读院系加盖公章）；
6.学术科研成果材料（发表的论文、出版的专著等）（PDF版）；
7.文体特长等级证书或各类获奖证书等证明材料（PDF版）。</t>
  </si>
  <si>
    <t>安徽医科大学</t>
  </si>
  <si>
    <t>第二临床医学院（第二附属医院）</t>
  </si>
  <si>
    <t>学习成绩应满足下列条件之一：（1）五年制或四年制医学专业学习成绩排名在同专业年级排名前30%；（2）安徽医科大学临床医学5+3专业学习成绩排名应在同专业年级前30%。</t>
  </si>
  <si>
    <t>英语水平满足下列条件之一：CET-6≥425分，CET-4≥500分，雅思≥5.5分</t>
  </si>
  <si>
    <t>7月25日报到；
7月26日上午夏令营开幕式、医院介绍会；
7月26日下午学科专题讲座；
7月27日上午参观科研实验中心、临床病区；
7月27日下午导师与营员交流会、离营。
具体安排以实际通知为准。</t>
  </si>
  <si>
    <t>申请时间截止至2023年7月19日17:00（即今日17:00）</t>
  </si>
  <si>
    <t>在7月25日-27日</t>
  </si>
  <si>
    <t>本次夏令营活动拟计划招收营员30名左右，实际入营人数将根据报名情况适当调整。</t>
  </si>
  <si>
    <t xml:space="preserve"> 1.申请表（见附件）；
    2.本科历年成绩单（加盖教务处公章）；
    3.英语水平的证明材料：全国大学生英语四、六级考试成绩单或相关证书；
    4.其他相关能力的证明材料（如发表论文、专利、各类获奖证书等。如有，需提供）；
    5.本人有效期内的身份证和学生证。
    请申请人将上述申请材料按顺序扫描合并成一个PDF文件，命名为“夏令营+目前在读的学校名称+个人姓名”，于7月19日17:00前发送至邮箱：ay2fyjxb@163.com，逾期不再受理。报名材料经过审核通过后将以正式邮件进行通知，并加入夏令营QQ群。</t>
  </si>
  <si>
    <t xml:space="preserve"> 活动期间为营员提供工作餐、住宿统一安排（合肥市内高校或家在合肥的学生不安排住宿），交通费自理。</t>
  </si>
  <si>
    <t> 暑期夏令营宣讲会</t>
  </si>
  <si>
    <t>13:30-14:00 观看视频
14:00-14:30 总体介绍
14:30-15:30 非手术科室、教育处答疑
15:30-16:30 手术科室、教育处答疑
16:30-17:30 其他学科、教育处答疑</t>
  </si>
  <si>
    <t>2023.7.21日举办</t>
  </si>
  <si>
    <t>眼科与视光医学院</t>
  </si>
  <si>
    <t>外语水平：英语四级考试成绩达425分及以上或TOEFL成绩65分以上、IELTS成绩达到5.5分以上亦可。</t>
  </si>
  <si>
    <t>学院将组织开营仪式、导师见面、附属眼科医院干眼中心体验、眼科手术零距离观摩、动物眼实操、眼科基础实验室观摩和体验等形式多样的活动，帮助同学拓宽学术视野，了解学科前沿，激发科研热情。参营学员可同时参加学校2024年推荐免试硕士研究生的选拔。
8月1日14:00-17:00报到
8月2日9:00-9:20开营仪式
9:20-10:00导师简介、师生交流
10:00-11:30全景眼底检查和干眼中心体验与交流
14:00-17:00眼科手术零距离观摩
8月3日9:00--11:30白内障超乳初体验--动物眼实操
14:00-15:00近视防控创新技术体验
15:00-16:00眼科基础实验室观摩和体验
16:00-17:00总结分享、闭营</t>
  </si>
  <si>
    <t>即日起至2023年7月30日</t>
  </si>
  <si>
    <t>2023年8月1日-3日举办</t>
  </si>
  <si>
    <t>本次夏令营计划招收营员20人，实际入营人数将根据报名情况适当调整</t>
  </si>
  <si>
    <t>1
《山东中医药大学眼科与视光医学院2023年大学生夏令营申请表》（点击最下方“阅读原文”下载申请表）；
2
有效身份证件（正反面须在一页上）；
3
本人学籍认证报告，学信网上在线验证并下载；
4
学生证（照片、学号页及注册页）；
5
本科成绩单（需有院系或教务处红章）；
6
英语水平证明材料（英语成绩证书等）；
7
个人简历（中英文均可，无格式要求）；
8
获奖证书复印件（包括本科期间能突出自己特长、社会贡献、综合素质能力等各类证书）；
9
已发表或接收的论文及专利，或其它原创性成果、有参考价值的科研实验工作证明材料等。</t>
  </si>
  <si>
    <t xml:space="preserve">本次夏令营不收取任何费用，并为所有学员提供食宿；所有学员请自行预定往返车票，并以纸质车票为凭证，我院将报销往返车票（仅限高铁二等座及以下）。
</t>
  </si>
  <si>
    <t>在夏令营活动中被评为优秀营员的申请人，如下半年获得推荐免试资格并申请我院推免研究生，届时还应通过教育部“全国推免服务系统”注册并填报志愿，按工作程序完成招生流程。</t>
  </si>
  <si>
    <t>遵义医科大学</t>
  </si>
  <si>
    <t>成绩优秀，无补考或重考记录，综合成绩（智育70%、德育20%、体育10%）排名在同年级同专业前30%以内</t>
  </si>
  <si>
    <t>1. 英语成绩优秀（CET-4考试成绩达到480分、CET-6考试成绩达到425分）；2. IELTS（国际英语语言测试系统，简称雅思考试）成绩≥6.0分；3. TOEFL（检定非英语为母语者的英语能力考试，简称托福考试）成绩≥60分。</t>
  </si>
  <si>
    <t>7月31日上午
遵义医科大学附属口腔医院
营员集中报到
7月31日下午
遵义医科大学附属口腔医院
开营仪式
8月1日
习水县习酒镇
素质拓展
8月2日
习水县土城镇黄金湾村素质拓展
8月3日
习水县土城镇素质拓展
8月4日上午
习水县土城镇卫生院素质拓展
8月4日下午
遵义医科大学附属口腔医院
座谈会、参观医院、实验室、颁发证书等</t>
  </si>
  <si>
    <t>报名时间：7月20日开始报名，截止7月26日17:00</t>
  </si>
  <si>
    <t>于7月31日至8月4日</t>
  </si>
  <si>
    <t>1. 本人第二代居民身份证和学生证；
2. 本科成绩单和本专业学业成绩年级排名证明（各1份，院级或校级教务部门盖章均可）；
3. 大学英语CET-4/CET-6成绩单，TOEFL、IELTS、GRE成绩单等英语成绩证明材料；
4. 个人简历及相关支撑材料做成一个PDF文件，如荣誉证书、资格证明、发表论文、专利等有关能力的证明材料（以“夏令营申请-姓名-所在学校”命名)发送到报名邮箱。</t>
  </si>
  <si>
    <t>夏令营期间我院协调安排食宿，报销营员学校所在城市至遵义市的往返火车票，报销标准参照遵义医科大学相关规定执行(火车硬卧或动车二等座标准)，需报销者请妥善保管票据待统一收取</t>
  </si>
  <si>
    <t>北京协和医学院整形外科医院</t>
  </si>
  <si>
    <t xml:space="preserve"> 学习成绩优秀，能够获得所在学校推免资格</t>
  </si>
  <si>
    <t>申请时间：即日-8月1日12:00</t>
  </si>
  <si>
    <t>外科学（专业型、学术型）、皮肤病与性病学（专业型、学术型）、麻醉学（专业型）、耳鼻咽喉科学（专业型）</t>
  </si>
  <si>
    <t>1）《个人简历》；
（2）《对报考学科的认识及未来职业规划》；
（3）推免资格证明（如有，非必须）；
（4）大学期间成绩单和专业排名，须由教务部门盖章；
（5）英语水平相关证明（英语四、六级考试、托福、雅思、GRE等英语水平证书）；
（6）其他证明材料（如获奖证书、发表文章、其他原创性学术成果等）。
请按照以上内容顺序，将报名材料合并为1个PDF格式的文档，文档以“本科学校+专业+姓名”方式命名，发送至邮箱：pshjxb@163.com，邮件主题为“夏令营报名+本科学校+专业+姓名”。</t>
  </si>
  <si>
    <t>龙华临床医学院</t>
  </si>
  <si>
    <t>专业排名前30%，已发表第一作者SCI论文或能达到所在高校推免资格的同学除外；</t>
  </si>
  <si>
    <t>申请者英语水平应达到以下条件之一：
（1）CET-4通过（或 ≥ 425分）；
（2）WSK（PETS-4）考试合格；
（3）国家英语专业四级及以上考试合格；
（4）TOEFL成绩65分以上（IBT）或250分以上（CBT）；
（5）GRE成绩1300分以上，新GRE成绩325分以上；
（6）IELTS ≥ 5.5</t>
  </si>
  <si>
    <t>本次夏令营将于8月中旬采取线上线下结合方式举办</t>
  </si>
  <si>
    <t>夏令营活动内容主要包括开营仪式、学院介绍、学术讲座、导师介绍、综合考核、医院参观等。</t>
  </si>
  <si>
    <t>2023年7月20日—2023年8月10日</t>
  </si>
  <si>
    <t>学术硕士3名</t>
  </si>
  <si>
    <t>01
《上海中医药大学龙华临床医学院2023年大学生夏令营申请表》；
02
有效身份证件（正反面在一页上）；
03
本人学籍认证报告，学信网上在线验证并下载；
04
学生证（照片、学号页及注册页）；
05
本科成绩单（需有院系或教务处红章），专业排名证明材料（盖章要求同前）；
06
英语水平证明材料（英语成绩证书等）；
07
个人简历（中英文均可，无格式要求）；
08
获奖证书复印件（包括本科期间能突出自己特长、社会贡献、综合素质能力等各类证书）；
09
已发表或接收的论文及专利，或其它原创性成果、有参考价值的科研实验工作证明材料等。</t>
  </si>
  <si>
    <t>​山东第一医科大学</t>
  </si>
  <si>
    <t>学习成绩排名前列，能够获得所在学校推荐免试资格；或有志参加山东第一医科大学研究生招生考试的学生</t>
  </si>
  <si>
    <t>英语水平优秀。满足以下之一：CET6≥425分或CET4≥500分；或托福85分及以上；或雅思6.0以上</t>
  </si>
  <si>
    <t>本年度夏令营活动初步定为线下开展。根据报名情况适当调整活动方式，如线上线下相结合、或者线上模式。</t>
  </si>
  <si>
    <t>开营仪式、学院介绍、学术讲座、导师介绍、综合考核、医院参观等。</t>
  </si>
  <si>
    <t>报名开始时间为2023年7月15日—30日</t>
  </si>
  <si>
    <t>1）学生证、身份证扫描件；
（2）个人电子照片：近期拍摄，正面免冠彩色照片；
（3）夏令营申请表（需签字，上传扫描件）；
（4）本科成绩单；
（5）英语成绩证明：英语四级、六级成绩单、TOEFL成绩、GRE成绩等证明材料扫描件；
（6）科研成果相关证明材料：申请人可提交体现自身学术水平的代表性学术论文、出版物或原创性工作成果及获奖证书。无科研成果者可不提交本项材料。</t>
  </si>
  <si>
    <t> 上海交通大学医学院</t>
  </si>
  <si>
    <t>附属国际和平妇幼保健院</t>
  </si>
  <si>
    <t>英语水平CET6≥425或TOEFL≥90或IELTS≥6.0</t>
  </si>
  <si>
    <t>活动安排：包括开营式、实验室参观、科研实训、导师见面会（学科推介会）、朋辈交流分享、学生评审等活动。申请人获得正式入营资格后会邮件通知具体日程安排。</t>
  </si>
  <si>
    <t>报名时间：2023.7.24-2023.8.8</t>
  </si>
  <si>
    <t>时间：8月中下旬，为期4-5天</t>
  </si>
  <si>
    <t>不收取营员任何费用。全程参加我院夏令营活动的营员，本院将为其免费提供夏令营期间的住宿和伙食（上海生源原则上不提供住宿）。承担营员本科高校所在城市往返上海的路费（按动车二等座的费用标准报销，营员须提供车票作为报销凭证）。</t>
  </si>
  <si>
    <t>根据学生综合素质、科研能力和学术潜质等进行考核，考核评审结束后给予相应的考核等第成绩，具体如下：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</si>
  <si>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符合上海交通大学本科直接攻读研究生的基本条件</t>
  </si>
  <si>
    <t>择优入营(7月28日左右，线上自行查看是否入营，也可能邮件通知)</t>
  </si>
  <si>
    <t>线下举办(预计8月1日-5日左右举办，学科介绍等具体日程待定）</t>
  </si>
  <si>
    <t>1. 身份证复印件
2. 学生证复印件
3. 《学籍在线验证报告》（如果有）
4. 报名系统打印的报名登记表
5. 学习成绩证明单
6. 符合要求的英语成绩证明
7. 公开发表（或接收）的学术论文等(若有)
8. 医学院要求的其他资料</t>
  </si>
  <si>
    <t>具有推荐免试资格的 2024年应届本科毕业生</t>
  </si>
  <si>
    <t xml:space="preserve">外语水平须达到 CET6≥425 （TOEFL≥90或IELTS≥6.0）
</t>
  </si>
  <si>
    <t xml:space="preserve">8月14日上午10:00-11:30哈密路教学中心105办公室(宿舍北虹路1131号)办理入营、入住宿舍、领取同仁医院餐厅饭卡将火车票交给教学科老师
下午13:30-16:30哈密路教学中心同仁医院夏令营开营式资格审查
8月15日全天导师所在科室科研实训
8月16日上午9:00-11:30哈密路教学中心211教室笔试
下午行政楼501面试
(非面试同学在导师所在科室科研实训)
8月17日上午行政楼501面试
(非面试同学在导师所在科室科研实训)
下午行政楼501面试
(非面试同学在导师所在科室科研实训)
8月18日上午行政楼501面试
(非面试同学在导师所在科室科研实训)
下午哈密路教学中心105办公室离营(退宿、交还胸牌卡)
</t>
  </si>
  <si>
    <t>7月28日—8月1日</t>
  </si>
  <si>
    <t>2023年8月14-18日</t>
  </si>
  <si>
    <t>直博5名学硕3名</t>
  </si>
  <si>
    <t>1)  身份证、学生证（原件供核验，纸质版复印件上交）；
2) 本科期间成绩单及成绩排名证明，加盖教务处公章（原件）；
3）国家英语六级等各类英语考试成绩单（原件供核验，纸质版复印件上交）；
4）报名直博生者提供科学研究计划1份；
5）报名直博生者提供专家推荐信2封（原件）；
6) 发表论文、获奖、荣誉等（原件供核验，纸质版复印件上交）；
7）纸质版个人简历及相关简明支撑材料7份（面试用）。</t>
  </si>
  <si>
    <t>附属瑞金医院</t>
  </si>
  <si>
    <t>重点高校拟获得推荐免试资格的2024年优秀应届本科毕业生</t>
  </si>
  <si>
    <t>按报名系统要求的材料进行提交。请务必检查所填报的手机号和邮箱地址信息准确，用于后续接收入营通知。</t>
  </si>
  <si>
    <t>择优入营(预计8月11日左右通知入营结果)</t>
  </si>
  <si>
    <t>除内分泌与代谢病专业以外的专业定于8月22日至25日举办；内分泌与代谢病专业定于8月27日至30日举办</t>
  </si>
  <si>
    <t>通过国家大学英语六级考试（425分及以上）或雅思英语成绩总分达到6.0或托福成绩≥90分，且达到所在高校推荐免试生要求</t>
  </si>
  <si>
    <t xml:space="preserve">夏令营期间将安排营员参加线上学科及教研室介绍，同时安排营员的考核选拔工作。
</t>
  </si>
  <si>
    <t>申请时间截止至8月3日</t>
  </si>
  <si>
    <t>2023年8月7日 — 11日</t>
  </si>
  <si>
    <t>（一）中国医科大学2023年优秀大学生暑期夏令营申请表1份；
（二）个人陈述1份；
（三）本科阶段成绩单（由教务部门或院系盖章）1 份；
（四）成绩排名或综合测评排名证明材料（由教务部门或学生管理部门盖章）1份；
（五）英语六级成绩单及其他英语水平证明材料（复印件）；
（六）各项获奖证书复印件或其他获奖材料（如体现自身学术水平的代表性学术论文或其他原创性工作成果复印件、获奖证书复印件等）。</t>
  </si>
  <si>
    <t>第一附属医院</t>
  </si>
  <si>
    <t>英语水平满足下列条件之一：CET-6≥425分；雅思≥5.5分</t>
  </si>
  <si>
    <t>8月17日上午：报到、开营仪式、专题报告、相关介绍
8月17日下午：参观医院
8月18日上午：课题组导师面对面、优秀学长学姐介绍
8月18日下午：营员考核、闭营仪式、离营</t>
  </si>
  <si>
    <t>2023年7月29-8月4日</t>
  </si>
  <si>
    <t>2023年8月17-18日</t>
  </si>
  <si>
    <t>未本次夏令营活动计划营员人数30-40名，实际入营人数将根据报名情况适当调整。说明</t>
  </si>
  <si>
    <t>1.申请表（点击下载）；安徽医科大学第一附属医院2023年全国优秀大学生暑期夏令营申请表
2.本科历年成绩单（加盖教务处公章）；
3.英语水平的证明材料：全国大学生英语六级考试成绩单或相关证书；
4.其他相关能力的证明材料（如发表论文、专利、各类获奖证书等）；
5．本人有效期内的身份证和学生证。</t>
  </si>
  <si>
    <t xml:space="preserve">本次夏令营活动不收取任何费用，活动期间提供中午、晚上工作餐以及免费住宿，交通费由营员自理。
</t>
  </si>
  <si>
    <t>河南科技大学</t>
  </si>
  <si>
    <t>各高校临床医学专业五年制普通本科2024年毕业在校生（不包含专升本）、专业学位2024年毕业硕士研究生，大学期间学业及综合评价优秀，获得过二等以上学业奖学金</t>
  </si>
  <si>
    <t>具有良好的英语应用能力</t>
  </si>
  <si>
    <t xml:space="preserve">8月16日报到入营
8月17日开营仪式临床医学院介绍各学科组师生座谈综合评测（本科生、专硕研究生）
8月18日上午参观河南科技大学生命科学馆参观河南科技大学第一附属医院开元院区下午穿汉服参观洛阳博物馆
8月19日上午结营仪式办理退宿
</t>
  </si>
  <si>
    <t>2023年7月24日—7月30日</t>
  </si>
  <si>
    <t>2023年8月16日-19日</t>
  </si>
  <si>
    <t>（1）2023年夏令营申请表1份；附身份证复印件一份(正反两面在同一界面)；（2）本科或硕士阶段成绩单1份；（3）各类获奖证书（复印件）；（4）国家英语四、六级考试成绩单，或TOEFL、GRE等体现本人英语水平的证明材料1份（复印件）；（5）申请人还可提交体现本人学术水平的代表性学术论文、出版物或原创性工作成果；</t>
  </si>
  <si>
    <t>住宿、餐饮由临床医学院统一安排，时间：8月16日—8月19日共四天。交通费用：非洛阳本地营员自行预定往返车票，限普通火车票（不含软卧）、高铁动车票（二等座）、汽车票，结营后凭票据报销。</t>
  </si>
  <si>
    <t>附属第一医院（第一临床学院）</t>
  </si>
  <si>
    <t>个人材料电子版：将上述1-6项材料按照编号顺序制作成一个pdf电子文件，命名为“夏令营申请-姓名-意向专业-学位类型-科室”。于8月2日下午16时前发送至邮箱749530980@qq.com进行报名。在邮件标题中也请注明“夏令营申请-姓名-意向专业-学位类型-科室”。 </t>
  </si>
  <si>
    <t>报名截止日期为8月2日下午16时</t>
  </si>
  <si>
    <t>2023年8月7日－8日 </t>
  </si>
  <si>
    <t>一）中国医科大学2023年优秀大学生暑期夏令营申请表1份； （二）个人陈述1份； （三）本科阶段成绩单（由教务部门或院系盖章）1份； （四）成绩排名或综合测评排名证明材料（由教务部门或学生管理部门盖章）1份；（五）英语六级成绩单及其他英语水平证明材料（复印件）； （六）各项获奖证书复印件或其他获奖材料（如体现自身学术水平的代表性学术论文或其他原创性工作成果复印件、获奖证书复印件等）。</t>
  </si>
  <si>
    <t>附属盛京医院（第二临床学院）</t>
  </si>
  <si>
    <t>线下or线上</t>
  </si>
  <si>
    <t>各科室自行拟定，请等待科室通知。</t>
  </si>
  <si>
    <t>截止至8月2日16:00前</t>
  </si>
  <si>
    <t>2023年8月1－11日，具体时间待参加夏令营活动的科室自主安排</t>
  </si>
  <si>
    <t xml:space="preserve">（一）中国医科大学2023年优秀大学生暑期夏令营申请表1份；（扫描件）
（二）个人陈述1份；（扫描件）
（三）本科阶段成绩单（由教务部门或院系盖章）1 份；（扫描件）
（四）成绩排名或综合测评排名证明材料（由教务部门或学生管理部门盖章）1份；（扫描件）
（五）英语六级成绩单及其他英语水平证明材料（复印件扫描件）；
（六）各项获奖证书复印件或其他获奖材料（如体现自身学术水平的代表性学术论文或其他原创性工作成果复印件、获奖证书复印件等）（扫描件）。
</t>
  </si>
  <si>
    <t>附属第四医院（第四临床学院）</t>
  </si>
  <si>
    <t>活动方式：以招生科室通知为准
活动内容：夏令营期间将安排营员参加科室举办的学科介绍、与导师交流等主题活动，同时安排营员的考核选拔工作。具体信息以报名科室通知信息为准。</t>
  </si>
  <si>
    <t>截止日期为2023年8月2日16时</t>
  </si>
  <si>
    <t>2023年8月04至8月10日</t>
  </si>
  <si>
    <t>（一）中国医科大学2023年优秀大学生暑期夏令营申请表1份；(扫描件)
（二）个人陈述1份；（扫描件）
（三）本科阶段成绩单（由教务部门或院系盖章）1 份；（扫描件）（扫描件）
（四）成绩排名或综合测评排名证明材料（由教务部门或学生管理部门盖章）1份；（扫描件）
（五）英语六级成绩单及其他英语水平证明材料（复印件扫描件）；
（六）各项获奖证书复印件或其他获奖材料（如体现自身学术水平的代表性学术论文或其他原创性工作成果复印件、获奖证书复印件等）（扫描件）。</t>
  </si>
  <si>
    <t>1.获得所在学校推荐免试研究生（以下简称推免生）资格并报考我校的优秀营员(报考志愿与夏令营志愿一致),免复试直接拟录取（最终录取将以中国医科大学公布的2024年研究生招生专业目录及计划为准）；
2.第一志愿报考我校硕士研究生的优秀营员（报考志愿与夏令营志愿一致），考试成绩达到复试基本分数线（含总分、单科分数）标准，同等条件下优先进复试；通过复试后，在同等条件下优先录取。（注：同等条件下是指总分及单科分数均相同）</t>
  </si>
  <si>
    <t>陆军军医大学</t>
  </si>
  <si>
    <t>全国“双一流”建设高校2024年应届毕业，本科或硕士期间成绩在本专业排名前60%者；一本以上非“双一流”建设高校2024年应届毕业，本科或硕士期间成绩在本专业排名前30%者（限医学及相关专业）</t>
  </si>
  <si>
    <t>对从事医学学术研究有浓厚兴趣，具有一定创新能力和科研潜力，英语水平优秀，英语四级达450分</t>
  </si>
  <si>
    <t>夏令营安排包括院士、著名专家教授专题讲座，科研之路经验分享会，研究生导师座谈，推免面试考核及联谊活动，校园、校史馆、各附属医院、陆军特色医学中心，及红色圣地参观等，聆听红医故事、感悟红医精神、传承红医文化。</t>
  </si>
  <si>
    <t>2023年8月15日之前</t>
  </si>
  <si>
    <t>2023年8月22-25日</t>
  </si>
  <si>
    <t>1.2023年优秀大学生夏令营申请表（见二维码）；
2.本科或研究生阶段成绩单；
3.全国大学英语四级（六级）考试成绩报告单；
4.相关证明材料（如已发表论文、各类获奖证书或资格证书等）；
5.如参加推免面试考核，则需另外提供个人陈述PPT（主要包括个人简介、研究课题、取得成果、科研能力及个人发展方向等），按照不超过5分钟时长准备；
请将以上1-4项材料按顺序扫描成一个PDF，同个人陈述PPT，于8月15日前发送至邮箱（见文章末）。邮件及文件名以“夏令营+姓名”命名。审核完成后将在大学招生就业网公布名单。</t>
  </si>
  <si>
    <t>上海儿童医学中心</t>
  </si>
  <si>
    <t>英语水平：CET6≥440或TOFEL≥90或IELTS≥6.0</t>
  </si>
  <si>
    <t>具体要求以收到入营通知为准</t>
  </si>
  <si>
    <t>8 月 10日-8 月 14日中午 12 点前，于上海交通大学医学院网上报名系统 （学生报名网址https://yjs.shsmu.edu.cn/index）→ 夏令营报名栏目进行报名，以报名第一志愿作为优先录取志愿。</t>
  </si>
  <si>
    <t>2023年8月21-24日</t>
  </si>
  <si>
    <t>1、招生专业：基础医学、儿科学、临床检验诊断学、影像医学与核医学、肿瘤学（具体请登录报名系统查看）。
2、拟招收学员：40人</t>
  </si>
  <si>
    <t xml:space="preserve">1. 《上海儿童医学中心2024年全国优秀大学生夏令营报名登记表》（报名系统生成，本人签字）；
2. 身份证、学生证的复印件各1份，原件备查；
3. 本科期间成绩单复印件1份（教务处盖章）；
4. 截至目前，成绩在所学专业和年级的排名证明，已获绩点/绩点总分的证明（教务处盖章）；
5. 两位副高（含）以上职称的专家推荐信（无固定模板，学生可根据个人情况提交）；
6. 其他证明材料复印件（国家英语四、六级等各类英语考试成绩单、获奖或资格证书、论文著作等）各1份。
</t>
  </si>
  <si>
    <t>A等，申请者须符合上海交通大学医学院接收优秀本科毕业生推荐免试攻读博士学位研究生招生要求，且与夏令营参加的培养单位及专业一致，则可直接录取为当年度博士研究生
B等，申请者须符合上海交通大学医学院接收优秀本科毕业生推荐免试攻读硕士学位研究生招生要求，且与夏令营参加的培养单位及专业一致，则可直接录取为硕士研究生；
C等，申请者须符合上海交通大学医学院接收优秀本科毕业生推荐免试攻读硕士学位研究生招生要求，且与夏令营参加的培养单位及专业一致，可直接获得推荐免试硕士研究生的复试资格，通过复试后优先录取；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</si>
  <si>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附属新华医院</t>
  </si>
  <si>
    <t>外语水平达到CET6≥425或TOEFL≥90或IELTS≥6.0</t>
  </si>
  <si>
    <t>1.报名时间：2023年8月11日—8月17日。
2.报名方式：注册登录网上报名系统，选择“新华医院2024年优秀大学生夏令营活动”，填写报名表并按要求上传报名材料。（https://yjs.shsmu.edu.cn/ndzs/home/index）
3.我院将根据申请者的报名信息、教育背景、学业水平、科研能力、综合素质等为主要评价依据，进行入营资格评审，确定入围名单，并将在2023年8月19日前以电子邮件方式通知入围者面试相关事宜（请申请者务必在报名系统中填写有效的电子邮件地址），未入围者将不再另行通知。</t>
  </si>
  <si>
    <t>2023年8月22日至24日</t>
  </si>
  <si>
    <t>学术学位直博21名</t>
  </si>
  <si>
    <t>A等，申请者须符合上海交通大学医学院接收优秀本科毕业生推荐免试攻读博士学位研究生招生要求，且与夏令营参加的培养单位及专业一致，则可直接录取为当年度博士研究生；
B等，申请者须符合上海交通大学医学院接收优秀本科毕业生推荐免试攻读硕士学位研究生招生要求，且与夏令营参加的培养单位及专业一致，则可直接录取为硕士研究生；
C等，申请者须符合上海交通大学医学院接收优秀本科毕业生推荐免试攻读硕士学位研究生招生要求，且与夏令营参加的培养单位及专业一致，可直接获得推荐免试硕士研究生的复试资格，通过复试后优先录取；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</si>
  <si>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附属仁济医院</t>
  </si>
  <si>
    <t>外语水平达到CET6≥425或TOEFL≥90或IELTS≥6.1</t>
  </si>
  <si>
    <t>2023年8月23日上午11:00至8月27日中午12:00</t>
  </si>
  <si>
    <t>预计2023年8月30日至9月1日</t>
  </si>
  <si>
    <t>此次夏令营活动不收取任何费用，西湖大学提供食宿，为来校学生购买保险；</t>
  </si>
  <si>
    <t>本次夏令营不收取报名费、营费及相关资料费，并为所有营员免费提供在校期间的食宿。</t>
  </si>
  <si>
    <t>提供夏令营期间食宿，交通费用自理。</t>
  </si>
  <si>
    <t>基础医学</t>
  </si>
  <si>
    <t>序号</t>
    <phoneticPr fontId="5" type="noConversion"/>
  </si>
  <si>
    <t>PTN项目</t>
  </si>
  <si>
    <t>海军军医大学</t>
  </si>
  <si>
    <t>上海免疫与感染研究所</t>
  </si>
  <si>
    <t>推送顺序</t>
  </si>
  <si>
    <t>1 成绩要求</t>
  </si>
  <si>
    <t>2 英语要求</t>
  </si>
  <si>
    <t>3 夏令营形式</t>
  </si>
  <si>
    <t>4 活动安排</t>
  </si>
  <si>
    <t>5 申请时间</t>
  </si>
  <si>
    <t>6 举办时间</t>
  </si>
  <si>
    <t>7 招生规模</t>
  </si>
  <si>
    <t>8 材料准备</t>
  </si>
  <si>
    <t>9 营员待遇</t>
  </si>
  <si>
    <t>10 优秀营员效力</t>
  </si>
  <si>
    <t xml:space="preserve"> 英语能力优秀，满足以下条件其中一项：
1) 全国大学英语六级考试（CET-6）成绩原则上480分及以上；
2) 新托福（TOEFL）考试成绩90分及以上；
3) 雅思（IELTS）成绩6.0分及以上；
4) 英语专业八级合格；
（PS：未达到以上英语水平条件，但科研业绩突出或学术潜力优秀的申请人，经审定，英语水平要求可放宽到全国大学英语六级考试（CET-6）460分）</t>
  </si>
  <si>
    <t>开营仪式、学科专业介绍、师生互动、优秀营员选拔（优秀营员将按学历背景分组评选）、参观交流等。</t>
  </si>
  <si>
    <t>请关注良渚实验室官方网站：http://liangzhulab.zju.edu.cn/，后续报名网址、报名材料及招生导师信息将于网站通知公告及人才培养栏目发布。</t>
  </si>
  <si>
    <t>将为营员提供免费食宿，营员请提前自行预订往返车票，来杭交通费可由良渚实验室报销（上限不超过800元，限火车硬座/卧铺席、动车/高铁二等座、飞机经济舱），入营报到时须提供纸质票据（飞机提供订单记录or登机牌+发票or航空运输电子客票行程单）进行报销。返程交通费（标准同来杭交通费）可在9月份参加良渚实验室推免复试时提供纸质票据进行报销。</t>
  </si>
  <si>
    <t>招生专业包括遗传学、免疫学、分子与细胞医学、生物信息学、生物物理学、肿瘤学、神经生物学、计算机科学、生物医学工程、干细胞与再生医学等；研究方向涵盖微流控、溶酶体离子通道、细胞器生理、药物筛选、组学药理学、单细胞多组学测序、干细胞与衰老、神经环路机制、结构生物学、原子建模方法、表观遗传学、人工智能与深度学习、蛋白质工程与蛋白质设计、细胞免疫治疗、多组学数据分析、细胞死亡领域、生物信息学、疾病遗传学、生物多样性格局与演化机制的解析、动物复杂性的起源和分子遗传学机制解析、基因治疗、合成免疫学、肿瘤免疫治疗、血细胞功能调控及血液病诊治等。</t>
  </si>
  <si>
    <t>北京生命科学研究所（含TIMBR项目）</t>
  </si>
  <si>
    <t>具有推荐免试资格的应届本科生。所有录取学生均需占用学生母校的推免指标。</t>
  </si>
  <si>
    <t>由北京生命科学研究所统一组织复试，具体时间待定。</t>
  </si>
  <si>
    <t>A. 报名登记表（网上注册时生成的文件，请打印后签名）
B. 个人陈述
C. 在校历年成绩单（盖教务处公章）
D. 国家英语水平考试六级证书或成绩单复印件
E. 专家推荐信2份，推荐信必须装入信封密封，骑缝处由推荐人签名
F. 如有已发表文章，仅需邮寄首页复印件</t>
  </si>
  <si>
    <t>研究方向的选择：
录取学生第一年在学籍单位完成基础课后进入研究所。在所内实验室进行2～3轮轮转培训，每轮时间为2个月。轮转结束后，导师和学生进行双向选择，决定研究方向。
录取后的学生待遇：
A． 第一年确定实验室之前，学生生活补贴为2,750元/月，第一年确定实验室后，学生生活补贴为3,000元/月；第二年为5,000元/月；
中期考核转博后第一年为5,500元/月；第二年为6,000元/月；第三年为6,500元/月。
B． 目前设立有NIBS优秀学生奖学金，奖金额度为1.5~3.5万元/人，每年约奖励6人；每年平均有3名学生获得国家奖学金，奖金额度为每人3万元。</t>
  </si>
  <si>
    <t>在发出录取通知书之前，将对获得录取资格的推免生，按以下要求进行资格复审，通过者方可被录取，未通过者，将被取消录取资格，由学生所在学校本科教务部门按本科学籍管理规定办理相应手续。
a. 完成本科培养方案规定的所有课程及实践环节（含毕业论文或实习）的学分要求；
b. 毕业论文或实习成绩应在“良”以上；
c. 取得初取资格后，本科必修、限选及公选课程不得出现不及格；
d. 自取得初取资格至入学报到之日未受过任何处分。</t>
  </si>
  <si>
    <t>研究所招生分2批进行：第一批面试时间大约在6月底7月初，主要针对TIMBR项目的招生；第二批面试时间大约在7月底8月初，主要针对北京协和医学院、北京师范大学和中国农业大学学籍的招生。
第一批面试时被TIMBR项目候补录取的同学，根据个人志愿，可以调剂录取到协和、师大或农大；第二批面试时成绩优秀的学生，可以递补到TIMBR项目。
注册时请填写经常使用的邮箱，邮箱一经注册，将无法更改。北京生命科学研究所目前与清华大学、北京协和医学院、北京师范大学（硕博连读）和中国农业大学等高校联合招收推荐免试直博生。面试后我们会根据同学填报的学籍志愿及面试成绩确定大家的学籍单位。
TIMBR项目：研究所每年通过清华大学招收50名推荐免试直博生，不招收往届本科生和应届、往届硕士生。学籍单位为清华大学。TIMBR项目的学生轮转和定导单位均在北京生命科学研究所。</t>
  </si>
  <si>
    <t>2024年6月2日17:00（以申请材料到达时间为准）</t>
  </si>
  <si>
    <t xml:space="preserve">1、提交报名材料（附件下载相关模板）
（1）网报信息真实承诺书1份（附件模板1）。
（2）夏令营申请表1份（附件模板2）。
（3）夏令营个人陈述1份（附件模板3）。
（4）夏令营专家推荐信3封，需要3位副教授（含）以上职称的专家分别推荐，且密封并在封口骑缝处签字（附件模板4）。
（5）成绩单原件。
应届本科生需提供本科阶段成绩单（由教务部门盖章）1份，前两年半总评成绩排名证明（由教务部门盖章）1份（附件模板5）。
应届/往届硕士生需提供历年在校学习成绩单（本科和硕士阶段，由教务部门盖章）1份。
（6）有效的英语证明复印件（如国家英语四、六级考试、或TOEFL、雅思与GRE考试等成绩的复印件）。
（7）在学证明或学位、学历证书。
    应届本科生和硕士生需提供由所在学校教务部门盖章在学证明，或学信网《教育部学籍在线验证报告》1份。
往届硕士生需提交学位、学历证书的复印件，境外获得的学位证书须提供教育部留学服务中心出具的《国（境）外学历学位认证书》1份。
（8）其他证明材料（如体现自身学术水平的代表性学术论文或其他原创性工作成果的首页复印件、获奖证书复印件等）1份。
（9）点击链接https://www.wjx.cn/vm/e51XhIV.aspx# 填写基本信息（附件模板6）。
将所有申请材料（除专家推荐信外）按照以上顺序，合并成一个PDF文件，同时填写基本信息登记问卷，于2024年6月1日17:00前通过邮件将以上文件电子版申请材料发送至昌平实验室材料接收邮箱：admissions@cpl.ac.cn。
</t>
  </si>
  <si>
    <t>（1） 纸质材料接收的截止时间为：2024年6月2日17:00（以申请材料到达时间为准），过期不再接受申请。
（2）只通过邮箱发送报名材料而未在规定时间内邮寄纸质材料者，或只邮寄纸质材料而未通过邮箱发送报名材料者，其申请视为无效。
（3）不接受电话或邮件查询申请材料的签收情况。
（4）邮件发送的电子版材料信息要与纸质申请材料信息完全一致，如发现不一致则视为材料作假，将取消夏令营申请资格。
（5）纸质申请材料邮寄只接收顺丰快递，如使用其他快递公司邮寄产生材料无法正常寄达等不良情况，后果自负。
（6）请申请人保留申请材料原件或副本，申请材料提交后一律不予返还。</t>
  </si>
  <si>
    <t>专业排名需在前30%（创新型、荣誉型特色学院，以及基地班、卓越班、创新班等除外；有科研成果或潜力的同学以及能达到所在高校推免资格的同学除外）；</t>
  </si>
  <si>
    <t>活动将组织安排营员参观校园，到生命学院、iHuman研究所、免疫化学研究所的课题组，与导师、研究生面对面交流。还会组织参观重大科研设施、学校图书馆、体育馆，体验用餐、运动等便利的生活设施，营员可以实地感受上科大研究生的学习、生活环境。</t>
  </si>
  <si>
    <t>申请截止时间：2024年6月16日（含）</t>
  </si>
  <si>
    <t>其中暑期班活动为期12天左右（7月7-20日），夏令营活动为期3-4天（第一期7月8-11日；第二期7月14-17日）。</t>
  </si>
  <si>
    <t>暑期班和夏令营预计共邀请250-300名优秀本科生参加（其中暑期班为升级版夏令营，上限60人）</t>
  </si>
  <si>
    <r>
      <t xml:space="preserve">A（必须提供）:
</t>
    </r>
    <r>
      <rPr>
        <sz val="28"/>
        <color rgb="FF000000"/>
        <rFont val="宋体"/>
        <family val="3"/>
        <charset val="134"/>
      </rPr>
      <t>❶</t>
    </r>
    <r>
      <rPr>
        <sz val="28"/>
        <color rgb="FF000000"/>
        <rFont val="微软雅黑"/>
        <family val="2"/>
        <charset val="134"/>
      </rPr>
      <t xml:space="preserve">本科成绩单（院系或教务处盖章；可提供学校网络截图）
</t>
    </r>
    <r>
      <rPr>
        <sz val="28"/>
        <color rgb="FF000000"/>
        <rFont val="宋体"/>
        <family val="3"/>
        <charset val="134"/>
      </rPr>
      <t>❷</t>
    </r>
    <r>
      <rPr>
        <sz val="28"/>
        <color rgb="FF000000"/>
        <rFont val="微软雅黑"/>
        <family val="2"/>
        <charset val="134"/>
      </rPr>
      <t xml:space="preserve">英语水平证明材料（四六级证书等）
</t>
    </r>
    <r>
      <rPr>
        <sz val="28"/>
        <color rgb="FF000000"/>
        <rFont val="宋体"/>
        <family val="3"/>
        <charset val="134"/>
      </rPr>
      <t>❸</t>
    </r>
    <r>
      <rPr>
        <sz val="28"/>
        <color rgb="FF000000"/>
        <rFont val="微软雅黑"/>
        <family val="2"/>
        <charset val="134"/>
      </rPr>
      <t xml:space="preserve">个人简历（中英文均可，无格式要求）
</t>
    </r>
    <r>
      <rPr>
        <sz val="28"/>
        <color rgb="FF000000"/>
        <rFont val="宋体"/>
        <family val="3"/>
        <charset val="134"/>
      </rPr>
      <t>❹</t>
    </r>
    <r>
      <rPr>
        <sz val="28"/>
        <color rgb="FF000000"/>
        <rFont val="微软雅黑"/>
        <family val="2"/>
        <charset val="134"/>
      </rPr>
      <t xml:space="preserve">有效身份证件正反面
</t>
    </r>
    <r>
      <rPr>
        <sz val="28"/>
        <color rgb="FF000000"/>
        <rFont val="宋体"/>
        <family val="3"/>
        <charset val="134"/>
      </rPr>
      <t>❺</t>
    </r>
    <r>
      <rPr>
        <sz val="28"/>
        <color rgb="FF000000"/>
        <rFont val="微软雅黑"/>
        <family val="2"/>
        <charset val="134"/>
      </rPr>
      <t>学生证（照片、学号页即可）
B（自愿提供）：推荐信（推荐人签名，可电子签名）和获奖证书复印件；
C（自愿提供）：已发表的论文、专利或其他原创性工作成果、其他有参考价值的证明材料。
【网报材料命名规则】
以上所有材料做成一份PDF文件，文件命名规则：如报名文件只有A文件，请命名为“姓名+高校名+A”；如报名文件同时含有A和B，则命名为“姓名+高校名+AB”；如含A和C，命名为“姓名+高校名+AC”；如含A，B和C，命名为“姓名+高校名+ABC”。
将按规则命名后的网报材料，保存为一份PDF文件（示例：张三+XX大学+ABC），整个文件不超过50M，上传至报名系统【网报材料】中。</t>
    </r>
  </si>
  <si>
    <t>夏令营和暑期班活动为线下活动，学院将为营员提供活动期间在沪的食宿。</t>
  </si>
  <si>
    <t xml:space="preserve">1. 我院暑期班和夏令营活动报名阶段，不需要提供纸质版材料，只需网报即可。网上报名后，请耐心等待审核结果。我院拟在6月遴选营员，视实际情况分批发布入营通知。请有意我院暑期班及夏令营活动的同学，尽快完成网上报名。
2. 夏令营和暑期班活动为线下活动，学院将为营员提供活动期间在沪的食宿。
3. 为使各高校本科生了解我院，我们不定期前往各大高校线下宣讲，同时也会在视频号、B站直播宣讲，介绍课题组、研究领域、招生政策以及展示我院风采。同时设有研招QQ群以及微信公众号、视频号，方便沟通。具体信息如下：
学院微信公众号、视频号“上科大生命学院”（id：ShanghaiTech-SLST）。公众号会及时推送夏令营、招生、课题组介绍等相关信息。
学院B站网址：https://space.bilibili.com/390476659/ ，B站将适时发布关于我院的视频资料等信息，并不定期开展直播活动，直播网址：https://live.bilibili.com/21989780 。
上科大生院2025研招QQ群，群号为：729198701（开通中，请实名入群），入群后请关注群公告。
4. 导师资料网址：http://slst.shanghaitech.edu.cn/js/
科研领域介绍网址：https://slst.shanghaitech.edu.cn/researchfields/list.htm
5.【学院研招全部官方信息】上科大生命学院官网研究生招生栏目网址：https://slst.shanghaitech.edu.cn/admission/list.htm  
6.【学校研招全部官方信息】上科大研究生招生网址：http://yanzhao.shanghaitech.edu.cn/ </t>
  </si>
  <si>
    <t>三学年总共的 GPA 成绩至少达到 80% （即在 4.0 制中达到 3.2）；</t>
  </si>
  <si>
    <t>参与者将会参加一系列介绍生命科学部最新研究进展的交流会，并有机会参观实验室和科研设施，与教授和在读研究生进行交流。</t>
  </si>
  <si>
    <t>申请截止时间为 2024 年 4 月 30 日（周二，香港时间中午 12:00）；</t>
  </si>
  <si>
    <t>2024 年 7 月 8 日 - 7 月 12 日，为期 5 天</t>
  </si>
  <si>
    <t>香港科技大学为将参加者提供校内住宿（2-3 人/间）及餐饮（包括不少于港币$400 的餐饮券）；
参加者需自行承担由所在地往来香港的旅费，自费活动和自由活动等个人消费及办理出入境手续相关费用。</t>
  </si>
  <si>
    <t>在夏令营中还将挑选合适的学生加入 2025 秋季的入学计划，并且有机会在香港科技大学进行毕业设计。</t>
  </si>
  <si>
    <t xml:space="preserve">学习成绩优秀，满足“免试推荐”研究生标准，预期可获得母校外推名额。
</t>
  </si>
  <si>
    <t>3、英语水平优良。</t>
  </si>
  <si>
    <t>1.学院内院士、教授和近年国外引进青年教授开设学科前沿讲座。
2.实验室参观，与导师交流互动，感受浙大学术氛围和研究生活。
3.答疑解惑，提供现场面试。
4.感受六朝盛地杭州的美景与文化。</t>
  </si>
  <si>
    <t>即日起至2024年6月3日17:00</t>
  </si>
  <si>
    <t>1、填写“浙江大学脑科学与脑医学学院全国优秀大学生暑期夏令营申请表”（见附件1）。
2、本人身份证，学生证。
3、本科阶段成绩单（本科生注明前五个学期总评成绩的专业排名和专业总人数，须由所在院系教务部门盖章）。
4、相关证明材料1份（英语成绩单、已发表论文、各类获奖证书等可体现自身学术水平和工作能力的材料）。
5、两位与申请学科有关的教授（或相当职称）及以上专家的专家推荐信（格式不限，报名上传材料时可不提供，正式入选报到时出具）。
【提醒】以上材料请合成一个PDF上传至报名网址中“相关证明材料”一栏。</t>
  </si>
  <si>
    <t>审核和选拔工作由我院组织相关专家老师负责。选拔工作将于6月13日结束，入选营员名单将公布在脑科学与脑医学学院学院官网，请同学自行查阅脑院网站信息。录取的同学需在2024年6月18日前确认是否参加，逾期未确认视放弃此资格。</t>
  </si>
  <si>
    <t xml:space="preserve">（一）学习成绩优秀。
（二）对学术研究有浓厚的兴趣，愿意从事学术研究工作。
</t>
  </si>
  <si>
    <t>（三）英语水平优秀，需提供相关证明。</t>
  </si>
  <si>
    <t>网上申报截止日期为2024年6月15日16点。</t>
  </si>
  <si>
    <t>2024年6月29日-7月2日</t>
  </si>
  <si>
    <t>1.夏令营申请表1份（从报名系统导出打印，签字盖章）；
2.个人陈述 1份（从报名系统导出打印签字)；
3.专家推荐信（从报名系统导出下载）2封，需要2位副教授或以上职称专家分别推荐，且密封并在封口骑缝处签字；
4.成绩单原件1份；
5.前两年半的总评成绩排名证明（附件下载）1份；
6.有效的英语水平证书复印件1份；
7.应届本科毕业生提交所在学校在学证明复印件1份；
8.发表的学术文章及获奖证书复印件1份；
9.其他证明材料（如体现自身学术水平的出版物、原创性工作成果等）复印件1份。</t>
  </si>
  <si>
    <t>夏令营主办方将为营员提供夏令营期间食宿（在京高校学生住宿自理）。交通费自理。</t>
  </si>
  <si>
    <t>三、材料审核及夏令营资格审定
夏令营资格审核录取工作由夏令营专家委员会负责。该项工作将于2024年6月16日-6月20日之间进行，材料审核期间不接受电话或Email询问进展情况。最终夏令营录取名单将在北京大学未来技术学院网站通知公告栏目（https://future.pku.edu.cn/ ）公布，不再另行通知。</t>
  </si>
  <si>
    <t>学习成绩优秀，985或双一流高校成绩综合排名在本专业前50%，211高校专业前30%，非985、双一流或211高校成绩前20%；</t>
  </si>
  <si>
    <t>英语水平良好，通过全国大学英语六级考试。</t>
  </si>
  <si>
    <t xml:space="preserve">1、初来实验室：初来乍到，营员相识了解实验室。
2、院士面对面：听钟南山院士授课，悟人生理想与方向。
3、名师话科研：基础与临床研究大咖的学术讲座，启发研究思路。
4、院士大查房：观摩国家呼吸医学中心疑难病会诊。
5、招生与读研：实验室研究生招生、培养政策解读；学长研究生学习生活交流。
6、基地观摩行：实验室基础实验部、临床实验部（国家呼吸医学中心）、实验室产学研基地、广州医科大学校园行、实验室共建单位中国科学院广州生物医药与健康研究院。
7、走进课题组：研究生导师面对面，了解感兴趣研究方向、交流报考意向。
8、体验大广州：参观黄埔军校、中山纪念堂、珠江等革命教育基地。
9、其他活动：待定。
（具体活动安排以报到时公布为准）
</t>
  </si>
  <si>
    <t>即日起至2024年6月15日</t>
  </si>
  <si>
    <t>1、呼吸疾病全国重点实验室2024年暑期大学生夏令营申请表（点击下载）。
2、专家推荐信1封（副高及以上职称教师签名、教师联系方式）
3、本科阶段成绩单1份（由教务部门或院系盖章）。
4、总评成绩排名证明文件1份（由教务部门或院系盖章）。
5、学生证复印件（将个人信息页和注册信息页复印在1张A4纸上）。
6、身份证复印件1份（将正反面复印在1张A4纸上）。
7、其他相关证明材料：英语水平及获奖证书复印件等。</t>
  </si>
  <si>
    <t>本次夏令营活动不收取任何费用，实验室将为营员提供食宿，并报销往返路费（限火车硬座、硬卧，高铁二等座），如有特殊情况，请提前联系沟通；</t>
  </si>
  <si>
    <t xml:space="preserve">营员按时报到后，要求全程参加夏令营活动，无故缺席将取消营员资格并通报其学校。
</t>
  </si>
  <si>
    <t>预通知</t>
  </si>
  <si>
    <t xml:space="preserve">学习成绩优秀；
● 对交叉学科感兴趣，对有关中国议题的研究有浓厚的兴趣；
● 积极参与课外活动和社团活动，有强烈的社会责任感和领导力潜能；
</t>
  </si>
  <si>
    <t>英语水平优秀。</t>
  </si>
  <si>
    <t>活动具体时间和地点另行通知，</t>
  </si>
  <si>
    <t>即日起至2024年5月26日北京时间中午12:00</t>
  </si>
  <si>
    <t>1） 申请表（在线填写）；
2） 个人陈述（英文，750词以内）；
3） 研究兴趣陈述（英文，1500词以内，不包括引用文献）；
4） 个人简历（中英文各1份，每份不超过两页）；
5） 本科阶段成绩单原件扫描1份，加盖学校教务处公章或成绩单证明专用章；
6） 学习成绩排名教务证明 (原件扫描，模版请在此下载)；
7） 在读证明（原件扫描或学信网学籍在线验证报告）；
8） 学术推荐信2封（推荐人须为所申请方向专业领域内具有副教授（含）以上或具有相当专业技术职称者，可用中文或者英文书写）；
9） 大学英语六级考试、全国高校英语专业四级考试、TOEFL、IELTS、剑桥英语等任意1份英语成绩证明：</t>
  </si>
  <si>
    <t>大学英语六级考试、全国高校英语专业四级考试、TOEFL、IELTS、剑桥英语等任意1份英语成绩证明：
    ● 大学英语六级: 总分不低于600分；
    ● 英语专四成绩不低于良好；
    ● 雅思 (Academic): 总分不低于7.0分；
    ● 托福 (iBT): 总分不低于100分；
    ● 剑桥英语证书(Advanced): 总分不低于185分；
   ● 注：雅思和托福英语考试成绩须为入学前两年内有效，请提交2023年9月1日后的考试成绩；目前我们不接受TOEFL MyBest Scores, TOEFL iBT Home Edition, IELTS Indicator test, IELTS Online或IELTS One Skill Retake考试成绩；
    ● 若申请报考雅思，请选择“Yenching Academy of Peking University” 作为成绩接收方；若申请报考托福，请选择燕京学堂的编号C488作为成绩接收方。</t>
  </si>
  <si>
    <t>生命科学、基础医学与药学</t>
  </si>
  <si>
    <t xml:space="preserve">学习成绩优秀。
3.已获得学士或硕士学位相关专业的往届生，及硕士应届生（2025年夏季毕业生）。
</t>
  </si>
  <si>
    <t>4.英语良好，身体健康，符合体检标准。</t>
  </si>
  <si>
    <r>
      <t>⟡</t>
    </r>
    <r>
      <rPr>
        <sz val="28"/>
        <color rgb="FF000000"/>
        <rFont val="微软雅黑"/>
        <family val="2"/>
        <charset val="134"/>
      </rPr>
      <t xml:space="preserve">7月8日上午营员报到，下午夏令营开始;
</t>
    </r>
    <r>
      <rPr>
        <sz val="28"/>
        <color rgb="FF000000"/>
        <rFont val="宋体"/>
        <family val="3"/>
        <charset val="134"/>
      </rPr>
      <t>⟡</t>
    </r>
    <r>
      <rPr>
        <sz val="28"/>
        <color rgb="FF000000"/>
        <rFont val="微软雅黑"/>
        <family val="2"/>
        <charset val="134"/>
      </rPr>
      <t xml:space="preserve">7月12日返程离校。
</t>
    </r>
    <r>
      <rPr>
        <sz val="28"/>
        <color rgb="FF000000"/>
        <rFont val="宋体"/>
        <family val="3"/>
        <charset val="134"/>
      </rPr>
      <t>⟡</t>
    </r>
    <r>
      <rPr>
        <sz val="28"/>
        <color rgb="FF000000"/>
        <rFont val="微软雅黑"/>
        <family val="2"/>
        <charset val="134"/>
      </rPr>
      <t xml:space="preserve">生命学院，基础医学院、药学院生命科学相关方向和生命科学联合中心全面情况介绍。
</t>
    </r>
    <r>
      <rPr>
        <sz val="28"/>
        <color rgb="FF000000"/>
        <rFont val="宋体"/>
        <family val="3"/>
        <charset val="134"/>
      </rPr>
      <t>⟡</t>
    </r>
    <r>
      <rPr>
        <sz val="28"/>
        <color rgb="FF000000"/>
        <rFont val="微软雅黑"/>
        <family val="2"/>
        <charset val="134"/>
      </rPr>
      <t xml:space="preserve">各学科方向导师与营员见面、交流。
</t>
    </r>
    <r>
      <rPr>
        <sz val="28"/>
        <color rgb="FF000000"/>
        <rFont val="宋体"/>
        <family val="3"/>
        <charset val="134"/>
      </rPr>
      <t>⟡</t>
    </r>
    <r>
      <rPr>
        <sz val="28"/>
        <color rgb="FF000000"/>
        <rFont val="微软雅黑"/>
        <family val="2"/>
        <charset val="134"/>
      </rPr>
      <t xml:space="preserve">分组参观校级平台。
</t>
    </r>
    <r>
      <rPr>
        <sz val="28"/>
        <color rgb="FF000000"/>
        <rFont val="宋体"/>
        <family val="3"/>
        <charset val="134"/>
      </rPr>
      <t>⟡</t>
    </r>
    <r>
      <rPr>
        <sz val="28"/>
        <color rgb="FF000000"/>
        <rFont val="微软雅黑"/>
        <family val="2"/>
        <charset val="134"/>
      </rPr>
      <t xml:space="preserve">夏令营优秀营员评选。
</t>
    </r>
    <r>
      <rPr>
        <sz val="28"/>
        <color rgb="FF000000"/>
        <rFont val="宋体"/>
        <family val="3"/>
        <charset val="134"/>
      </rPr>
      <t>⟡</t>
    </r>
    <r>
      <rPr>
        <sz val="28"/>
        <color rgb="FF000000"/>
        <rFont val="微软雅黑"/>
        <family val="2"/>
        <charset val="134"/>
      </rPr>
      <t>清华大学生物学国家高层次人才培养中心“暑期研修项目”优秀营员评选（细则见附件1）。
注：营员报到后要求全程参加夏令营活动。</t>
    </r>
  </si>
  <si>
    <t>2024年6月11日16：00前</t>
  </si>
  <si>
    <t>1.有效身份证明。申请人须提供有效中华人民共和国居民身份证，正反面复印在一页扫描上传。
2.本人自述（中英文均可）。
3.成绩单原件（官方出具，本科和硕士阶段，成绩单从档案部门复印加盖档案部门红章视同原件）。
4.前两年半或前三年成绩排名证明原件（官方出具，2025年应届本科生提交）。
5.英语4级或6级通过证书或成绩单，或其他外语成绩证明。
6.学生证（需提供每学期注册章）或在学证明，学信网《教育部学籍在线验证报告》（应届生提交）。
7.学位证书，学历证书和学信网《教育部学历证书电子注册备案表》（往届生提交）。持国（境）外教育机构学历者，须提交中国教育部留学服务中心出具的学位认证报告原件。
8.两封与申请方向相关的职称为副教授（或相当职称）及以上专家的“专家推荐信”。
9.如果有在核心刊物或会议上发表学术论文、出版物或取得具有学术水平的工作成果，请提交接收函或证明文件，发表文章仅需提供首页，如要提供学位论文仅需提供题目和中文摘要。
10.如果在学期间从事课外科技活动中有获奖或突出表现，请提交由学校教务部门出具并加盖公章的证明材料。
11.其他可证明科研水平和能力的材料。
注：申请人在线邀请两位与申请方向相关的副教授以上职称专家在线填写推荐信。推荐专家按申请服务系统要求，在报名规定的时间内填写、上传专家推荐信，同时请专家协助妥善保存推荐信原件，成为优秀营员的同学待后续接到通知后再邮寄纸质版。</t>
  </si>
  <si>
    <t>夏令营主办方将为营员提供夏令营期间食宿（北京高校学生不提供住宿），以及异地学校学生单程硬座/二等座火车票费用(需有车票)。</t>
  </si>
  <si>
    <t>1.清华大学相关专业为生物学、基础医学或药学，不定导师，入学第一年一边学习研究生课程，一边进行轮转。轮转在生命学院、基础医学院、生命科学联合中心和药学院生命科学相关方向的所有实验室中选择进行。轮转结束后根据导师和学生双向自愿选择定导。根据导师所在学科和所属院系确定学生的专业和学籍。学生一旦选择导师并确定专业和学籍后，将按照所属专业培养方案的要求完成博士生培养。
2.夏令营“报名服务系统”中需选择意向单位和学科方向，欢迎学生了解所有导师的研究方向。最终入选项目由四方统筹决定。</t>
  </si>
  <si>
    <t>成绩要求：本科前阶段总评成绩排名在本年级（专业）前20%之内，预计能在现就读学校取得推荐免试研究生资格。985、211等重点高校学生学习成绩标准可适当放宽排名标准。</t>
  </si>
  <si>
    <t>英语达到四级水平（425分以上）。</t>
  </si>
  <si>
    <t>采取线下或线上的方式举行，</t>
  </si>
  <si>
    <t>其中线上夏令营以面试选拔优秀营员为主，线下夏令营活动主要包括开营仪式、学术报告讲席教授等PI面对面交流、在读博士生学长学姐交流会、科研平台参观和优秀营员选拔等。</t>
  </si>
  <si>
    <t>从即日起至8月15日，每日9:00-21:00登录注册登录后进入系统首页，选择点击【2024年“新药梦”全国优秀大学生夏令营】报名申请按钮，</t>
  </si>
  <si>
    <t>2024年5月-8月滚动举办</t>
  </si>
  <si>
    <t>800人</t>
  </si>
  <si>
    <t>（1）身份证（正、反面）；
（2）英语等级证书；
（3）成绩单（需加盖公章）；
（4）辅导员推荐信（若无辅导员可由做学生工作的老师代写）；
（5）其它附件，包括奖励证明、等级证书、已发表论文首页等。</t>
  </si>
  <si>
    <t>注意：官网不公布未入营名单，也不会对未入营的学生发布邮件通知，一般报名后连续两次夏令营活动未能入选的视为未入营。</t>
  </si>
  <si>
    <t>．学习成绩优秀，本科期间总评成绩排名在本年级前20%之内；对有科研实践经历学生的学习成绩标准可适当放宽；</t>
  </si>
  <si>
    <r>
      <t>英语达到国家四/六级水平。</t>
    </r>
    <r>
      <rPr>
        <sz val="28"/>
        <color rgb="FF000000"/>
        <rFont val="Times New Roman"/>
        <family val="1"/>
      </rPr>
      <t> </t>
    </r>
  </si>
  <si>
    <t>暑期学校通过开设课程，讲述和介绍脑科学与智能技术基本知识和学科发展。通过深入实验室及技术平台等，感受脑科学与智能技术的魅力所在。同学们将与研究生和导师座谈、联欢，听取他们对科学事业的理解和不懈追求，了解科学前沿的最新动态，同时将参观上海地标性景观，感受上海国际大都市的精彩生活。</t>
  </si>
  <si>
    <r>
      <t>申请报名时间：2024年4月9日 — 2024年6月25日。</t>
    </r>
    <r>
      <rPr>
        <sz val="28"/>
        <color rgb="FF000000"/>
        <rFont val="Times New Roman"/>
        <family val="1"/>
      </rPr>
      <t> </t>
    </r>
  </si>
  <si>
    <t>2024年7月8日 - 7月17日举行</t>
  </si>
  <si>
    <r>
      <t>1.</t>
    </r>
    <r>
      <rPr>
        <sz val="28"/>
        <color rgb="FF000000"/>
        <rFont val="Times New Roman"/>
        <family val="1"/>
      </rPr>
      <t> </t>
    </r>
    <r>
      <rPr>
        <sz val="28"/>
        <color rgb="FF000000"/>
        <rFont val="微软雅黑"/>
        <family val="2"/>
        <charset val="134"/>
      </rPr>
      <t>请登录脑智卓越中心招生网站http://zs.cebsit.ac.cn，或者登陆脑智卓越中心主页http://www.cebsit.cas.cn，点击网页左侧“2025年招生”图标，链接进入在线报名系统。请注册后登录报名系统，完整填写个人信息后选择“暑期学校报名”。
　　注意事项：</t>
    </r>
    <r>
      <rPr>
        <sz val="28"/>
        <color rgb="FF000000"/>
        <rFont val="Times New Roman"/>
        <family val="1"/>
      </rPr>
      <t> </t>
    </r>
    <r>
      <rPr>
        <sz val="28"/>
        <color rgb="FF000000"/>
        <rFont val="微软雅黑"/>
        <family val="2"/>
        <charset val="134"/>
      </rPr>
      <t xml:space="preserve">
　　脑智卓越中心倡导环保，无需邮寄纸质材料，请在线提交附件材料，具体提交方式如下：</t>
    </r>
    <r>
      <rPr>
        <sz val="28"/>
        <color rgb="FF000000"/>
        <rFont val="Times New Roman"/>
        <family val="1"/>
      </rPr>
      <t> </t>
    </r>
    <r>
      <rPr>
        <sz val="28"/>
        <color rgb="FF000000"/>
        <rFont val="微软雅黑"/>
        <family val="2"/>
        <charset val="134"/>
      </rPr>
      <t xml:space="preserve">
　　请将推荐信（推荐信需要有推荐教师的签名）上传至申请表中指定位置，并将学生证复印件、身份证正反面复印件、本科成绩单、四六级成绩单、各类证书、奖状扫描件、其他材料的顺序进行扫描排列，制作生成一个PDF文件，文件按照如下方式命名：附件 – XX大学 – 姓名，上传至申请表最后一栏附件栏。</t>
    </r>
  </si>
  <si>
    <t>我们将从当中的大三学生（五年制大四）中选拔优秀的学生作为脑智卓越中心2025年入学的免试推荐研究生。</t>
  </si>
  <si>
    <t xml:space="preserve">学习成绩优秀，一般要求专业排名前30%，来自基地班、卓越班、创新班等特色实验班或预计能获得本科推免资格的同学，可适当放宽排名要求；
</t>
  </si>
  <si>
    <t>同时全国大学英语四级成绩达到425分以上；</t>
  </si>
  <si>
    <t>1、专家学术讲座
2、导师团队介绍
3、师生现场讨论
4、优秀营员评选
5、招生政策解答
6、园区参观学习
上述活动计划将根据实际情况适当调整，以后续具体日程通知为准。</t>
  </si>
  <si>
    <t>截至到2024年6月30日（含）</t>
  </si>
  <si>
    <t>（1）个人简历（中英文均可，无格式要求）
（2）本科成绩单（院系或教务处盖章）
（3）英语水平证明材料（四六级证书等）
（4）推荐信1封（授课老师或辅导员）
（5）其他证明材料（获奖证书、论文、专利等学术成果的署名页）
（6）学信网学籍在线验证报告
（7）有效身份证件正反面
报名材料请按上述顺序合并成一份清晰的PDF文件（整个文件不超过15M），文件命名规则：“姓名+本科高校”，上传至报名系统【报名材料】栏。</t>
  </si>
  <si>
    <t>实验室将根据营员参与夏令营活动的综合表现评选“优秀营员”，“优秀营员”获得本科推免资格后，可申请临港实验室推免直博生。</t>
  </si>
  <si>
    <t>1、招生QQ群：739607494（建议优先加群咨询）
2、咨询邮箱：student@lglab.ac.cn
3、实验室官网：www.lglab.ac.cn
4、微信公众号“临港实验室”</t>
  </si>
  <si>
    <t>开营仪式、师生互动、实验室参观、推免生面试、科普大咖前沿讲座等，具体安排入营后通知；</t>
  </si>
  <si>
    <t>（网上申请截止日期：2024年6月30日）</t>
  </si>
  <si>
    <t>（1）身份证扫描件；
（2）学生证扫描件（包含注册页）；
（3）个人简历，必须涵盖个人基本信息、学校、专业、英文能力、年级排名（示例：1/100）、科研和获奖情况，社会工作等，语言不限；
（4）截止申请时的成绩单，成绩单必须盖有公章，学院章或者学校教务处章都可以；
（5）其他展现个人学术水平、综合能力的证明材料（包括但不限于英语水平证书、论文首页及奖状证书等）；
（6）2封副高以上职称的教授（或相当专业技术职称的专家）的书面推荐意见。
将以上报名材料合成一个pdf文件，命名为“姓名+意向导师名字+夏令营材料”发送至接收邮箱：medyzb@sustech.edu.cn
此外，请大家继续关注医学院网站https://med.sustech.edu.cn/index.html 研究生板块相关夏令营的通知；申请截止后，夏令营评审工作小组将对学生的申请材料进行审核，通过资格审核者将以电子邮件的形式通知，敬请留意查看。</t>
  </si>
  <si>
    <t>夏令营将线下举办，届时医学院将为异地学校营员提供夏令营期间在深住宿，并给予部分路费补贴。深圳地区高校学生原则上不提供住宿。</t>
  </si>
  <si>
    <t>有关夏令营的活动咨询，请优先以“夏令营咨询”为邮件主题发送给：medyzb@sustech.edu.cn，或电话咨询医学院研究生办公室0755-88018049 ；
我校研究生院招生信息网推免生招生板块：
https://gs.sustech.edu.cn/#/admission/common?current_child_id=86&amp;id=171&amp;article_id=3113
往年夏令营活动回顾请点击订阅“夏令营”话题https://mp.weixin.qq.com/mp/appmsgalbum?action=getalbum&amp;__biz=MzI5NDg2ODU5OA==&amp;scene=1&amp;album_id=1823837016338317321&amp;count=3#wechat_redirect</t>
  </si>
  <si>
    <t>取得国家英语(CET) 六级/四级水平证书(425分以上)。</t>
  </si>
  <si>
    <t>活动时间：1. 夏令营：2024年7月8日-10日（以实际通知为准）
                 2. 推免活动：
2024年6月7日或12日（线上，以实际通知为准）
2024年7月10日-12日（线下，以实际通知为准）</t>
  </si>
  <si>
    <t>4月10日—6月20日</t>
  </si>
  <si>
    <t>报名网址：https://zs.sinh.ac.cn1. 请使用谷歌或360浏览器(极速模式)注册、填报。
2. 请认真填写各项信息，并保证所填数据真实可靠。
3. 上传材料时，除身份证复印件和成绩单单独上传外，如还有多份材料要上传，请整合成一个多页的PDF文件上传。
4. 报名时手机号码和电子邮箱务必要拼写准确，以免影响通知正常接收。报名截止前可多次登录系统对已提交信息进行修改，修改后请务必点击“提交”。切记不要二次注册。</t>
  </si>
  <si>
    <t>1. 上海营养与健康研究所将为入选线下活动的相关人员发放就餐餐券和一定的住宿补贴。</t>
  </si>
  <si>
    <t>本科期间总评成绩在该校同年级本专业表现优异，预计能获得推免资格。</t>
  </si>
  <si>
    <t>学院将安排创新挑战赛、师生互动、校园参观等活动。</t>
  </si>
  <si>
    <t>2024年4月27日-6月3日</t>
  </si>
  <si>
    <t>2024年7月7日-10日</t>
  </si>
  <si>
    <t>1.“清华大学卫健学院2024年全国优秀大学生夏令营”报名登记表1份（请在系统中填写）。
2. 中英文简历各1份（各不超过1页，合并成1个pdf文件）。
3. 个人陈述1份：介绍本人专业背景、申请动机、从事过的研究工作以及攻读研究生阶段的学习和研究计划等(1页纸以内)。
4. 加盖院系或学校教务部门公章的成绩单1份。
5. 院系教务部门出具的成绩综合排名证明(需盖学校或院系教务部门公章)。
6. 其他材料：能体现自身学术水平的学术论文、出版物等，及获奖证书扫描件（不局限于学术，包括思想品德和社会活动等）。</t>
  </si>
  <si>
    <t>提供夏令营期间食宿</t>
  </si>
  <si>
    <t>学习成绩优秀，本科期间总评成绩排名在年级前20%（不是必须条件），预计能取得本校推荐免试资格。</t>
  </si>
  <si>
    <t>英语六级450分（以2024年各学校的夏令营招生简章为参考），如有冲突，以各学校的要求为准。</t>
  </si>
  <si>
    <t>本次活动内容主要包括邀请北京脑所的PI进行系统授课、展示北京脑所的实体实验室、以及多种交流形式，线下进行。</t>
  </si>
  <si>
    <t>2024年4月28日-6月11日16:00</t>
  </si>
  <si>
    <t>2024年7月1日-5日</t>
  </si>
  <si>
    <t>需根据对应联合招收学校要求提交材料</t>
  </si>
  <si>
    <t>为入营的同学提供食宿，及部分报销来京离京交通费。</t>
  </si>
  <si>
    <t>专家推荐信的提交需推荐专家以本人的邮箱发送北京脑所指定接收邮箱，推荐信需有推荐老师亲笔签名，扫描后发送。</t>
  </si>
  <si>
    <t>走进血液与健康全国重点实验室，了解我国血液学发展历程，聆听专题报告，参与学术交流和科研工作。</t>
  </si>
  <si>
    <t>2024年4月30日-6月4日</t>
  </si>
  <si>
    <t>2024年7月中旬</t>
  </si>
  <si>
    <t>深圳先进院合成生物学研究所</t>
  </si>
  <si>
    <t>深入了解合成所整体情况，深度参与学术沙龙，面对面与合成生物学领域顶尖科学家沟通交流，聆听高水平专题报告及学术讲座等活动；开展合成所2025级推免生的选拔和面试工作。</t>
  </si>
  <si>
    <t>2024年4月30日-6月20日</t>
  </si>
  <si>
    <t>2024年7月15日至7月19日</t>
  </si>
  <si>
    <t>1. 中国科学院深圳先进院2024年夏令营申请表，需网上报名后下载；
2. 本科成绩单和专业排名证明，需加盖教务处公章（如暂时无法提供，可提供一份书面说明）；
3. 相关英文能力证明（包括大学英语四、六级；雅思；托福或 GRE 等）；
4. 学生证和身份证复印件；
5. 推免资格证明（如有请提供）；
6. 专家推荐信（如有请提供）；
7. 其他证明材料（如已发表论文或出版物首页、各类证书奖状等）。
（以上材料请按顺序整合成一个PDF文件内，命名为：姓名+专业+学校+合成所，大小不超过80MB）</t>
  </si>
  <si>
    <t>主办方将承担夏令营期间营员的食宿、保险及文化衫等有关开销，营员报到当天可出示相关凭证，主办方将提供一定额度的交通补助（凭票报销，具体说明待后续通知）。</t>
  </si>
  <si>
    <t>2024年5月5日-6月20日</t>
  </si>
  <si>
    <t>2024年7月上旬</t>
  </si>
  <si>
    <t xml:space="preserve">1. 身份证正反面复印件，学生证复印件（必须）。
2. 成绩单，需盖教务处或院系公章，如学校暂时无法为学生开具成绩单，可自己先从学校教务系统中下载打印，入营时补交原件（必须）。
3. 英语等级证书；获奖证书等。
4. 其他自愿提供材料：成绩排名证明；推荐信；已发表的论文、专利；其他原创性工作成果；其他有参考价值的证明材料。
</t>
  </si>
  <si>
    <t>将提供营员在沪期间的食宿和来程路费（以高铁二等座价格为上限，按实际票据实报实销，乘机需提供电子客票和登机牌）</t>
  </si>
  <si>
    <t>2024年7月1日-3日</t>
  </si>
  <si>
    <t>（1）夏令营申请表（附件一）1份。
（2）夏令营个人陈述（附件二）1份。
（3）夏令营专家推荐信（附件三）3封，需要3位副教授（含）以上职称的专家分别推荐，且密封并在封口骑缝处签字。
（4）成绩单原件
应届本科生需提供本科阶段成绩单（由教务部门盖章）1份，前两年半总评成绩排名证明（附件四、由教务部门盖章）1份。
往届本科生，应届/往届硕士生需提供历年在校学习成绩单（本科和硕士阶段，由教务部门盖章）1份。
（5）有效的英语证明复印件，如国家英语四、六级考试成绩，或TOEFL、雅思与GRE考试等成绩的复印件（生科院要求请详见第一条“申请资格”）。
（6）最高学历、学位证书的复印件：
a、应届本科毕业生提交所在学校在学证明。
b、应届硕士毕业生提交所在培养单位研究生院或研究生部的证明信。
c、只有学位证书而无毕业证书者，提交学位证书复印件即可。
d、最高学历学位证书在国（境）外院校获得者，须提交由教育部留学服务中心出具的《国（境）外学历学位认证书》。
（7）发表学术文章的复印件。
（8）获奖证书复印件各1份。
（9）其他证明材料复印件（如体现自身学术水平的出版物、原创性工作成果等）。
（10）保证所有网报上传材料的真实性和准确性，并提交网报信息真实承诺书（附件五）。</t>
  </si>
  <si>
    <t>需邮寄纸质版材料</t>
  </si>
  <si>
    <t>学习成绩优秀，本科前3年或前5学期总评成绩排名在该校同年级相关专业（数学、物理、信息、计算机、生物医学工程、神经科学等）前20% 之内 (在科研方面有突出表现的学生可不受此约束)，并能达到所在高校推荐免试资格要求。</t>
  </si>
  <si>
    <t>2024年5月10日10:00-5月31日17:00</t>
  </si>
  <si>
    <t>2024年6月下旬至7月初</t>
  </si>
  <si>
    <t xml:space="preserve">1.近期正面免冠彩色证件照片，电子版JPG格式，150×200像素，大小500K以内。
2.本科阶段历年成绩单（须加盖教务处或院系公章），JPG或PDF格式。
3. 本科阶段前3年或前5学期总评成绩排名（模板下载链接：https://istbi.fudan.edu.cn/jx/xzzq.htm）。
4.外语水平证明，如CET-4、CET-6、雅思、托福、专业外语成绩等。
5.有关获奖证书和学术科研成果，如发表论文、出版物或其他原创性工作。
6.考生诚信考核承诺书。
7. 个人简历（模板下载链接：同上，如提交的个人简历不符合我单位要求，视为此项材料不合格）。
</t>
  </si>
  <si>
    <t>学习成绩优秀，本科前五学期学习成绩在全年级排名居前30%（在其他方面有突出表现的学生可以适当放宽排名限制），必修课成绩均为及格以上。</t>
  </si>
  <si>
    <t>活动内容包括学术报告、专题讲座、师生互动交流等。7月9日报到， 7月10日开营仪式及交流活动，7月11日评选优秀营员。</t>
  </si>
  <si>
    <t>2024年7月9日-11日</t>
  </si>
  <si>
    <t xml:space="preserve">1. 近期正面免冠彩色证件照片，电子版JPG格式，150×200像素，大小500K以内。
2. 本科阶段历年成绩单（须加盖教务处或院系公章），JPG或PDF格式。
3. 外语水平证明，如CET-4、CET-6、雅思、托福、专业外语成绩等。
4. 有关获奖证书和学术科研成果，如发表论文、出版物或其他原创性工作。
5. 考生诚信考核承诺书。
6. 个人简历，控制在一页内，并去除个人通讯信息，文件名请修改为：姓名+报考专业+简历。
7. 申请直博生的考生还需提交两封正高职称（或具有相当专业技术职称）专家所签字出具的推荐信，具体按报考系统中的要求填写并提交。
</t>
  </si>
  <si>
    <t>提供免费食、宿（上海高校大学生不提供住宿）</t>
  </si>
  <si>
    <t>申请直博生的考生还需提交两封正高职称（或具有相当专业技术职称）专家所签字出具的推荐信</t>
  </si>
  <si>
    <t>1. 近期正面免冠彩色证件照片，电子版JPG格式，150×200像素，大小500K以内。
2. 本科阶段历年成绩单（须加盖教务处或院系公章），JPG或PDF格式。
3. 外语水平证明，如CET-4、CET-6、雅思、托福、专业外语成绩等。
4. 有关获奖证书和学术科研成果，如发表论文、出版物或其他原创性工作。
5. 考生诚信考核承诺书。</t>
  </si>
  <si>
    <t>生命科学学院、遗传工程国家重点实验室、生物学国家高层次人才培养中心</t>
  </si>
  <si>
    <t>7月7日报到，7月8日开营仪式及交流，7月9日评选优秀营员。以实际通知为准。</t>
  </si>
  <si>
    <t>2024年7月7日-9日</t>
  </si>
  <si>
    <t xml:space="preserve">1.近期正面免冠彩色证件照片，电子版JPG格式，150×200像素，大小500K以内。
2.本科阶段历年成绩单（须加盖教务处或院系公章），JPG或PDF格式。
3.外语水平证明，如CET四级、CET六级、雅思、托福、专业外语成绩等。
4.有关获奖证书和学术科研成果，如体现自身学术水平的代表性学术论文 PDF 格式、获奖证书扫描件等。
5.考生诚信考核承诺书（从报考服务系统下载）。
6.直博生需通过报考系统提交2封推荐信。
</t>
  </si>
  <si>
    <t>直博生需通过报考系统提交2封推荐信</t>
  </si>
  <si>
    <t>深圳先进技术研究院脑认知与脑疾病研究所</t>
  </si>
  <si>
    <t>2024年5月9日-6月20日</t>
  </si>
  <si>
    <t>2024年7月15日-19日</t>
  </si>
  <si>
    <t>(1) 本科成绩单和专业排名证明，需加盖教务处公章；
(2) 相关英文能力证明（包括大学英语四、六级，雅思，托福或GRE等）；
(3) 学生证和身份证复印件；
(4) 推免资格证明（如有请提供）；
(5) 专家推荐信（如有请提供）；
(6) 其他证明材料（如已发表论文的电子版摘要页、各类证书奖状电子版等）。</t>
  </si>
  <si>
    <t>夏令营期间不收取任何费用。主办方将提供活动期间营员的食宿、保险及文化衫等，并为异地学生提供一定额度的交通补助（需凭票报销，具体说明将后续通知）。</t>
  </si>
  <si>
    <t>获得夏令营优秀营员资格的同学将优先被推荐为脑所2025级推免硕士研究生</t>
  </si>
  <si>
    <t>研究院园区参观及实验室介绍、科学家讲座、师生交流、与在学研究生交流、体验广州文化活动等，具体安排将另行通知。</t>
  </si>
  <si>
    <t>2024年5月9日-6月21日24:00</t>
  </si>
  <si>
    <t>2024年7月中下旬</t>
  </si>
  <si>
    <r>
      <t>(1) 大学生夏令营申请表（须本人签名）；</t>
    </r>
    <r>
      <rPr>
        <sz val="28"/>
        <color rgb="FF000000"/>
        <rFont val="Times New Roman"/>
        <family val="1"/>
      </rPr>
      <t> </t>
    </r>
    <r>
      <rPr>
        <sz val="28"/>
        <color rgb="FF000000"/>
        <rFont val="微软雅黑"/>
        <family val="2"/>
        <charset val="134"/>
      </rPr>
      <t xml:space="preserve">
(2) 本科已修课程的成绩单以及排名(需加盖教务处或学院办公室公章)；</t>
    </r>
    <r>
      <rPr>
        <sz val="28"/>
        <color rgb="FF000000"/>
        <rFont val="Times New Roman"/>
        <family val="1"/>
      </rPr>
      <t> </t>
    </r>
    <r>
      <rPr>
        <sz val="28"/>
        <color rgb="FF000000"/>
        <rFont val="微软雅黑"/>
        <family val="2"/>
        <charset val="134"/>
      </rPr>
      <t xml:space="preserve">
(3) 英语水平证明（大学英语四、六级等相关英文能力证明）；
(4) 专业排名证明；</t>
    </r>
    <r>
      <rPr>
        <sz val="28"/>
        <color rgb="FF000000"/>
        <rFont val="Times New Roman"/>
        <family val="1"/>
      </rPr>
      <t> </t>
    </r>
    <r>
      <rPr>
        <sz val="28"/>
        <color rgb="FF000000"/>
        <rFont val="微软雅黑"/>
        <family val="2"/>
        <charset val="134"/>
      </rPr>
      <t xml:space="preserve">
(5) 身份证和学生证复印件（身份证正/反面、学生证封面及个人信息页）；</t>
    </r>
    <r>
      <rPr>
        <sz val="28"/>
        <color rgb="FF000000"/>
        <rFont val="Times New Roman"/>
        <family val="1"/>
      </rPr>
      <t> </t>
    </r>
    <r>
      <rPr>
        <sz val="28"/>
        <color rgb="FF000000"/>
        <rFont val="微软雅黑"/>
        <family val="2"/>
        <charset val="134"/>
      </rPr>
      <t xml:space="preserve">
(6) 其他证明材料 （如已发表的论文、奖状及证书、推荐信等）；</t>
    </r>
    <r>
      <rPr>
        <sz val="28"/>
        <color rgb="FF000000"/>
        <rFont val="Times New Roman"/>
        <family val="1"/>
      </rPr>
      <t> </t>
    </r>
    <r>
      <rPr>
        <sz val="28"/>
        <color rgb="FF000000"/>
        <rFont val="微软雅黑"/>
        <family val="2"/>
        <charset val="134"/>
      </rPr>
      <t xml:space="preserve">
(7) 推免资格证明（如有，可提供</t>
    </r>
    <r>
      <rPr>
        <sz val="28"/>
        <color rgb="FF000000"/>
        <rFont val="Times New Roman"/>
        <family val="1"/>
      </rPr>
      <t> </t>
    </r>
  </si>
  <si>
    <t>凭票报销至广州的单程路费（凭票实报实销就读高校所在城市至广州的高铁二等座或等同于高铁二等座票价（市内车费不予报销）），夏令营活动期间免费提供食宿</t>
  </si>
  <si>
    <t>录取的同学报到时须提交《安全责任协议书》</t>
  </si>
  <si>
    <t>六级需要达到426分或四级达到497分</t>
  </si>
  <si>
    <t>2024年5月9日-6月15日23:59</t>
  </si>
  <si>
    <t>2024年7月3日-5日</t>
  </si>
  <si>
    <t xml:space="preserve">（1）身份证：正反面排版在一页。
（2）学生证：须上传完整的个人信息页和注册页，如学生证不符合要求，请上传有效期内的学信网在线学籍认证报告。
（3）成绩排名证明及本科阶段成绩单：排名证明扫描件由所在院系或教务处盖章，须与“在线申请”时填写的信息相匹配；如不能提供，请所在院系或教务处给出不能提供成绩排名证明的签字盖章扫描件。本科阶段成绩单指截止报名前的最新成绩单（需有所在学校教务处或院系公章，机打成绩单已有公章的不必另外加盖）；请按顺序合并成一个pdf。
（4）外语能力证明材料：英语四级、六级成绩证明复印件、其他外语能力证明材料。须与“在线申请”时个人填写的信息相匹配，如有多项材料，请按顺序合并成一个pdf。
（5）其他证明材料：如学术成果(包含以第一作者身份在公开发行的刊物或国内国际会议上发表的学术论文、科技专利证书等材料的扫描件，最多提交3项)、获奖证书(包含能代表自己所获荣誉的获奖证书扫描件，最多提交3项)等，请合并成一个pdf提交。提交的证明材料应和前面填报的内容一致，否则不予认定（特别提醒：代表性学术成果和获奖证明请勿多交，如没有可以不提供此项内容）。
</t>
  </si>
  <si>
    <t>夏令营期间学院为营员提供免费食宿及保险。南京本地高校的营员原则上不提供住宿。</t>
  </si>
  <si>
    <t>“优秀营员”如获得所在学校推荐免试研究生资格，只要在教育部推免生系统中填报我校我院，可第一批次进入选拔名单，无需再次参加推免研究生复试。</t>
  </si>
  <si>
    <t>本次夏令营不设置直博申请，均默认推免硕士研究生</t>
  </si>
  <si>
    <t>应取得所在学校推荐免试生资格</t>
  </si>
  <si>
    <t>2024年5月11日0点-6月2日24点</t>
  </si>
  <si>
    <t>2024年7月3-6日</t>
  </si>
  <si>
    <t>（1）身份证，正反面扫描在同一张A4纸上；（2）学生证，学生证须上传完整的个人信息页扫描件，含前六（四年制）/八（五年制）个学期注册章的注册页，如学生证不符合要求，请上传在有效期内的学信网在线学籍认证报告；（3）本科成绩单，本科前五个学期（四年制）/前七个学期（五年制）的成绩单（需有所在学校教务处或院系公章，机打成绩单已有公章的不必另外加盖）；（4）成绩排名证明，排名证明扫描件(由所在院系或教务处盖章)，如不能提供，请所在院系或教务处给出不能提供成绩排名的证明扫描件；（5）外语能力证明材料，英语六级或四级成绩证明、其它外语能力证明材料扫描件，如有多项材料，请按顺序合并成一个pdf；（6）获奖证书，各类获奖证书扫描件，选 5 个获奖证书，请按重要性顺序，从高到低合并成一个 pdf；（7）学术论文、科技专利证书，以第一作者身份（导师为第一作者的除外）在公开发行的刊物或国内国际会议上发表的学术论文、科技专利证书等材料的扫描件，如有多项材料，请按顺序合并成一个 pdf，非第一作者的材料无需提供。</t>
  </si>
  <si>
    <t>入选优秀营员且确定推免至我校的同学，学院将在推免结束后提供往返我院参加开放日的交通补贴（按学校所在地往返南京的普通硬座、硬卧或动车、高铁二等座及以下标准车票价格计算，需提供原始票根）</t>
  </si>
  <si>
    <t>优秀营员称号，在拿到所在本科学校的推免资格后将优先进入我院推免研究生的选拔名单，在符合我校推免招生要求的情况下，根据招生规模从高分到低分依次录取。</t>
  </si>
  <si>
    <t>申请直博者，本科前三（四年制）/前四（五年制）学年学习成绩应名列专业前茅，具有优秀研究生潜质，原则上应通过英语六级（≥426分）或TOEFL≥85分或IELTS≥6.0分</t>
  </si>
  <si>
    <t>2024年7月初</t>
  </si>
  <si>
    <t>1. 近期正面免冠彩色证件照片，电子版JPG格式，150×200像素，大小500K以内。
2. 本科阶段历年成绩单（须加盖教务处或院系公章），JPG或PDF格式。
3. 外语水平证明，如CET-4、CET-6、雅思、托福、专业外语成绩等。
4. 有关获奖证书和学术科研成果的证明材料，如发表论文、出版物或其他原创性工作。
5. 《考生诚信考核承诺书》（从报考服务系统下载）。
6. 个人简历（一页A4纸以内）。
7. 报考直博生的考生按报名系统要求提供推荐专家信息（具体根据报名系统提示进行提交）。</t>
  </si>
  <si>
    <t>提供夏令营期间在上海的食宿（上海本地学生不提供住宿），并提供一定额度的交通补贴</t>
  </si>
  <si>
    <t>报考直博生的考生按报名系统要求提供推荐专家信息</t>
  </si>
  <si>
    <t>1.近期正面免冠彩色证件照片，电子版JPG格式，150×200像素，大小500K以内。
2.本科阶段历年成绩单（须加盖教务处或院系公章），JPG或PDF格式。
3.外语水平证明，如CET-4、CET-6、雅思、托福、专业外语成绩等。
4.有关获奖证书和学术科研成果，如发表论文、出版物或其他原创性工作。
5.考生诚信考核承诺书。申请人应保证填报信息、提交材料的真实性和准确性。凡提供虚假信息的，一经查实即取消申请资格。</t>
  </si>
  <si>
    <t>1. 近期正面免冠彩色证件照片，电子版JPG格式，150×200像素，大小500K以内。
2. 本科阶段历年成绩单（须加盖教务处或院系公章），JPG或PDF格式。
3. 外语水平证明，如CET-4、CET-6、雅思、托福、专业外语成绩等。
4. 有关获奖证书和学术科研成果，如发表论文、出版物或其他原创性工作。
5. 考生诚信考核承诺书。
6. 报考直博生的同学按报名系统要求提供推荐专家信息。</t>
  </si>
  <si>
    <t>1．近期正面免冠彩色证件照片，电子版JPG格式，150×200像素，大小500K以内。
2．个人简历及陈述1份。
3．本科阶段成绩单和专业排名证明（均须由教务部门盖章）各1份。
4．外语水平证明，如CET四级、CET六级、雅思、托福、专业外语成绩等;
5．有关获奖证书和学术科研成果，如发表论文、出版物或其他原创性工作;
6．考生诚信考核承诺书。</t>
  </si>
  <si>
    <t>初拟5月25日召开线上宣讲会和线上答疑咨询，6月底至7月初开展为期2天的夏令营线下活动及优秀营员评选</t>
  </si>
  <si>
    <t>2024年6月底-7月初，为期两天</t>
  </si>
  <si>
    <t>1.近期正面免冠彩色证件照片，电子版JPG格式，150×200像素，大小500K以内。
2.夏令营申请表，在复旦大学研究生招生网-“研究生报考服务系统－全国优秀大学生夏令营”按要求填报后，自动生成、打印，由负责人签字并加盖院系公章。
3.本科阶段历年成绩单及成绩排名证明各1份（须加盖教务处或院系公章），JPG或PDF格式。
4.外语水平证明，如CET-4、CET-6、雅思、托福、专业外语成绩等。
5.有关获奖证书和学术科研成果，如发表论文、出版物或其他原创性工作。
6.考生诚信考核承诺书。
7.提供副高级职称以上专家撰写的推荐信2封（硕士非必须，申请直博必须提供且为正高级职称专家推荐）。</t>
  </si>
  <si>
    <t>报名材料的纸质材料版请于5月31日之前邮寄，且申请直博者需提供两份正高级职称专家推荐</t>
  </si>
  <si>
    <t>本科阶段学习成绩优秀，预计能获得推免资格</t>
  </si>
  <si>
    <t>7月15日上午报到，下午学校参观；
7月16日上午列席参加第二届群医学及公共卫生大会；
7月16日下午师生座谈会、学术活动、专题讲座。</t>
  </si>
  <si>
    <t>2024年5月11日-5月31日</t>
  </si>
  <si>
    <t>2024年7月15-16日</t>
  </si>
  <si>
    <t>1、填写问卷星：可点击阅读原文填写
https://xhqgwjx.wjx.cn/vm/rrr7eZZ.aspx
2、填写夏令营申请表（二维码下载）；
3、截止报名时的本科历年成绩单１份（加盖教务部门公章）；
4、专业总成绩排名证明材料（加盖教务部门公章）；
5、大学英语六级或TOEFL、IELTS、GRE等体现英语水平的证明；
6、其他有关能力的证明材料（如发表论文、专利，各类获奖证书等）；
7、个人陈述1份，介绍本人学术背景、申请动机、曾经做过的研究工作以及未来学习和研究的计划、目标等（1000字以内）；
8、专家推荐信2封，需副高级及以上职称专家亲笔签字；
9、以上所有材料电子版通过扫描方式处理，按照2-8的顺序生成一份电子文件（PDF格式），文件名为“XX大学-XX专业-XX（姓名）2024年夏令营申请材料”，于2024年5月31日前发送至邮箱pumcspmphyh@163.com；
10、纸质材料：将2-8所有申请材料原件装档案袋，档案袋正面注明姓名、所在学校及院系，夏令营开营时携带学生证及上述材料原件进行报到注册。</t>
  </si>
  <si>
    <t>提供食宿，往返交通费需自理；
为入选营员统一购买活动期间的团体意外保险。</t>
  </si>
  <si>
    <t>英语水平良好，达到大学英语六级考试（≥425分）、雅思（≥6.0分）、托福（≥90分）或相当水平</t>
  </si>
  <si>
    <t>2024年5月11日-6月10日</t>
  </si>
  <si>
    <t>1. “北京协和医学院医学信息研究所2024年夏令营”申请表1份（协和信息所2024年夏令营申请表.doc），同时需填写线上问卷（https://www.wjx.cn/vm/hGzo7l4.aspx#）。
2. 个人简历（带照片）。
3. 截止报名时的成绩单1份（加盖教务部门公章）。
4. 专业/班级总评成绩排名证明材料1份（加盖教务部门公章）。
5. 大学英语六级考试、雅思、托福成绩单等证明英语水平的材料。
6. 大学期间获得的各类获奖证书。
7. 发表的学术论文（限第一、二作者或通讯作者）。
8. 参与或承担课题等体现学术水平的材料。
9. 专家推荐信2封，需副教授及以上职称专家亲笔签字。
10. 以上材料电子版通过扫描方式处理，按照1—9的顺序生成一份电子文件（PDF格式），PDF文件命名为“XX大学—XX专业—XX（姓名）—2024夏令营申请XX专业材料”，于2024年6月10日前发至邮箱kjc@imicams.ac.cn，邮件主题请注明“2024夏令营申请材料-XX（姓名）”。</t>
  </si>
  <si>
    <t>提供免费食宿，交通费用自理。录取为研究生者入学后凭票报销往返路费（凭票实报实销至北京的高铁及动车二等座、普通列车硬座或硬卧，飞机经济舱按照所在地至北京高铁二等座价格限额报销，市内交通费不予报销</t>
  </si>
  <si>
    <t>为优秀营员颁发证书，优秀营员在推免复试时优先录取</t>
  </si>
  <si>
    <t>学习成绩优秀，本科前3年总评成绩(绩点)排名靠前</t>
  </si>
  <si>
    <t>英语水平良好，达到国家四级水平(550分以上)或六级水平(500分以上)、托福成绩90分以上(含90分)或雅思成绩6.0分</t>
  </si>
  <si>
    <t>1. 近期正面免冠彩色证件照片，电子版JPG格式，150×200像素，大小500K以内。
2. 本科阶段历年成绩单(须加盖教务处或院系公章)，JPG或PDF格式。
3. 外语水平证明，如CET四级、CET六级、雅思、托福、专业外语成绩等。
4. 有关获奖证书和学术科研成果，如发表论文、出版物或其他原创性工作。
5. 考生诚信考核承诺书。</t>
  </si>
  <si>
    <t>能获得推免资格</t>
  </si>
  <si>
    <t>2024年5月10日10:00-5月31日17:01</t>
  </si>
  <si>
    <t>学习成绩优秀。本科阶段前4（或3）年学业总成绩在该校同年级该专业名列前茅（在其它方面有突出表现者可适当放宽要求），英语水平良好，达到所在高校推荐免试生的要求</t>
  </si>
  <si>
    <t>7月9日
开营仪式、参观校园、智能医学研究院介绍及招生专业宣传
7月10日
专家学术报告及学生互动交流、各方向专家面试、遴选优秀营员</t>
  </si>
  <si>
    <t>2024年5月10日10:00-5月31日17:02</t>
  </si>
  <si>
    <t>2024年7月9日-10日</t>
  </si>
  <si>
    <t>1.“2024年复旦大学优秀大学生夏令营活动申请表”（自下述网站开通期间，在www.gsao.fudan.edu.cn  中“研究生报考服务系统-全国优秀大学生夏令营”栏中按要求统一填写、打印）
2.  本科阶段成绩单（由教务部门或院系盖章）
3.  其它必要的证明材料复印件（如已发表论文、各类获奖或资格证书等）</t>
  </si>
  <si>
    <t>研究所参观，聆听科研讲座，与导师面对面交流，了解湖北省及武汉市历史楚文化</t>
  </si>
  <si>
    <t>2024年5月10日-6月16日</t>
  </si>
  <si>
    <t>申请表及个人简历</t>
  </si>
  <si>
    <t>提供免费食宿，外地高校营员报销单程路费（高校所在城市至武汉的动车二等座或相当于动车二等座票价，如乘坐飞机，请提交行程单和登机牌作为报销凭证，如乘坐火车，请务必领取纸质票作为报销凭证，市内车费不予报销）</t>
  </si>
  <si>
    <t>遗传发育所概况及研究生培养情况介绍、专家学术报告、研究所参观、师生交流、推免生面试等活动，具体内容将在申请通过后另行通知。</t>
  </si>
  <si>
    <t>2024年5月11日-6月23日</t>
  </si>
  <si>
    <t>2024年7月15日—7月19日</t>
  </si>
  <si>
    <t>为外地学员提供在京的住宿（京区学生原则上不提供住宿，将给予相应的交通补贴）；购买在京期间人身意外伤害保险</t>
  </si>
  <si>
    <t>夏令营具体活动安排将另行通知。</t>
  </si>
  <si>
    <t>1.近期正面免冠彩色证件照片，电子版JPG格式，150×200像素，大小500K以内。2.个人简历及陈述1份。3.本科阶段成绩单和专业排名证明（均须由教务部门盖章）各1份。4.外语水平证明，如CET四级、CET六级、雅思、托福、专业外语成绩等;5.有关获奖证书和学术科研成果，如发表论文、出版物或其他原创性工作; 6.考生诚信考核承诺书。</t>
  </si>
  <si>
    <t>2024年6月11日16:00前</t>
  </si>
  <si>
    <t>1. 有效身份证明。申请人须提供有效中华人民共和国居民身份证，正反面复印在一页扫描上传。
2. 在学证明或学生证（需提供每学期注册章），并附学信网《教育部学籍在线验证报告》。
3. 本人自述（中英文均可）。
4. 本科阶段各学期成绩单(原件，有学校教务处或院系公章)。
5. 本科阶段前两年半或前三年成绩排名证明(原件，有学校教务处或院系公章)。
6. 英语4级或6级通过证书或成绩单，或其他外语成绩证明。
7. 两份与申请学科相关的职称为副教授（或相当职称）及以上专家的“专家推荐信”。
8. 如果有在核心刊物或会议上发表学术论文、出版物或取得具有学术水平的工作成果，请提交接收函或证明文件，发表文章仅需提供首页，如提供学位论文仅需提供题目和中文摘要。
9. 如果在学期间从事课外科技活动中有获奖或突出表现，请提交由学校教务部门出具并加盖公章的证明材料。
10. 其他可证明科研水平和能力的材料。</t>
  </si>
  <si>
    <t>生命科学学院和生命科学联合中心（北大方面）</t>
  </si>
  <si>
    <t>信息科学与工程学院生物医学工程系</t>
  </si>
  <si>
    <t>7月8日：开营仪式、生物医学工程系学术交流 
7月9日：面试
7月10日上午：生物医学工程实验室参观
7月10日下午：复旦校园参观、离校</t>
  </si>
  <si>
    <t>2024年5月10日10:00-5月31日17:00。</t>
  </si>
  <si>
    <t>约60名</t>
  </si>
  <si>
    <t>1.近期正面免冠彩色证件照片，电子版JPG格式，150×200像素，大小500K以内。
2.本科阶段历年成绩单（须加盖教务处或院系公章），JPG或PDF格式。
3.外语水平证明，如CET四级、CET六级、雅思、托福、专业外语成绩等。
4.有关获奖证书和学术科研成果，如发表论文、出版物或其他原创性工作。
5.考生诚信考核承诺书。
申请人必须确保提供的信息和材料真实、准确。凡提供虚假材料者，一经查实，将取消其申请资格。</t>
  </si>
  <si>
    <t>生医系将为营员提供夏令营期间的正餐，同时对外地营员给予一定比例的差旅补助，每人不超过400元。</t>
  </si>
  <si>
    <t>开营仪式、院系介绍、课题组宣讲、营员个人展示等</t>
  </si>
  <si>
    <t>即日起- 6月20日</t>
  </si>
  <si>
    <t>预计2024年7月5-7日</t>
  </si>
  <si>
    <t>1）身份证正反面扫描件或者照片；
（2）学生证扫描件或者照片；
（3）包含所修全部课程的正式成绩单（院系或教务处加盖公章）；成绩单上所标注所在专业的成绩排名；
（4）英语水平证明材料（四、六级英语证书，托福、雅思等成绩证明）；
（5）其他能够体现本人学习及科研能力的证明材料（各类获奖证书、代表性的学术论文首页、专利授权证明等）</t>
  </si>
  <si>
    <t>1）大学英语六级成绩达到460分及以上；
（2）托福（TOEFL）成绩达到90分及以上；
（3）雅思（IELTS）成绩达到6.0及以上；
（4）入学前参加境外全英文授课学位项目学习并获得学位（指本科阶段）。</t>
  </si>
  <si>
    <t>开营仪式、学术报告、大咖面对面、WeTalk我们说科学、在校博士生学长学姐交流会、科研平台参观和优秀营员选拔等。</t>
  </si>
  <si>
    <t>2024年4月2日中午12时至2024年6月12日中午12时</t>
  </si>
  <si>
    <t>2024年7月4日至7月7日</t>
  </si>
  <si>
    <t>约200名</t>
  </si>
  <si>
    <t>1.个人陈述：内容需涵盖本人学术科研经历、博士阶段的科研计划等，2000字左右（如用中文书写，可适当增加字数），可参考附件模板；
2.在读证明：须加盖学校教学管理部门或院系公章；境外在读的学生需提供就读学校出具的在读证明（写明预计获得学位时间）；
3.成绩排名：应届本科生须提供官方出具（加盖公章）的前三年综合排名。境外学校若无法取得成绩排名，可书写情况说明上传；
4.成绩单：本科阶段在校学习成绩单扫描件，并加盖学校教学管理部门或院系公章；
5.英语水平证明：全国大学英语六级、托福或雅思等成绩单；以攻读全英文授课学位作为英语水平条件者，若就读学校所在国家的官方语言或母语不是英语，须提供全英文授课证明；
6.学术科研成果：体现自身学术水平的代表性学术科研成果；
7.获奖证明：在校期间从事课外科技活动获奖证明或其他各类获奖证明；
（注意：以上需在系统提交相关材料的扫描件）
8.教育部学籍在线验证报告：国内高校2025年应届本科毕业生须提交；
9.专家推荐信：至少2位报考学科领域内的教授（或相当专业技术职称的专家）或博士生导师出具的推荐信。强烈建议由推荐人在线填写提交（申请者在系统中填写推荐人信息，将由系统发送中英双语邮件至推荐人邮箱，由推荐人在线填写）；申请人提交仅作为推荐人无法在线填写的备选方案，详见系统内报名须知。</t>
  </si>
  <si>
    <t>夏令营优秀营员若获得所在院校2025年推荐免试资格，符合西湖大学2025年推荐免试直博生招生简章的报考条件，将获得西湖大学2025年推免直博生拟录取资格；未获得推荐免试资格的优秀营员，若符合西湖大学2025年博士研究生招生简章的报考条件，将优先获得西湖大学2025年博士研究生拟录取资格；</t>
  </si>
  <si>
    <t>中国医学科学院医学实验动物研究所 / 北京协和医学院比较医学中心（动研所）</t>
  </si>
  <si>
    <t>普通类高校学生截至目前总评成绩在本专业排名前5%；</t>
  </si>
  <si>
    <t xml:space="preserve">英语达到国家四/六级以及相当水平，CET-4成绩≥500分,CET-6成绩≥430分。 </t>
  </si>
  <si>
    <t>招生宣传；课题组研究方向介绍；专家系列讲座；了解学生生活学习情况等。</t>
  </si>
  <si>
    <t>2024年5月13日-- 5月31日</t>
  </si>
  <si>
    <t>2024年6月-7月初</t>
  </si>
  <si>
    <t>1、《动研所2024年大学生夏令营报名表》（附件1）；
　　2、截止目前本科、硕士在读期间成绩单（需要学校教务部门签字盖章）；
　　3、英语四/六级成绩单复印件1份；
　　4、获奖证书，发表的学术论文，在科研技能、创新创业、社会实践及组织才能等方面取得的优异成果相关证明材料复印件1份；
　　5、身份证正反面复印件、学生证复印件各1份（含学校名称、个人信息）；
　　6、推荐信（可由辅导员/班主任、导师提供）</t>
  </si>
  <si>
    <t>夏令营期间提供个免费食宿、交通费用自理。录取为研究生者入学后凭票报销往返路费（凭票实报实销至北京的高铁及动车二等座、普通列车硬座或硬卧，飞机经济舱按照所在地至北京高铁二等座价格限额报销，市内交通费不予报销，具体报销规则另行通知）。为入宣营员同意购买活动期间的团体意外保险等。</t>
  </si>
  <si>
    <t>本次夏令营将根据营员表现评选出优秀营员，并为优秀营员办法证书，优秀营员在推免复试是优秀录取。</t>
  </si>
  <si>
    <t xml:space="preserve">中国科学院
</t>
  </si>
  <si>
    <t xml:space="preserve">中国科学院北京基因组研究所（国家生物信息中心）
</t>
  </si>
  <si>
    <r>
      <t>1.开营典礼、多场优秀学者的学术讲座和报告、与心仪的导师交流、师生互动，参观国家生物信息中心，结营典礼等。线下夏令营申报，线下夏令营活动将在7月上旬具体通知。
2.推免生面试：
（1）招生专业：基因组学、生物信息学、精准医学。</t>
    </r>
    <r>
      <rPr>
        <sz val="28"/>
        <color rgb="FF000000"/>
        <rFont val="Times New Roman"/>
        <family val="1"/>
      </rPr>
      <t> </t>
    </r>
    <r>
      <rPr>
        <sz val="28"/>
        <color rgb="FF000000"/>
        <rFont val="微软雅黑"/>
        <family val="2"/>
        <charset val="134"/>
      </rPr>
      <t xml:space="preserve">
（2）招生类别：国家生物信息中心推免硕士、直博生，中国科学院大学未来技术学院基因组健康技术教研室直博生。</t>
    </r>
    <r>
      <rPr>
        <sz val="28"/>
        <color rgb="FF000000"/>
        <rFont val="Times New Roman"/>
        <family val="1"/>
      </rPr>
      <t> </t>
    </r>
    <r>
      <rPr>
        <sz val="28"/>
        <color rgb="FF000000"/>
        <rFont val="微软雅黑"/>
        <family val="2"/>
        <charset val="134"/>
      </rPr>
      <t xml:space="preserve">
“中国科学院北京基因组研究所（国家生物信息中心）2025年推免生招生目录”将另行发布，推免生招生政策及条件同中国科学院大学接收推免生章程。</t>
    </r>
    <r>
      <rPr>
        <sz val="28"/>
        <color rgb="FF000000"/>
        <rFont val="Times New Roman"/>
        <family val="1"/>
      </rPr>
      <t> </t>
    </r>
  </si>
  <si>
    <t>即日起至2024年6月17日24:00。</t>
  </si>
  <si>
    <r>
      <t>2024年6月26日至7月14日。</t>
    </r>
    <r>
      <rPr>
        <sz val="28"/>
        <color rgb="FF000000"/>
        <rFont val="Times New Roman"/>
        <family val="1"/>
      </rPr>
      <t> </t>
    </r>
  </si>
  <si>
    <t>线上拟招生400名营员，线上将进行多场优秀学者的学术讲座和报告，线上学术讲座和报告开展约3天。线上活动结束后，有志愿参加国家生物信息中心2025年推免研究生面试的同学，可按照专业申报到国家生物信息中心线下参加活动和推免面试。申报结束后，国家生物信息中心将组织专家小组遴选，经专家组推荐，拟接收约120名同学到国家生物信息中心线下参观、交流、听取报告并参加推免面试。2025年入学的推免面试研究生不提前申报导师，实行录取后在研究组进行轮转后，经双向选择确认导师。</t>
  </si>
  <si>
    <r>
      <t>1.中国科学院大学2024年大学生夏令营申请表（报名网站下载、签字版）；</t>
    </r>
    <r>
      <rPr>
        <sz val="28"/>
        <color rgb="FF000000"/>
        <rFont val="Times New Roman"/>
        <family val="1"/>
      </rPr>
      <t>  </t>
    </r>
    <r>
      <rPr>
        <sz val="28"/>
        <color rgb="FF000000"/>
        <rFont val="微软雅黑"/>
        <family val="2"/>
        <charset val="134"/>
      </rPr>
      <t xml:space="preserve">
2.已修课程成绩单原件电子版；</t>
    </r>
    <r>
      <rPr>
        <sz val="28"/>
        <color rgb="FF000000"/>
        <rFont val="Times New Roman"/>
        <family val="1"/>
      </rPr>
      <t> </t>
    </r>
    <r>
      <rPr>
        <sz val="28"/>
        <color rgb="FF000000"/>
        <rFont val="微软雅黑"/>
        <family val="2"/>
        <charset val="134"/>
      </rPr>
      <t xml:space="preserve">
3.身份证及学生证电子版；</t>
    </r>
    <r>
      <rPr>
        <sz val="28"/>
        <color rgb="FF000000"/>
        <rFont val="Times New Roman"/>
        <family val="1"/>
      </rPr>
      <t> </t>
    </r>
    <r>
      <rPr>
        <sz val="28"/>
        <color rgb="FF000000"/>
        <rFont val="微软雅黑"/>
        <family val="2"/>
        <charset val="134"/>
      </rPr>
      <t xml:space="preserve">
4.英语四、六级成绩单或体现自身英语水平的证明材料；</t>
    </r>
    <r>
      <rPr>
        <sz val="28"/>
        <color rgb="FF000000"/>
        <rFont val="Times New Roman"/>
        <family val="1"/>
      </rPr>
      <t> </t>
    </r>
    <r>
      <rPr>
        <sz val="28"/>
        <color rgb="FF000000"/>
        <rFont val="微软雅黑"/>
        <family val="2"/>
        <charset val="134"/>
      </rPr>
      <t xml:space="preserve">
5.其它能佐证兴趣和能力的重要材料（已发表论文或出版物、奖励证书等），最多不超过5项。</t>
    </r>
    <r>
      <rPr>
        <sz val="28"/>
        <color rgb="FF000000"/>
        <rFont val="Times New Roman"/>
        <family val="1"/>
      </rPr>
      <t> </t>
    </r>
    <r>
      <rPr>
        <sz val="28"/>
        <color rgb="FF000000"/>
        <rFont val="微软雅黑"/>
        <family val="2"/>
        <charset val="134"/>
      </rPr>
      <t xml:space="preserve">
</t>
    </r>
  </si>
  <si>
    <t>1.本活动不收取任何费用。国家生物信息中心为每一位按时参加活动的营员准备了礼包，礼包将在活动结束后以快递方式邮寄给线上按时参加的营员。线下到场进行面试的同学现场领取。
2.为通过专家组遴选到国家生物信息中心现场参加面试的外地学员免费安排住宿；北京本地学员原则上不安排住宿，但学校距离基因组所10公里及以上的北京地区学员可提出住宿要求，具体由遴选委员会审议决定。
3.按普通列车硬卧、硬座、动车二等座标准报销学员学校所在地至北京交通费用。北京本地学员提供市内交通补助，请学生准备好相关票据。
4.为学员提供餐费补贴。
5.统一为学员购买夏令营期间的人身意外伤害保险。</t>
  </si>
  <si>
    <t>学习成绩优秀，在校期间无重修或者补考科目，能够获得推免资格者优先；</t>
  </si>
  <si>
    <t>CET4≥450分；CET6≥430分。</t>
  </si>
  <si>
    <t>2024年5月15日——2024年6月15日</t>
  </si>
  <si>
    <t>1.个人简历；
2.截止目前大学期间成绩单和专业排名，须由教务部门盖章；
3.英语四级及六级考试成绩证明；
4.其他证明材料（如体现自身学术水平的代表性学术论文或其他原创性工作成果复印件、获奖证书复印件等）；
5.身份证正反面复印件、学生证复印件（含学校名称、个人信息）；</t>
  </si>
  <si>
    <t>◆夏令营期间，提供食宿！
◆往返路费（硬座）凭对应车票报销！</t>
  </si>
  <si>
    <t xml:space="preserve">2024年7月中上 </t>
  </si>
  <si>
    <t xml:space="preserve">1.近期正面免冠彩色证件照片，电子版JPG格式，150×200像素，大小500K以内。2.本科阶段历年成绩单（须加盖教务处或院系公章），JPG或PDF格式。3.外语水平证明，如CET-   4、CET-   6、雅思、托福、专业外语成绩等。4.有关获奖证书和学术科研成果，如发表论文、出版物或其他原创性工作。5.考生诚信考核承诺书。6.报考直博生须根据 系统说明提供两封正高级专家推荐信。7.学信网学籍认证报告（须在有效期内）。8.个人简历（一页A4纸以内）。9.本科阶段成绩排名（须加盖教务处或院系公章）。
</t>
  </si>
  <si>
    <t>北京协和医学院药物研究所（药物所）</t>
  </si>
  <si>
    <t>推免直博生的招生条件为达到全国大学英语六级考试（CET-6）430分及以上。推免硕士生的招生条件为达到全国大学英语四级考试（CET-4）450分及以上。</t>
  </si>
  <si>
    <t>5月13日到6月10日</t>
  </si>
  <si>
    <t>1、在线填写报名表；
2、学生证扫描件；
3、成绩单1份，并加盖院系教务部门公章（提交扫描件）；
4、相关获奖证书和英语水平证书（提交扫描件）；
5、院系教务部门出具的成绩综合排名证明（提供本人排名/专业总人数）和绩点排名证明，需签字加盖教务部门公章（提交扫描件）；
6、专家推荐信2封：推荐人需充分了解申请人的学术成就和工作业绩等情况，具有副教授及以上职称或相当职称。（自愿提供）
7、在学术期刊上发表的文章、出版物或其他学术作品也可作为申请材料提交（提交扫描件）。</t>
  </si>
  <si>
    <t>优秀营员在符合北京协和医学院推免生要求前提下，全程参加我所暑期夏令营，若获得所在学校推荐免试研究生资格，同等条件优先拟录取为我校2025年推免研究生。</t>
  </si>
  <si>
    <t>中国科学院生物与化学交叉研究中心</t>
  </si>
  <si>
    <t>985、211或省属重点高校本科期间总评成绩排名在年级（或专业）前50%的学生；</t>
  </si>
  <si>
    <t>即日起至2024年6月15日。</t>
  </si>
  <si>
    <t>7月13日至14日</t>
  </si>
  <si>
    <t>1.《生物与化学交叉研究中心2024年暑期夏令营申请表》点击下载：
    生物与化学交叉研究中心2024年暑期夏令营申请表.doc
2. 本科成绩单（需加盖教务处或院系公章）
3. 专业排名证明或其他证明材料（需加盖公章或辅导员签字）
4. 英语四/六级成绩单复印件
5. 身份证复印件
6. 学生证复印件
7. 其他等级证书或校级以上获奖证书复印件
8. 副教授以上职称专家推荐信（需有推荐教师签名）
9. 已发表论文或出版物复印件</t>
  </si>
  <si>
    <t>中国科学院生物物理研究所</t>
  </si>
  <si>
    <t>研究所情况介绍、平台及园区参观、师生座谈交流、优秀营员评选等。</t>
  </si>
  <si>
    <t>2024年7月15日—19日</t>
  </si>
  <si>
    <t>1．《中国科学院生物物理研究所生命科学希望之星夏令营申请表》，见附件。申请表需本人手写签名。（注：申请人所学专业的同年级总人数及申请人三学年总评成绩在本专业年级排名处必须由学校（或院系）教务管理部门填写并盖章）；
2．所在学校（或院系）教务部门出具并加盖公章的大学本科前三年所修课程成绩单（五年制的提供前四年课程成绩单）；
3．第二代居民身份证；
4．英语等级证书；
5．大学期间的获奖证书；
6．在公开发行的学术刊物或全国性学术会议上发表的学术论文、所获专利或其他原创性工作成果或证明，及对申请有参考价值的其他材料；
7.《专家推荐信》两封，由副教授或相当职称以上专家推荐。</t>
  </si>
  <si>
    <t xml:space="preserve">夏令营活动期间，研究所将为全程参加夏令营的京外营员统一安排住宿（京内营员及仅参加优秀营员评选的同学不提供住宿）；
</t>
  </si>
  <si>
    <t>六级成绩≥425分或新TOEFL≥90分或IELTS≥6.0</t>
  </si>
  <si>
    <t>2024年5月15日上午10:00-2024年6月15日上午10:00</t>
  </si>
  <si>
    <t>（1）《上海交通大学生物医学工程学院（含Med-X研究院）研究生优才夏令营申请表》（需签字盖章）；
（2）大学期间成绩单（需教务部门盖章）；
（3）英语六级成绩单（扫描件）或其他英语考试成绩证明：如托福，雅思，中、高级口译证书等（扫描件）；
（4）学生证、身份证（正反面、扫描件）；
（5）其他证明材料（如已发表论文的扫描件、奖状扫描件、各类证书等）。</t>
  </si>
  <si>
    <t>本院研究生优才夏令营会根据参与者的最后综合表现，择优颁发优秀营员证书。“优秀营员”激励政策：
若获得推免资格申请我院，学院根据接收规模从高分到低分录取，额满为止，申请直博生优先。</t>
  </si>
  <si>
    <t>7月2日～7月3日</t>
  </si>
  <si>
    <t>约40名</t>
  </si>
  <si>
    <t>1.近期正面免冠彩色证件照片，电子版JPG格式，150×200像素，大小500K以内。
2.本科阶段历年成绩单（须加盖教务处或院系公章），JPG或PDF格式。
3.外语水平证明，如CET-4、CET-6、雅思、托福、专业外语成绩等。
4.有关获奖证书和学术科研成果，如发表论文、出版物或其他原创性工作。
5.考生诚信考核承诺书。
6.院系要求上传的其他材料。</t>
  </si>
  <si>
    <t>大学英语六级考试460分及以上，托福机考≥80或雅思≥5.5（六级成绩有效期5年，托福和雅思成绩有效期2年，2024年7月推免申请前取得相应成绩）；</t>
  </si>
  <si>
    <t>（1）开营仪式：走进浙大首个学术特区，深入了解LSI
（2）走近实验室：自由参观实验室，感受科研现场
（3）师兄师姐交流会：研究生分享科研生活，指点迷津
（4）PI面对面：师生对话，聚焦科学前沿话题</t>
  </si>
  <si>
    <t>即日起至6月16日</t>
  </si>
  <si>
    <t>第一期时间为7月2日至5日，第二期时间为7月9日至12日</t>
  </si>
  <si>
    <t>每期拟招收营员100人左右</t>
  </si>
  <si>
    <t xml:space="preserve">a. 《浙江大学生命科学研究院2024年学术夏令营申请表》1份（附件）；
b. 身份证正反扫描件1份；
c. 本科成绩单1份（须加盖院系或学校教务处公章）；
d. 总成绩排名1份（须加盖院系或学校教务处公章）；
e. 英语四、六级证书或其他英语考试的成绩证明1份；
f. 其他获奖证明材料。
 </t>
  </si>
  <si>
    <t>参加夏令营的营员由我院统一安排食宿，并购买在浙大活动期间的团体险，费用由我院承担。外地学生来校交通费可由我院部分报销（限汽车、火车硬座/硬卧中上铺、动车/高铁二等座、飞机经济舱）。来校交通费根据发票票面金额实报实销，上限不超过1500元，入营报到时须提供纸质报销凭证；最终报考并进入生研院攻读博士学位的营员可报销返程交通费(标准同来校车票)。</t>
  </si>
  <si>
    <t>北京协和医学院医药生物技术研究所（药生所）</t>
  </si>
  <si>
    <t>推免直博生的招生条件为达到全国大学英语六级考试（CET-6）430分及以上，推免硕士生的招生条件为达到全国大学英语四级考试（CET-4）450分及以上；</t>
  </si>
  <si>
    <t>2024年5月20日－6月10日</t>
  </si>
  <si>
    <t>1、填写《药生所2024年优秀大学生意向报考申请表》（附件1：药生所2024年优秀大学生意向报考申请表，扫描件）；
2、学生证、成绩单1份（须加盖院系教务部门公章，扫描件）；
3、相关获奖证书和英语水平证书（扫描件）；
4、院系教务部门出具的成绩综合排名证明（提供本人排名/专业总人数）和绩点排名证明（需签字加盖院系教务部门公章，扫描件）；
5、代表性论文、出版物或其他学术成果可作为申请材料提交（自愿提供，扫描件）；
6、专家推荐信1-2封，需副教授及以上职称专家推荐（自愿提供，扫描件）；
7、填写《报名信息表》（附件2：报名信息表，EXCEL表）。</t>
  </si>
  <si>
    <t>双一流”重点建设学科及高校学生GPA和总评成绩在年级前40%，普通院校学生GPA和总评成绩在年级前20%</t>
  </si>
  <si>
    <t>六级考试通过</t>
  </si>
  <si>
    <t>6月13日24:00前</t>
  </si>
  <si>
    <t>1. 申请者需提交《中国农业大学接收推荐免试研究生申请表》（报名系统自动生成，需盖章签字）；
2. 申请者需提供：本科阶段成绩单一份，前两年半或前三年总评成绩排名原件（官方出具，双学位学生同时附双学位成绩单及排名），学生证（信息页以及每学期注册页）或在读证明，学信网《教育部学籍在线验证报告》。
3. 其他证明材料，包括：（1）外语水平相关证明；（2）已发表论文（如有）复印件；（3）各类获奖证书复印件；（4）相关资质材料（如发表文章、参加科技创新活动、发明专利等证书）；（5）身份证正反面复印件；
4. 两封副教授及以上或相关专业专家推荐信。</t>
  </si>
  <si>
    <t>开营仪式、院系介绍、师生交流、实验室参观、推免生面试等；</t>
  </si>
  <si>
    <t>网上报名截止日期：2024年6月12日23:59；</t>
  </si>
  <si>
    <t>（1）个人简历（PDF，涵盖个人基本信息、学校、专业、英文能力、年级/专业排名，示例：1/50、科研和获奖情况，社会工作，简历语言不限）；
（2）报名表（于报名系统在线填写）；
（3）身份证正反面复印件；
（4）学生证复印件；
（5）包含所修全部课程的正式成绩单（需加盖院系或教务公章），成绩单上需注明所在专业的成绩排名或另提供成绩排名证明；
（6）专家推荐信2封（格式不限，自愿提交）；
（7）其他体现个人学术水平、综合能力的证明材料，包括但不限于：
英语水平证明材料复印件（四、六级英语，托福、GRE、雅思等证书）；体现个人学术水平的有代表性的学术论文首页；各类获奖证书等；</t>
  </si>
  <si>
    <t>申请人后续如通过夏令营预选拔获得拟录取后，必须通过中国研究生招生信息网“全国推荐优秀应届本科毕业生免试攻读研究生信息公开暨管理服务系统”（简称全国推免服务系统）注册并填报志愿，根据实际进程完成待录取通知等相应程序。全国推免服务系统预计9月底前后开放报名，届时请申请人关注中国研究生招生信息网、南科大研招网以及学院邮件通知。</t>
  </si>
  <si>
    <t>深圳国际研究生院生物医药与健康工程研究院</t>
  </si>
  <si>
    <t>5月18日10点-6月11日上午10点</t>
  </si>
  <si>
    <t>2024年6月25日-27日</t>
  </si>
  <si>
    <t>1.申请表（在线填写）
2.有效身份证明（二代居民身份证,正反面扫描至同一页，彩色上传）
3.在学证明（学生证，扫描至同一页，彩色）
4.简历和本人自述（扫描至同个PDF，不超过2页）
5.外语水平证明（彩色上传）
6.专家推荐信2封：申请人在线邀请两位与申请学科相关的副教授（含）以上职称专家在线填写推荐信。推荐专家按系统要求，在规定的时间内填写、上传专家推荐信。同时请专家在线完成推荐书后协助妥善保存推荐信原件，待后续接收通知将书面版寄至我院。
7. 前5学期的各科成绩单与前5学期的年级总评成绩排名（需盖学校或院系教务部门公章）。
8. 其它材料：包括获奖证书复印件（学术类相关奖项），能体现自身学术水平的学术论文、出版物等。
9.报名精准医学与公共健康（生物工程与转化医学）硕士项目、精准医学与公共健康直博项目，增加上传英文版简历和自述（扫描至同个PDF，不超过2页）</t>
  </si>
  <si>
    <t>本次夏令营不收取任何费用,入选营员交通自理。活动期间在深的用餐我院统一安排，生物医药与健康工程研究院为外地学校营员提供住宿或发放住宿补贴150元/人/晚，交通补贴200元/人。</t>
  </si>
  <si>
    <t>脑科学与脑医学学院（宣讲会）</t>
  </si>
  <si>
    <t>前三年总评成绩排名前30%；</t>
  </si>
  <si>
    <t>CET6≥425或TOEFL≥90或IELTS≥6.0。</t>
  </si>
  <si>
    <t>2024年6月13日前</t>
  </si>
  <si>
    <t>预计为2024年7月16日-7月17日</t>
  </si>
  <si>
    <t>1. 两封推荐信（推荐信格式请见报名网站下载），并且至少一封推荐信的推荐人职称为副高或副高以上（副高指副教授和副研究员）（必须提供）
2. 本科成绩单（教务部门盖章）（必须提供）
3. 本科成绩排名证明（教务部门盖章）（必须提供）
4. 英语六级成绩单或其他英语考试成绩证明：如托福，雅思，中、高级口译证书等（必须提供）
5．学生证（必须提供）
6. 身份证（必须提供）
7. 学籍认证报告（必须提供）
8. 奖励证书（如有）
9. 参与科研课题材料或发表文章（如有）</t>
  </si>
  <si>
    <t>根据营员综合表现，择优颁发“优秀营员”证书。“优秀营员”获得所在学校推荐免试研究生资格，并符合我校推免生招生要求，我院根据招生规模从高分到低分依次直接录取，额满为止（申请直博生优先）。</t>
  </si>
  <si>
    <t>深圳医学科学院</t>
  </si>
  <si>
    <t>深圳医学科学院-深圳湾实验室</t>
  </si>
  <si>
    <t>（1）大学英语六级成绩达到460分及以上；
（2）托福（TOEFL）成绩达到90分及以上；
（3）雅思（IELTS）成绩达到6.0及以上；
（4）入学前参加境外全英文授课学位项目学习并获得学位；</t>
  </si>
  <si>
    <t>开营仪式、大咖面对面、学术报告、科研平台参观、在读学长学姐交流会、优秀营员选拔等。</t>
  </si>
  <si>
    <t>2024年5月24日至2024年6月27日中午12时。</t>
  </si>
  <si>
    <t>2024年7月14日-18日</t>
  </si>
  <si>
    <t>1、线上报名表：https://www.wjx.cn/vm/YyUXZYK.aspx#
2、个人陈述：中英文均可（须用模版填写）；
深圳医学科学院 深圳湾实验室2024年夏令营申请者个人陈述.docx
SMART-SZBL Summer Camp Personal Statement.docx
3、有效身份证明：申请人须提供有效中华人民共和国居民身份证，正反面复印在一页；
4、在读证明（本科/硕士应届生）：须加盖学校教学管理部门或院系公章及《教育部学籍在线验证报告》；境外在读的学生需提供就读学校出具的在读证明（写明预计获得学位时间）；
5、学历学位证明（往届生）：学位证书，学历证书和学信网《教育部学历证书电子注册备案表》。持国（境）外教育机构学历者，须提交由教育部留学服务中心出具的《国（境）外学历学位认证书》；
6、成绩单：应届本科生提供本科阶段在校学习成绩单、前两年半或前三年的成绩排名证明（由学校教学管理部门或院系盖章）；往届本科生，应届/往届硕士生提供历年在校学习成绩单（本科及硕士阶段，由学校教学管理部门或院系盖章）；
7、英语水平证明：全国大学英语六级、托福或雅思等成绩单；以攻读全英文授课学位作为英语水平条件者，若就读学校所在国家的官方语言或母语不是英语，须提供全英文授课证明（注：中外合作办学项目须另外提交英语成绩证明）；
8、专家推荐信：至少2位与申请方向相关的职称为教授（或相当专业技术职称的专家）或博士生导师出具的推荐信；
9、学术科研成果：如有在核心刊物或会议上发表学术论文、出版物或取得具有学术水平的工作成果，请提交接收函或证明文件，发表文章仅需提供首页，如要提供学位论文仅需提供题目和中文摘要；
10、其他获奖证明：如在学期间参加课外科技活动中有获奖或突出表现，请提交由学校教学管理部门出具并加盖公章的证明材料。</t>
  </si>
  <si>
    <t>此次夏令营活动不收取任何费用，活动期间提供免费食宿。营员请自行预定往返车票，外地（非深圳本地）学生来深交通费可部分报销（上限不超过500元，限汽车或火车硬席、动车/高铁二等座、飞机经济舱），入营报到时须提供纸质车票进行报销。</t>
  </si>
  <si>
    <t>活动内容包括参观兰州大学和兰州大学第二医院学习科研环境，兰州大学第二医院研究生教育介绍、专家学术报告、导师面对面交流、优秀营员考核、学生互动与风采展示等</t>
  </si>
  <si>
    <t>即日起至2024年6月20日</t>
  </si>
  <si>
    <t>30-40名。</t>
  </si>
  <si>
    <t>①学生证和身份证扫描件
②本科成绩单与本专业排名证明扫描件（需加盖教务处或院系公章）；
③外语水平证明，全国大学英语四/六级成绩单或其他同类别英语考试成绩单扫描件；
④其他证明材料，如已发表论文或专利扫描件、本科期间各类获奖证书扫描件等。</t>
  </si>
  <si>
    <t>参加线下活动的外地营员统一提供免费食宿。并将按普通硬座火车票价报销交通费，学生需保存交通报销凭证并在返校后以快递形式提交相关票据。</t>
  </si>
  <si>
    <t>通过预推免研究生考核的优秀营员在取得本科院校推免资格后可直接申请推免录取</t>
  </si>
  <si>
    <t>生命科学和医学学部</t>
  </si>
  <si>
    <t>1）开营式，介绍学校与学部基本情况；
（2）专家学术报告；
（3）实验室介绍、参观；
（4）营员面试考核。</t>
  </si>
  <si>
    <t>2024年5月9日-2024年5月30日22:00</t>
  </si>
  <si>
    <t>2024年6月23日—25日</t>
  </si>
  <si>
    <t>（1）个人简历、学生证；
（2）所在院（系）或学校教务处盖章的成绩排名证明PDF扫描件；
（3）所在院（系）或学校教务处盖章的成绩单原件的PDF扫描件；
（4）体现英语水平的证明材料（国家英语四六级，TOEFL成绩，GRE成绩等）；
（5）其他证明材料，包括：已发表论文中代表性论文1篇，应提供全文，其他已发表论文提供期刊目录、论文首页复印件；本科期间各类获奖证书复印件。
注：不能按时提供原件的，可先上传未盖章原件，待原件盖章确认后正式录取。请申请人将以上材料扫描或拍照后合成一个PDF文件，文件命名为“考生姓名+报考学科”，邮件主题为“考生姓名-夏令营”，发送至指定邮箱hitlife28@163.com。</t>
  </si>
  <si>
    <t>夏令营自即日起至2024年6月24日接收报名</t>
  </si>
  <si>
    <t>2024年7月22日至7月26日</t>
  </si>
  <si>
    <t xml:space="preserve">① 英文CV（无固定模板）；
② “中国科学院上海免疫与感染研究所大学生夏令营申请表” （可以在夏令营申请系统下载表格，也可以在研究所相关通知网页下载申请表填写）； 
③ 两封推荐信，推荐人须具有副教授以上职称（非必要，可以不提供）； 
④ 本科学校教务部门（或院系）出具并加盖公章的大学本科成绩单和成绩排名证明； 
⑤ 获奖证明材料（体现自身学术水平的代表性学术论文的复印件;获奖证书复印件;英语四、六级证书复印件等）。 </t>
  </si>
  <si>
    <t>(1) 免费提供在上海夏令营期间的食宿
(2) 从所在学校到上海的单程火车票补助
(3) 优秀营员考核(夏令营活动结束后)</t>
  </si>
  <si>
    <t>本科三年级在校生（双一流高校或相关学科全国学科评估排名前25%优先考虑）；</t>
  </si>
  <si>
    <t>英语水平良好（CET6≥425或TOEFL≥90或IELTS≥6.0）。</t>
  </si>
  <si>
    <t>6月17日前</t>
  </si>
  <si>
    <t>2024年7月（拟定8-10日，具体以开营公告为准）</t>
  </si>
  <si>
    <t>1. 申请表（见附件，需签字盖章）；
2. 本科成绩单（需教务部门盖章）；
3. 英语水平证明材料（扫描件），如六级英语，托福、GRE、雅思等；
4. 学生证、身份证（正反面，扫描件）；
5. 学籍认证报告；
6. 其他证明材料（如已发表论文的复印件、奖状复印件、各类证书等）。</t>
  </si>
  <si>
    <t>1. 提供夏令营期间在沪的食宿；
2. 提供交通补贴（非上海地区营员），标准为600元/人；</t>
  </si>
  <si>
    <t>我院根据营员综合考核表现，择优颁发“优秀营员”证书。“优秀营员”获得所在学校推荐免试研究生资格，并符合我校推免生招生要求，我院根据招生规模从高分到低分依次直接录取直博生，额满为止。</t>
  </si>
  <si>
    <t>医学院神经科学学科（宣讲会）</t>
  </si>
  <si>
    <t>5.27-29</t>
  </si>
  <si>
    <t>中山眼科中心</t>
  </si>
  <si>
    <t>2024年6月11日前</t>
  </si>
  <si>
    <t>7月9日-12日</t>
  </si>
  <si>
    <t>50名（中山大学学生申请参加不占名额）</t>
  </si>
  <si>
    <t>（1）学生简历，简历限 2 页以内（一张纸可打印），简历可包含科研成果、竞赛获奖、社会服务等。
（2）《教育部学籍在线验证报告》，办理方式详见中国高等教育学生信息网http://www.chsi.com.cn/xlcx/bgys.jsp。
（3）本科阶段学习成绩单原件或复印件（原件应加盖学校教务管理部门公章，复印件须有“原件复印”并加盖单位公章）；本科同年级专业总成绩排名证明1份（须由学校教务部门盖章）。
（4）英语六级考试成绩证明。
（5）身份证原件正反面扫描，须将正反面复印在A4纸的同一面上。如果身份证丢失，可以用临时身份证（在有效期内）或户籍所在地派出所开具的户籍证明（贴有本人近期一寸免冠照片、盖骑缝章），曾经更改过姓名或身份证号的考生，需提供户口本或公安局开具的证明。
（6）学生证第一页和第二页（能显示学校、专业等信息）扫描到同一页面。</t>
  </si>
  <si>
    <t>已获得或将获得所读大学免试推荐研究生资格，或成绩优异拟参加硕士研究生统考的学生。</t>
  </si>
  <si>
    <t>全国大学外语四级考试成绩在425分以上。</t>
  </si>
  <si>
    <r>
      <t>即日起至2024年6月12日上午8:00</t>
    </r>
    <r>
      <rPr>
        <sz val="28"/>
        <color rgb="FF000000"/>
        <rFont val="微软雅黑"/>
        <family val="2"/>
        <charset val="134"/>
      </rPr>
      <t>。</t>
    </r>
  </si>
  <si>
    <t>2024年6月下旬</t>
  </si>
  <si>
    <t>1）由教务处或所在院系开具的总评成绩排名证明（附件1）；
（2）成绩单一份，需加盖教务部门公章；
（3）个人简历一份，无特殊格式要求；
（4）外语水平证明（英语四、六级证书等）及其它获奖证明材料</t>
  </si>
  <si>
    <t>具备所在本科学校2025年“推荐免试资格”的优秀营员，第一志愿报考吉林大学护理学院，在符合我校接收推荐免试硕士研究生相关要求和学院相关政策基础上，可直接接收为吉林大学护理学院2025年“推免生”，并以报名系统中本人所填申请攻读专业作为以后本人录取专业的参考；优秀营员入学后，第一学年度将获得吉林大学学业奖学金。</t>
  </si>
  <si>
    <t xml:space="preserve">报名截止时间：2024年6月30日 (含)
</t>
  </si>
  <si>
    <t xml:space="preserve">A：必须提供的材料
有效身份证件正反面；
学生证 (照片、学号页即可)；
本科成绩单 (院系或教务处盖章，可提供学校网络截图)；
个人陈述与简历 (中英文均可，字数不限)；
英语水平证明材料 (四六级证书等)。
B：自愿提供的材料
获奖证书扫描件；
其他能证明自身潜力的材料 (如已发表的论文、专利或其他原创性工作成果)。
</t>
  </si>
  <si>
    <t>若优秀营员获得推免资格，且通过教育部推免服务系统申请我院推免生，同时符合我院推免生招生要求，经学院招生委员会审核、依据招生规模从高分到低分拟录取为2025级入学硕士研究生，额满为止。</t>
  </si>
  <si>
    <t>综合成绩排名前15%</t>
  </si>
  <si>
    <t>一般应通过大学英语六级；</t>
  </si>
  <si>
    <t xml:space="preserve">1．概况介绍：介绍医学部的发展历史与现状，以及在人才培养、教学和科研等方面取得的成绩；
2．学术前沿讲座：邀请知名教授和学科带头人做专题讲座和学术报告，培养学生对科研工作的兴趣；
3．院、系宣讲会：由各院、系负责人向学生介绍系所单位概况、科研实力、科研成果、学科前沿动态、师资队伍、招生专业、创新港建设发展、研究生毕业去向等；
4．组织相关面试，选拔优秀营员。
 </t>
  </si>
  <si>
    <t>2024年6月10日8：00 — 6月20日22：00</t>
  </si>
  <si>
    <t>120人左右（本次夏令营不面向本校学生）</t>
  </si>
  <si>
    <t xml:space="preserve">1．2024年优秀大学生暑期夏令营申请表（信息填写完成后可下载后上传）；
2．学生证及身份证复印件；
3．截至目前本科阶段成绩单，须由学校教务部门加盖公章；
4．校级及以上竞赛获奖证书，发表的学术论文，在科研、社会实践及组织才能等方面取得的优异成果相关证明材料复印件；
5．外语水平证明材料（如大学英语四、六级成绩、TOEFL、IELTS、GRE成绩等）。
 </t>
  </si>
  <si>
    <t>夏令营期间，营员将参加专业素质测评。根据测评结果，我们将选拔确定“优秀营员”,被评为优秀营员者，获得所在学校2025推免资格，且第一志愿申报医学部相关专业免试攻读硕士学位研究生，同等条件下可优先录取。</t>
  </si>
  <si>
    <t>即日起至2024年6月30日</t>
  </si>
  <si>
    <t>25人。</t>
  </si>
  <si>
    <t>1）本科成绩单（需院系盖章证明）
（2）本科成绩排名证明（需院系盖章证明）
（3）外语水平证明（如：英语四、六级考试成绩，托福成绩或GRE/GMAT成绩等）
（4）其他材料 （如:发表论文、专利，各类获奖或资格证书等）</t>
  </si>
  <si>
    <t>为了方便大学生暑期夏令营的整体活动，在口腔暑期夏令营期间的食宿由口腔医学院统一安排提供，学生食宿免费，集体活动交通由暑期夏令营负责，并提供每位学生的往返路费（按不高于高铁／动车二等座位票的标准实额报销）。同时，为了保证每一位学生的安全，我们将统一为学生购买保险。</t>
  </si>
  <si>
    <t>1、 暑期夏令营的综合考核成绩在研究生招生复试面试的“专业和综合素质”中予以认定为“专业基础能力”成绩。
2、 在研究生招生复试面试时，在同等条件下给予优先录取机会。</t>
  </si>
  <si>
    <t xml:space="preserve">第一天：上午举行开营仪式，学院介绍、学科介绍；下午学术报告。
第二天：上午招生咨询及答疑、组织面试；下午夏令营闭幕仪式并评选优秀营员。 </t>
  </si>
  <si>
    <t>2024年6月16日申请截止。</t>
  </si>
  <si>
    <t>2024年7月中上旬</t>
  </si>
  <si>
    <t>拟招收营员20人左右</t>
  </si>
  <si>
    <t>居民身份证正反面扫描件，PDF格式上传；
② 夏令营诚信承诺书，点击系统中文档保存下载、打印、本人签名后扫描PDF格式上传；
③ 《华东师范大学2024年优秀大学生夏令营申请表》，（报名系统中下载，签字盖章，扫描上传）；
④ 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⑤ 本科成绩单（前5学期）1份；
⑥ 专家推荐信1封，需要副教授及以上职称专家推荐（推荐信模板：请见学院官网/官网通知的附件部分）；
⑦ 其他材料（英语等级证书、论文发表、专利发明、各类获奖或资格证书等）。</t>
  </si>
  <si>
    <t xml:space="preserve">夏令营将通过考核方式产生优秀营员，优秀营员如获得本科学校推免资格，达到我校推免接收条件的，且于2024年9月正式申请推免攻读至基础医学学科，则可根据优秀营员排序结果、在该学科可以接收的推免生限额内，经审核、认定后，拟录取为我校2025级研究生（含直博生）。
</t>
  </si>
  <si>
    <t>医学院（宣讲会）</t>
  </si>
  <si>
    <t>病原生物学研究所</t>
  </si>
  <si>
    <t>40人左右</t>
  </si>
  <si>
    <t>①个人简历；②截止报名时的本科历年成绩单１份（加盖教务部门公章）；③专业总评成绩排名证明材料（加盖教务部门公章）；④大学英语四六级考试成绩或TOEFL、 IELTS、 GRE 成绩等体现自身英语水平的证明；⑤其他有关能力的证明材料（如发表论文、专利，各类获奖证书等）；⑥专家推荐信2封，需副教授及以上职称专家亲笔签字。以上所有材料电子版通过扫描方式处理，按照上述顺序生成一个PDF格式文档，文件名为“姓名-大学-2023年夏令营申请材料”,文档提交方式另行通知。</t>
  </si>
  <si>
    <t>学习成绩排名年级前20%，并能取得所在学校研究生推荐免试资格（其他如“卓越班”、“大医班”等确定能够获得推免资格的同学可不受成绩排名限制）。</t>
  </si>
  <si>
    <t>2024年7月10日-7月14日</t>
  </si>
  <si>
    <t>5月25日0:00—6月15日17:30</t>
  </si>
  <si>
    <t xml:space="preserve">1.夏令营报名表（厦门大学大学生夏令营网上报名系统自动生成，需本人签字盖章并附照片）；
2.个人陈述（主要包括考生本人的政治表现、外语水平、业务和科研能力、研究计划等方面内容）；
3.成绩单（申请之日所能提供的成绩单，须加盖所在学校教务部门或所在学院教务部门公章）；
4.成绩排名（所在学院出具）；
5.专家（教授或副教授）推荐信2份，申请直博生需提供两位教授专家的推荐信，建议提前联系拟报考博士研究生导师了解招生培养要求；
6.其他证明材料（获奖证书、个人代表作品、国家英语四、六级证书和雅思、托福成绩单等证明材料的复印件）。
</t>
  </si>
  <si>
    <t>1.参加夏令营的学生必须遵守厦门大学的相关规定，按照我院的统一安排进行工作和活动，需完整参加夏令营活动，不得私自外出活动。
2.我院将为营员提供活动期间在厦的食宿费用（统一安排入住翔安校区校内学生公寓，并提供寝室用具）。
3.预选拔为我院推免生的合格营员将有旅费补贴（满足我校接收推免生条件并报考我校，按动车二等座标准报销往返旅费）。依据营员从学校所在地到厦门的往返硬座火车票价格计算，需有原始票根，如果乘坐火车请提交火车票，如果乘坐飞机，请提交打印行程单、保留登机牌和支付记录等，作为报销凭据。</t>
  </si>
  <si>
    <t>CET4≥425分</t>
  </si>
  <si>
    <t>2024年5月25日-6月15日</t>
  </si>
  <si>
    <t>（1）夏令营申请表（可通过报名系统生成）；
（2）个人陈述；
（3）成绩单１份（须加盖所在学校教务部门公章）；
（4）成绩排名（所在学院出具并盖章）；
（5）两位副教授及其以上专家的推荐信；
（6）其他证明材料（获奖证书、国家英语四、六级证书和雅思、托福成绩单、科研成果等证明材料的扫描件）。</t>
  </si>
  <si>
    <t xml:space="preserve">我院为参加线下夏令营的营员入住校内学生公寓。并提供蚊帐、草席、线毯、枕头、床垫等五件套寝室用具。我院为入营营员报销半程夏令营的路费（凭票以火车硬座票为标准）；拟录取为我院2025年推免研究生的夏令营营员报销往返夏令营的路费（凭票以火车硬座票为标准）。   </t>
  </si>
  <si>
    <t>通过我院夏令营考核并且获得推荐免试研究生资格和名额的夏令营营员，考核成绩可作为我校9-10月份的推荐免试研究生（含直博生）的考试成绩，学院将结合招生计划择优录取。</t>
  </si>
  <si>
    <t xml:space="preserve">第一天（7月5日）：下午(13:00-18:00) 学员报到登记，安排住宿（校区待定），熟悉校园。
第二天（7月6日）：开营仪式，教授讲座，面试及导师交流。
第三天（7月7日）上午：参观实验室，颁发优秀学员证书，闭营离校。
第三天（7月7日）下午及第四天（7月8日）：如参加浙江大学与军事科学院的联培项目，7月7日午餐后统一乘坐大巴前往军科院嘉兴南湖实验室，7月8日全天参加军科院嘉兴南湖实验室夏令营活动，活动结束后自行离开。
</t>
  </si>
  <si>
    <t>2024年5月27日开放，6月17日15：00截止报名</t>
  </si>
  <si>
    <t>7月5日-7日</t>
  </si>
  <si>
    <t xml:space="preserve">（1）个人身份证（正反面）；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
</t>
  </si>
  <si>
    <t>1．参加夏令营的营员统一由我院安排食宿，包括7月5、6日两晚住宿（暂定为校内住宿，洗漱用品需自备），费用由我院承担。
2．营员请自行预定往返车票，外地学生来校交通费可由我院部分报销（上限不超过500元，限汽车或火车硬席、动车/高铁二等座），入营报到时须提供纸质车票进行报销。本次夏令营返程车票（标准同来校车票）可在9月份参加我院推免复试时提供纸质车票进行报销。
3.  如报名参加7月7下午-7月8日的军科院联培项目夏令营，去嘉兴的大巴及食宿统一由军科院安排，包括7月7日一晚住宿，费用由军科院承担。</t>
  </si>
  <si>
    <t>杭州医学研究所</t>
  </si>
  <si>
    <t>本科期间总评成绩排名在本年级（专业）前20%之内，双一流重点高校学生学习成绩标准可再适当放宽；</t>
  </si>
  <si>
    <t>英语达到国家四级425分以上。</t>
  </si>
  <si>
    <t>1.学术报告 
参加相关研究方向专家主讲的学术报告。
2.科研体验
营员根据所选班级的研究方向到对应实验室进行科研体验。
3.交流座谈
营员与所选方向的专家及在读研究生交流座谈。
4.了解杭州
组织学员了解杭州、感受杭州。</t>
  </si>
  <si>
    <t>即日起至6月20日前</t>
  </si>
  <si>
    <t>2024年7月15日-7月18日</t>
  </si>
  <si>
    <t>（1）《杭州医学研究所2024年大学生夏令营申请表》（网上报名成功后系统会自动生成）。
（2）本科成绩单和专业排名证明（需加盖教务处或院系公章，或辅导员联系方式签字证明，并留座机联系方式）。
（3）其他证明材料（如可能推免请注明获得推免资格的可能性（百分比）、已发表论文复印件、奖状复印件、英语四、六级成绩单、各类证书等）。
以上材料请按顺序放在一个PDF文件发送至feiyue@him.cas.cn，文件名“夏令营+本科学校+姓名”。无需寄送纸质材料。</t>
  </si>
  <si>
    <t>医学所将为每位来所营员提供免费食宿。为营员报销来程路费（凭高校或家庭所在城市至杭州火车硬座或高铁动车二等座车票报销交通补贴），对于被我所和我所通过联合培养学校正式录取的学生，将在2024年新生报到时为学员报销回程路费，请将往返车票妥善保管。</t>
  </si>
  <si>
    <t>参加夏令营通过考核的“优秀营员”，可在符合国科大相关政策基础上，通过推荐免试途径直接成为医学所或杭高院分子医学院研究生，或有机会获得医学所与天津大学等高校联合培养直博研究生推免资格。</t>
  </si>
  <si>
    <t>2024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
开放日：1天，面向所有有意报考药植所的学生。
夏令营：3天，面向有意申请我校2025年推荐免试研究生的应届本科毕业生。年7月。</t>
  </si>
  <si>
    <t>2024年5月18日-6月16日。</t>
  </si>
  <si>
    <t>1. 填写《药用植物研究所2024年全国优秀大学生夏令营申请表》（见附件1）；
2. 学生证扫描件。成绩单1份，并加盖院系教务部门公章；
3. 提供相关获奖证书和英语水平证书；
4. 提供院系教务部门出具的成绩综合排名或绩点排名（提供本人排名/专业总人数），证明需加盖教务部门公章（综合和绩点证明，至少提供一个）；
5. 其他材料（自愿提交）：专家推荐信1-2封（推荐人需充分了解申请人的学术成就和工作业绩等情况，具有副教授及以上职称或相当职称）；在学术期刊上发表的文章、出版物或其他学术作品等。</t>
  </si>
  <si>
    <t>开放日活动：费用自理
夏令营活动：营员可报销来京车费（仅限硬座、硬卧、高铁二等座）及在营期间食宿费。</t>
  </si>
  <si>
    <t>学习成绩优异、综合能力突出，本科期间成绩达到年级排名前30%；</t>
  </si>
  <si>
    <t>本次活动包括专家讲座、开营仪式、参观交流、招生宣讲会、能力考核等，具体日程将在营员招募完成后公布。我院拟定线下举办本次夏令营活动，具体形式及活动日程以通知为准。</t>
  </si>
  <si>
    <t>邮件发送时间截止2024年6月20日18：00</t>
  </si>
  <si>
    <t>1）夏令营报名表（附件1，申请人声明处须签字确认）；
    （2）学业成绩单（须加盖院系或学校教务部门公章）；
    （3）总评成绩排名证明（须加盖院系或学校教务部门公章）；
    （4）英语四六级成绩单或同等类别外语考试成绩单；
    （5）学科专家推荐书（附件2，推荐人为副高级职称及以上专家）；
    （6）已发表论文或接收函（可选）；
    （7）校级及以上获奖证书（可选）；
    （8）各类实践技能大赛获奖证书或相关作品（可选）。</t>
  </si>
  <si>
    <t>1.夏令营活动期间提供营员住宿（兰州市本地学校学生不提供住宿）。
    2.提供来自外地高校的营员往返高铁二等座、硬卧火车票或汽车票资助（凭票）。
    3.我院将为营员购买夏令营活动期间人身意外伤害保险，保险期自报到日起至闭营日。</t>
  </si>
  <si>
    <t>1.取得所在学校“推免资格”的优秀营员，在规定时间内进入教育部推免系统报名我院的推免生，报考专业及方向与暑期夏令营报考的专业及方向一致，在同等条件下可优先接收为我校2025年推免生。
    2.未取得所在学校“推免资格”的优秀营员，第一志愿报考我院，参加2025年硕士研究生招生考试，初试成绩达到“我院相应复试分数线”，参加复试且体检合格者，可在同等条件下优先录取。</t>
  </si>
  <si>
    <t>通过英语六级</t>
  </si>
  <si>
    <t>知名专家学术讲座、生物制药相关专题报告、实验室参观体验、师生座谈交流会、师兄姐茶话会、推免生面试、深圳自然人文风情学习观光。</t>
  </si>
  <si>
    <t>即日起至2024年6月25日截止。</t>
  </si>
  <si>
    <t>暂定为2024年7月15-19日，以后续通知为准。</t>
  </si>
  <si>
    <t>50人。</t>
  </si>
  <si>
    <t xml:space="preserve">★ 1）中国科学院深圳先进院2024年夏令营申请表，需网上报名后下载；
★ 2）本科成绩单（GPA）和专业排名，需教务处盖章；
★ 3）相关英文能力证明（包括大学四、六级，雅思，托福，GRE等）；
★ 4）学生证（封面与信息页）和身份证（正反面）复印件；
★ 5）推免资格证明（如有请提供）；
★ 6）专家推荐信（如有请提供）；
★ 7）其它获奖或证明书材料（如已发表论文、各类证书奖状、较厚的论文或出版物提供论文首页或出版物摘要即可）。
</t>
  </si>
  <si>
    <t>夏令营期间将通过面试等考核方式选拔优秀营员，优秀营员将有机会优先获得2025级医药所/药学院推荐免试研究生资格。具体报名形式待后续通知。</t>
  </si>
  <si>
    <t>生命科学、基础医学及其相关专业三年级学生(2025届毕业生)，学习成绩优秀，并有望取得所在学校研究生推荐免试资格；</t>
  </si>
  <si>
    <t>5月25日00:00—6月15日17:30。</t>
  </si>
  <si>
    <t>2024年7-8月</t>
  </si>
  <si>
    <t>150名左右</t>
  </si>
  <si>
    <t>我院将为集中参营的营员提供活动期间在厦的食宿费用（统一安排入住校内学生公寓，并提供蚊帐、草席、线毯、枕头、床垫等5件套寝室用具）。分散参营的营员需与课题组协商确定食宿安排。通过推免录取为我院研究生的夏令营营员，可于确定录取后以火车硬座票标准报销往返夏令营的路费。</t>
  </si>
  <si>
    <t>主要面向全国高等院校（含本校）本科2021级（拟2025年6月毕业）、有志攻读研究生的优秀在校大学生进行申请，能够获得所在学校推荐免试资格者优先；</t>
  </si>
  <si>
    <t>【7月2日】学院介绍、专业介绍、走进课题组及答疑活动、优秀研究生畅谈读研体会、学科组组织面试；【7月3日】学科组组织面试、自由交流讨论。</t>
  </si>
  <si>
    <t>即日起即可进行网上报名，2024年6月16日申请截止。</t>
  </si>
  <si>
    <t>夏令营活动为期2天，暂定于7月2日-3日</t>
  </si>
  <si>
    <t>1. 拟招收营员120人</t>
  </si>
  <si>
    <t>① 居民身份证正反面扫描件，PDF格式上传；
② 夏令营诚信承诺书 点击系统中文档保存下载、打印、本人签名后扫描PDF格式上传；
③ 《华东师范大学2024年优秀大学生夏令营申请表》（报名系统中下载，签字盖章，扫描上传）；
④ 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⑤ 本科成绩单（前5学期）1份；
⑥ 专家推荐信1封，需要副教授及以上职称专家推荐（推荐信模板：请见附件）；
⑦ 其他材料（英语等级证书、论文发表、专利发明、各类获奖或资格证书等）。
在系统中填写完成个人信息后，请学生依据个人实际情况，对应要求上传相关材料。无须投递邮寄纸质材料。</t>
  </si>
  <si>
    <t xml:space="preserve">本次夏令营线下举办，将为营员提供夏令营期间的免费餐饮。
同时针对外地营员，
1）对于推免或报考华东师范大学生命科学学院2025级研究生的本科生同学，提供资助往返火车费用（限火车硬座，高铁/动车二等座）以及住宿费用（具体额度待通知）
2）对于家庭经济困难的同学，本人可以提出申请，经审核后，也提供火车交通和住宿费资助。
</t>
  </si>
  <si>
    <t>经教育部批准具有推荐免试攻读硕士学位研究生资格高校的2025届优秀本科毕业生。</t>
  </si>
  <si>
    <t>2024年6月1日-6月12日进行网上报名。</t>
  </si>
  <si>
    <t>2024年6-8月</t>
  </si>
  <si>
    <t>获得我校优秀营员，取得所在高校推荐免试资格的学生，须于规定时间在教育部“全国推荐免试攻读研究生信息公开暨管理服务系统”(网址:http://yz.chsi.com.cn/tm)进行网上报名，及时确认信息，否则视为放弃优秀营员资格。</t>
  </si>
  <si>
    <t>夏令营活动为期2天，暂定于7月4-5号举办，期间将安排讲座、参观考察、座谈交流，以了解各营员的学识、能力等情况，具体活动内容包括：
第一天：学院报到，上午举行开营仪式，介绍讲座及导师代表学术报告；临港实验室介绍，参观上海市调控生物学重点实验室。
讲座与活动结束后，开始推免生面试。
第二天：上午举行推免生面试。下午夏令营闭幕仪式（优秀营员评选），学员离营。</t>
  </si>
  <si>
    <t>夏令营活动为期2天，暂定于7月4-5号举办了解各营员的学识、能力等情况，具体活动内容包括：
第一天：学院报到，上午举行开营仪式，介绍讲座及导师代表学术报告；临港实验室介绍，参观上海市调控生物学重点实验室。
讲座与活动结束后，开始推免生面试。
第二天：上午举行推免生面试。下午夏令营闭幕仪式（优秀营员评选），学员离营。</t>
  </si>
  <si>
    <t xml:space="preserve">①居民身份证正反面扫描件，PDF格式上传
②夏令营诚信承诺书 点击系统中文档保存下载、打印、本人签名后扫描PDF格式上传
③《华东师范大学2024年优秀大学生夏令营申请表》（报名系统中下载，签字盖章，扫描上传）；
④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⑤本科成绩单（前5学期）1份；
⑥专家推荐信1封，需要副教授及以上职称专家推荐（推荐信模板：请见附件）；
⑦其他材料（英语等级证书、论文发表、专利发明、各类获奖或资格证书等）。
</t>
  </si>
  <si>
    <t>本次夏令营线下举办，将为营员提供夏令营期间的免费餐饮。
同时针对外地营员，1）对于推免或报考华东师范大学生命科学学院2025级研究生的本科生同学，提供资助往返火车费用（限火车硬座，高铁/动车二等座）以及住宿费用（具体额度待通知）
2）对于家庭经济困难的同学，本人可以提出申请，经审核后，也提供火车交通和住宿费资助。</t>
  </si>
  <si>
    <t>面试环节将评选优秀营员；优秀营员如果获得所在本科学校推免资格，且2024年9月申请推免至夏令营期间面试的专业，达到我校推免接收条件的，则可根据优秀营员排序结果、在该学科可以接收的推免生限额内，经审核可拟录取为我校2025级研究生。</t>
  </si>
  <si>
    <t>学习成绩优秀，学术 研究兴趣浓厚，有较强的创新意识、创新能力和专业倾向。在校期间不得有重修或重考记录，所学必修和限选课程平均学分绩点需在专业年级前30%以内(含)。</t>
  </si>
  <si>
    <t xml:space="preserve">   即日起-6月25日</t>
  </si>
  <si>
    <t>7月9日报到，活动时间7月10-12日。</t>
  </si>
  <si>
    <t>有意推免或报考我校的优秀本科生（即2025年毕业的本科生），招募规模为200人（包含本校），欢迎各位同学报名。</t>
  </si>
  <si>
    <t>1.成都中医药大学全国大学生夏令营报名申请表（附件1）
2.本科阶段学习成绩单原件，并加盖所在院校教务处公章，生成PDF格式的电子文件。
3.英语水平证明材料（如英语四六级、雅思、托福成绩等）
4.可体现本人综合能力的荣誉证书或水平考试证书；或体现自身学术水平的代表性学术论文、出版物或原创性工作成果。</t>
  </si>
  <si>
    <t>1．我校为营员购买夏令营活动期间人身意外伤害保险；
2．夏令营期间的住宿费和伙食费由我校承担；
3．报销学校所在城市至成都的500元以内单程票价（超过500元按500元报销）,本着“节俭经费、高效务实、勤政廉洁”的原则，交通工具按以下标准执行：乘火车硬席（硬座、硬卧）、高铁/动车二等座、软席列车二等软座、轮船普通舱位。请妥善保管报销凭据(车票票据和购买记录截图)，入营报到时提交给学院老师。
温馨提示：营员在非学校所在城市实习，须提供所在学校教务处出具外出证明材料。
4．所有营员参加全部夏令营活动后，颁发“成都中医药大学全国优秀大学生暑期夏令营”营员结业证书，表现优异的营员将获得“成都中医药大学全国优秀大学生暑期夏令营”优秀营员证书。</t>
  </si>
  <si>
    <t>1. 生物医学工程及其相关专业本科三年级学生（2025年毕业；985/211高校优先）。
2. 在所就读学校具有推荐免试研究生资格（本科前三学年总评成绩一般在年级前15％）。
3. 有志于从事生物医学工程/医工交叉领域研究工作。</t>
  </si>
  <si>
    <t>即日起至2024年6月16日17:00。</t>
  </si>
  <si>
    <t>2024年7月5日（星期五）</t>
  </si>
  <si>
    <t>1. 申请表（在夏令营报名服务系统中填写并提交）；
2. 个人陈述（1000字左右）；
3. 身份证（需在有效期内，需把身份证正反面编辑在一页pdf文件中上传）；
4. 学生证（需把个人照片页、个人信息页、注册页扫描件编辑在一个pdf文档内上传）
5. 成绩单1份，并加盖院系教务部门公章；
6. 院系教务部门出具的成绩综合排名证明；
7. 相关获奖证书和外语水平证书；
8. 在学术期刊上发表的文章、出版物或其他学术作品也可作为申请材料提交。</t>
  </si>
  <si>
    <t xml:space="preserve">1.2025年毕业的普通高校全日制在校本科生，且有意申请我中心2025年推荐免试研究生或第一志愿报考我中心2025年研究生。
2.品德良好，遵纪守法，身心健康，学风端正，具有公共卫生、预防医学、基础医学、生物学、放射医学、生命科学、临床医学等医学相关专业背景或相关交叉学科背景，对公共卫生和疾病预防控制有浓厚兴趣，有志相关学术或应用研究工作，具有较强或潜在的科研和创新能力。 
3.学习成绩优秀，“双一流”高校学生截至目前总评成绩在本专业排名前50%、“所在学科教育部第四轮学科评估B+及以上”高校学生截至目前总评成绩在本专业排名前20%、普通类高校学生截至目前总评成绩在本专业排名前5%等优先。 </t>
  </si>
  <si>
    <t xml:space="preserve">4.英语水平良好，原则上达到国家四级水平（425分以上）或六级水平（425分以上）。 </t>
  </si>
  <si>
    <t xml:space="preserve">活动将以中心参观、专家讲座、师生自由交流、招生咨询等多种形式开展（具体活动安排及日程请以入选后正式通知为准）。 </t>
  </si>
  <si>
    <t>即日起至2024年6月21日。</t>
  </si>
  <si>
    <t xml:space="preserve">2024年7月8日报到、7月9-10日活动、7月11日离营（如有变动另行通知）。 
</t>
  </si>
  <si>
    <t xml:space="preserve">本次活动拟面向全国高校接收营员约100名，拟分传染病防控和公共卫生两个方向，各50人，实际入营人数将根据报名情况适当调整。 </t>
  </si>
  <si>
    <t xml:space="preserve">1.《中国疾病预防控制中心2024年大学生“相约疾控”夏令营活动申请表》（点击附件下载，加盖公章）； 
2.本人有效期内的身份证与学生证扫描件； 
3.本科或硕士历年成绩单1份，并加盖院系教务部门公章(提交扫描件)； 
4.英语水平证书(提交扫描件)； 
5.其他可证明培养潜力和能力的材料：如在学术期刊上发表的文章、出版物或其他学术作品，专利，各类获奖证书等(提交扫描件)。 </t>
  </si>
  <si>
    <t>1.本次夏令营将根据营员表现评选出优秀营员，并为优秀营员颁发证书，优秀营员在推免复试时优先录取。 
2.夏令营期间提供免费食宿，交通费用自理。正式录取为我中心研究生者后（推免生以通过推免系统完成拟录取为准，统考生一志愿复试录取为准）凭票报销往返路费（凭票实报实销至北京的高铁及动车二等座、普通列车硬座或硬卧、飞机经济舱）。 
3.为入选营员统一购买活动期间的团体意外保险。</t>
  </si>
  <si>
    <t>学习成绩优秀，英语水平良好。可获得所在学校推荐免试名额者优先。</t>
  </si>
  <si>
    <t>网上申报截止日期：2024年6月26日。</t>
  </si>
  <si>
    <t>2024年7月20日开营。</t>
  </si>
  <si>
    <t>1、网上报名后生成的表格打印后本人签字；
2、专家推荐信2封；
   生命医学夏令营推荐信模版请在夏令营网站中“文件下载”中下载https://xly.ustc.edu.cn/userfiles/202405/1716882067803767998.doc。
3、前两年半成绩单（有学校教务部门公章）与总评成绩排名证明（有学校教务部门或所在院系公章）；
4、能体现自身能力的获奖证书复印件、英语水平证明、学术论文等
以上所有申请材料请扫描后依次汇总成一个PDF格式文件上传网络报名系统。
请自觉保证提供材料的真实性。营员报到时需携带纸质申请材料（其中成绩单和排名证明必须为原件），夏令营组委会将会对材料进行复核，如有不实将取消录取资格。</t>
  </si>
  <si>
    <t>1、夏令营期间会提供伙食补贴和住宿；
2、营员交通费用需暂自理，待明年9月研究生入学后再报销（需保留报销凭证）。报销区间为：来程--学校到合肥，去程—合肥到学校或家庭所在地（日期需符合），报销标准为火车硬卧（含硬座和动车二等座）</t>
  </si>
  <si>
    <t>夏令营组委会组织专家对网上报名材料进行评审。录取工作将于2024年7月5日结束，录取结果可在夏令营网站查询。组委也会通过中国科学技术大学研究生信息平台通知本人（以电子邮件或手机短信形式）。未录取者不再另行通知。
录取营员需承诺全程参与夏令营所有活动。</t>
  </si>
  <si>
    <t>协和医学院医学生物学研究所</t>
  </si>
  <si>
    <t>7.22-7.26</t>
  </si>
  <si>
    <t>身份证、学生证、成绩排名、英语成绩</t>
  </si>
  <si>
    <t>生命医学交叉研究院</t>
  </si>
  <si>
    <t xml:space="preserve">1.拥护中国共产党的领导，热爱祖国，遵纪守法，品行端正，身心健康；
2.国内高水平大学普通全日制本科三年级在校生（2025年应届本科毕业生）；
3.学习成绩优秀，达到所在高校推荐免试生要求，具有较强的创新能力；
4.对所报专业有浓厚的兴趣，愿意从事学术研究工作；
5.英语水平良好。
</t>
  </si>
  <si>
    <t>截止日期为2024年6月14日</t>
  </si>
  <si>
    <t>1.湖南大学优秀大学生暑期夏令营活动申请表（在报名系统中填写后生成）1份；
2.本科成绩单与总评成绩排名证明(由教务处盖章或学院盖章)各1份；
3.个人简历1份;
4.身份证和学生证复印件；
5.英语水平证明材料复印件（包括大学英语四、六级考试成绩单、TOEFL成绩单、雅思、GRE/GMAT成绩单、PETS5成绩单等）；
6.其他材料：
（1）已发表论文复印件（提供期刊封面、目录、论文正文）；
（2）本科期间获奖证书或资格证书复印件。</t>
  </si>
  <si>
    <t>对于最终录取为我院2025级新生的外地院校优秀营员，在入学报到后学院将为外地学生按照不超过往返长沙火车硬卧的标准予以补贴，学生须提供往返票据。</t>
  </si>
  <si>
    <t xml:space="preserve">对于全部完成暑期夏令营各项活动和任务的营员，学院综合考察学生的专业知识、外语水平和综合能力，结合其面试考核的成绩，评选优秀营员。
学院将在夏令营活动结束后的10个工作日内，在学院网站公布优秀营员。
</t>
  </si>
  <si>
    <t>协和基础学院</t>
  </si>
  <si>
    <t>直博430；硕士450</t>
  </si>
  <si>
    <t>5.30-6.20</t>
  </si>
  <si>
    <t>7.10-7.20</t>
  </si>
  <si>
    <t xml:space="preserve"> 协和医学院</t>
  </si>
  <si>
    <t xml:space="preserve"> 生物医学工程研究所</t>
  </si>
  <si>
    <t>博士前50%；其他前30%</t>
  </si>
  <si>
    <t>六级&gt;425,雅思5.5，托福80，GRE280</t>
  </si>
  <si>
    <t>即日起至2024年6月29日</t>
  </si>
  <si>
    <t>1、个人简历及个人陈述（包括：个人基本信息、学术背景、曾经做过的研究工作以及未来学习和研究的计划、目标、参与过的社团活动等）；
2、本科或硕士历年成绩单一份；
3、全国大学生英语四、六级考试成绩单或雅思、托福、GRE成绩等能够体现自身英语水平的证明材料；
4、其他相关能力的证明材料（如发表论文、专利、各类获奖证书等）；
5、本人有效期内的身份证与学生证；
6、本人的联系电话与常用邮箱。</t>
  </si>
  <si>
    <t>有意报考我所2025级硕士研究生，在学期间学习成绩优秀，可获得推免资格者优先。</t>
  </si>
  <si>
    <t>英语达到国家四/六级水平（425分以上）。</t>
  </si>
  <si>
    <t xml:space="preserve">1. 请登录中国科学技术大学夏令营官网http://xly.ustc.edu.cn/，点击网上报名模块，选择登录网上报名系统http://tqms.ustc.edu.cn/进行在线报名，选择“生物医学工程夏令营”（苏州医工所）并上传相关材料（操作详情请见附件）。
2. 网报时所有信息务必详细准确填写，并在“所有资料汇总”处上传相关证明材料。请自觉保证提供材料的真实性，研究所将会对材料进行复核。（材料如有不实将取消录取资格）。
3. 提交材料：
　　（1）网上报名后生成的表格打印后必须本人手写签名； 
　　（2）个人照片； 
　　（3）前两年半成绩单（有学校教务部门或所在院系公章）与总评成绩排名证明（有学校教务部门或所在院系公章）； 
　　（4）能体现自身能力的获奖证书复印件、英语水平证明、专利、学术论文等； 
　　以上所有申请材料（含各种证明材料）汇总扫描并打包制作成一份PDF文档上传到报名系统的“所有资料汇总”处，否则将视为材料不完整。 </t>
  </si>
  <si>
    <t>1.参加夏令营的学生必须遵守苏州医工所的相关规定，遵从统一安排。
2.学员在夏令营期间的食宿由我所统一提供，为每位学员报销从学校来苏州的单程硬座或硬卧车票、高铁/动车二等坐票费用，报销金额不超过学校/家到苏州的票价，以上须提供票据。
3.夏令营期间为营员购买人身意外险，因个人行为导致的意外事故而发生的医疗费用，由保险公司及学员本人承担。</t>
  </si>
  <si>
    <t>交流分享会：开营仪式、学术交流、参观学习等
综合考核
考核内容：
专业考核（100分）。内容包括本学科基本知识、基本原理，学科发展前沿动态，对相关学科的基础知识的了解程度等；创新能力考察，包括分析和解决问题的思维方式，独立承担科学研究的能力。
外语能力考核（100分）。内容包括公共外语和专业外语听说水平测试；
综合素质及能力考核（100分）。内容包括思想政治素质，人文素养，仪态举止，团队精神，社会责任感等；心理健康测试。
所有考核均以面试形式，单项成绩合格分60分，每名学员总的测试时间不少于10分钟，考核总成绩为以上三项成绩之和。</t>
  </si>
  <si>
    <t>2024年6月1日-6月12日</t>
  </si>
  <si>
    <t>2024年6-8月，具体时间另行通知</t>
  </si>
  <si>
    <t>未知</t>
  </si>
  <si>
    <t>1.网上提交申请后，下载打印《申请表》一份，不需加盖公章。
2.本人有效二代身份证件和学生证及其复印件（原件在面试时出具）；
3.本人的科研成果包括公开发表论文、出版著作、获得专利、获得学术科技奖项、承担课题或者其他具有学术水平的工作成果、所获各类荣誉、表彰、奖励等原件和复印件；
4.在校历年学习成绩单一份，并由所在学校或院系的教务部门加盖公章；
5.大学英语四级或六级考试成绩单复印件一份；
6.中南大学2024年优秀大学生暑期夏令营专家推荐表</t>
  </si>
  <si>
    <t>学院统一安排1晚住宿、部分时间段的就餐（学校或家庭所在地是长沙市的原则上不安排住宿），交通费自理</t>
  </si>
  <si>
    <t>对获得我院优秀营员,且取得所在高校推荐免试资格的考生第一志愿报考我校，特此提醒：
1.考生按届时学校发布的“关于中南大学2025年接收
推荐免试攻读硕士学位研究生工作的通知”相关要求进行报名。
2.考生须按要求于规定时间在教育部“全国推荐免试攻
读研究生信息公开暨管理服务系统”(网址:http://yz.chsi.com.cn/tm)进行网上报名、及时确认信息，否则视为放弃优秀营员资格。</t>
  </si>
  <si>
    <t>考核内容包括专业能力测试、外语能力测试、综合素质及能力测试，每项内容满分为100分，面试总成绩为以上三项成绩之和</t>
  </si>
  <si>
    <t>7月14日-7月18日</t>
  </si>
  <si>
    <t>营员报到时需提交以下材料：
1.身份证和学生证复印件，原件用于现场备查；
2.网上报名《申请表》；
3.本科就读学校专家（副教授及其以上职称）推荐表2份（模板见附件）；
4.学习成绩单及成绩排名证明（所在学校或院系教务部门加盖公章）；
5.大学英语四级或六级考试成绩单；
6.个人自述：含个人简历、职业发展规划、参加本次夏令营的原因、目的和期望等；
7.其他（若有）：学术成果（如发表的学术论文、专利证书、大创项目等）、荣誉证书等。</t>
  </si>
  <si>
    <t>免费提供夏令营期间的午餐、晚餐。获得2025届应届毕业生推免资格、并成功报名录取至我院推免研究生的外地（长沙市外）营员，学院可报销营员从本科学校（或家庭）所在地至长沙市的往返交通费（限长途汽车、火车硬座或硬卧、高铁二等座、飞机经济舱），请相关营员保留好票据</t>
  </si>
  <si>
    <t>获得优秀营员资格并取得所在高校推荐免试资格的学生，须于2024年9月28日-10月15日在教育部“全国推荐优秀应届本科毕业生免试攻读研究生信息公开暨管理服务系统”（网址: http://yz.chsi.com.cn/tm )进行网上报名、信息确认，否则视为放弃。
3.所有获得优秀营员资格的同学，需服从学院的专业调剂，最终专业和专业方向以考核结束后学院公布的结果为准。本次夏令营不确定导师。</t>
  </si>
  <si>
    <t>英语能力优秀，满足以下条件其中一项：
1) 全国大学英语六级考试（CET-6）成绩原则上480分及以上；
2) 新托福（TOEFL）考试成绩90分及以上；
3) 雅思（IELTS）成绩6.0分及以上；
4) 英语专业八级合格；
（PS：未达到以上英语水平条件，但科研业绩突出或学术潜力优秀的申请人，经审定，英语水平要求可放宽到全国大学英语六级考试（CET-6）460分）</t>
  </si>
  <si>
    <t>开营仪式、学科专业介绍、师生互动、优秀营员选拔（优秀营员将按报名学科分组评选）、参观交流等。（具体日程安排会在“钉钉”群里通知）</t>
  </si>
  <si>
    <t>2024年6月16日24:00</t>
  </si>
  <si>
    <t>请将所有证明材料原件按以下顺序扫描并整合成PDF文件，压缩为ZIP文件（不超过10M）后，在网申系统的“附件”中上传，文件名为“良渚实验室-姓名-所在本科院校”。
⑴.个人身份证（正反面）。
⑵.本科阶段成绩单及本专业年级排名证明（注明专业总人数和排名）各一份，需加盖教务处或院系公章。
⑶.相关专业高级职称专家签名的专家推荐信2封（专家手写签名或电子签名，——模板）
⑷.外语水平证明材料（CET6、托福、雅思等）。
⑸.获奖证书、发表论文等其他相关证明材料。</t>
  </si>
  <si>
    <t>将为营员提供免费食宿（暂定为校内住宿，洗漱用品需自备，杭州高校学生不提供住宿），营员请提前自行预订往返车票，良渚实验室可报销来杭交通费（上限不超过800元，限火车硬座/卧铺席、动车/高铁二等座、飞机经济舱），入营报到时须提供纸质票据（火车提供车票，飞机提供订单记录或登机牌+发票或航空运输电子客票行程单）进行报销。本次夏令营返程交通费（标准同来杭交通费）可在9月份参加良渚实验室推免复试时提供纸质票据进行报销。夏令营不收取注册费。</t>
  </si>
  <si>
    <t>夏令营根据参与者的综合表现，择优评选优秀营员。</t>
  </si>
  <si>
    <t>暂定于2024年7月10日举行参与学校组织的集中开营仪式，</t>
  </si>
  <si>
    <t xml:space="preserve">    1.学生报名基本情况表电子版（附件1）；
    2.本人本科学习阶段的成绩单扫描件（须加盖院系或学校教务部门公章）；
    3.身份证、学生证复印件；
    4.一份专家推荐信（模板见附件2）；
    5.个人简历；
    6.英语四、六级成绩单复印件扫描件（可选）；
    7.获奖证书扫描件（可选）；
    8.已发表论文或接受函扫描件（可选）；</t>
  </si>
  <si>
    <t>兰州大学将为营员报销夏令营期间的住宿（本地学校学生不提供住宿，包含3天）、人身保险费以及异地学校学生往返硬座火车票/汽车票。请自行提前预订往返车票和住宿，学院不提供订票服务。</t>
  </si>
  <si>
    <t>如取得所在学校推荐免试资格并报考兰州大学基础医学院，可视同面试合格直接录取。部分未取得所在学校推免资格的优秀营员，第一志愿报考兰州大学基础医学院，初试成绩达到我院报考专业“学院复试分数线”，参加复试且体检合格在同等条件下优先录取。
    4.优秀营员在研究生入学后，可在同等条件下优先享受第一学年的研究生奖助学金。</t>
  </si>
  <si>
    <t>动内容包括医学院及二级招生单位介绍、学科专业介绍、名师讲座、师生交流等。具体时间、活动内容及形式，请关注后续各二级招生单位通知</t>
  </si>
  <si>
    <t>本次夏令营的报名、录取和活动安排由各二级招生单位具体组织实施。</t>
  </si>
  <si>
    <t>7月1日-7月10日</t>
  </si>
  <si>
    <t>招收人数由各二级招生单位自行确定</t>
  </si>
  <si>
    <t>请将所有证明材料原件按以下顺序扫描并整合成PDF（不超过10M）后，在网申系统“附件”中上传，文件名为“报名二级招生单位-姓名-所在本科院校”；
（1）个人身份证（正反面）；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</si>
  <si>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学科排名靠前</t>
  </si>
  <si>
    <t>暑期学校具体活动时间以各组织单位通知为准，请关注医学院网站相关通知（http://med.tongji.edu.cn/）</t>
  </si>
  <si>
    <t>7月1日17:00截止接收材料。报名生物与医药（工程硕博专项）的学生，报名截止时间为6月9日17:00。</t>
  </si>
  <si>
    <t>160名左右</t>
  </si>
  <si>
    <t>1.本科成绩单（由教务处或院系盖章）与总评成绩排名证明；
2.外语水平证明，如CET四级、CET六级、雅思、托福、专业外语成绩等；
3.相关专业领域副教授以上职称的专家推荐信2份（直博生须提交）；
4.近期正面免冠彩色证件照片，电子版JPG格式（大小不超过500K）；
5.其他材料（如：发表论文、授权专利、各类获奖或资格证书等）。
注意：申请材料如有虚假，将取消申请人由此获得的一切利益，并保留追究申请人责任的权力。</t>
  </si>
  <si>
    <t>考核方式以现场面试为主，具体时间地点将另行通知。
3.考核小组将按照我校研究生入学考试复试的标准对学员进行综合考核，考核总成绩350分，包括：（1）思想品德；（2）综合考核：专业综合（满分为 100 分），外语能力综合（满分 100 分），专业和综合素质（满分为 150 分，包括：本科成绩及科研业绩、专业基础能力、培养潜力、分析和语言能力、其它素质和能力）。</t>
  </si>
  <si>
    <t>1.获得本科学校2025年推荐免试资格的优秀学员，在推免阶段申请我院推免研究生，我院将根据各学科招生规模和暑期学校考核成绩排名依次拟录取，额满为止，推免阶段复试成绩可参考暑期学校考核成绩。
2.未获得本科学校推免资格的优秀学员，若2025年全国研究生入学考试报考我院，初试成绩达到其所报考专业的复试成绩基本要求者，同等条件下可优先录取。</t>
  </si>
  <si>
    <t>该校同年级本专业前30％之内或平均成绩80分以上（GPA3.0以上）</t>
  </si>
  <si>
    <t>优良</t>
  </si>
  <si>
    <t>即日起-2024年6月15日</t>
  </si>
  <si>
    <t>2024年7月5-7日（具体时间以入营通知为准）</t>
  </si>
  <si>
    <t>申请材料要求电子扫描版：
1.南方医科大学基础医学院优秀大学生夏令营申请表（需系统填写导出后签字盖章）；
2.成绩单及同年级总成绩排名表原件扫描件（需所在高校教务部门盖章）；
3.英语水平证明（四六级或其他（如TOEFL/ITELS)外语成绩证明）扫描件；
4.学生证、身份证（正反面、扫描件）；
5.其他证明材料（如已发表的学术论文、获奖证书等）。</t>
  </si>
  <si>
    <t>提供夏令营期间免费食宿（本校学生不提供住宿），交通费营员自理</t>
  </si>
  <si>
    <t>我院将根据营员综合表现，择优颁发优秀营员证书。优秀营员如获得推免资格并申请我院免试研究生，学院根据招生规模按夏令营综合表现依次录取，额满为止。</t>
  </si>
  <si>
    <t>（1）报到：营员在规定时间内报到登记，领取相关资料。
（2）开营仪式：院长致辞；主管研究生工作的院领导介绍校院概况；各系主任介绍专业和导师情况；各科研团队介绍研究方向；招生相关问题答疑解惑。
（3）面试考核：分三组（药化和生药、药理、药剂和药分）进行面试考核。考核内容包括：专业课测试（笔试）、外语能力测试（采取听说交流的形式进行）、综合素质及能力测试（面试）。总成绩为以上三项成绩之和。优秀营员名单分组按总成绩高低排序确定。
（4）学院参观：面试结束后，各系组织带领考生参观药学新楼相关实验场所。</t>
  </si>
  <si>
    <t>2024年7月上、中旬举办，时间预计2-3天，具体时间将另行通知（咨询电话：0731-89665603）</t>
  </si>
  <si>
    <t>"须提供以下(1)-(7)项材料，未按时提交完整材料者将不予通过审查，如考生有(8)-(10)项相关材料及证明可以同时提交。请将所有申请材料扫描并按照以下顺序合并成一个PDF，文件命名为“姓名+本科学校+申报专业名称”，在6月15日之前发送至邮箱csuxyyxy619@163.com：
（1）个人有效居民身份证（正反面）复印件。
（2）学生证复印件，或在学证明。
（3）个人简历及个人陈述（包括兴趣、特点、学习和科研经历），并注明联系手机号码和电子邮箱。
（4）英语4级或6级通过证书或成绩单（原件扫描），或其他外语成绩证明。
（5）本科阶段各学期成绩单（原件扫描，要求有学校教务处或院系公章）。
（6）本科阶段前两年半或前三年成绩排名证明（原件扫描，要求有学校教务处或院系公章）。
（7）本科就读学校相关学科的专家（副教授及其以上职称）签名的推荐表2份（模板见本方案的附件1）。
（8）如果有在核心刊物或会议上发表学术论文、出版物或取得具有学术水平的工作成果，请提交接收函或证明文件，发表文章仅需提供首页。
（9）如果在学期间从事课外科技活动，或参加全国“挑战杯”、“互联网+”比赛等，有获奖或突出表现，请提交相关证明材料。
（10）其他可证明科研水平和能力的材料。"</t>
  </si>
  <si>
    <t>为营员统一购买活动期间的意外险,以及提供活动期间的餐补。并将在优秀营员实际入学后对其在夏令营期间的部分住宿和交通费用进行资助，资助额度依据学校相关财务制度执行，超额部分需要营员自行承担。具体资助方案后续通知。</t>
  </si>
  <si>
    <t>（1）此类考生按届时发布的“关于中南大学2025年接收推荐免试攻读硕士学位研究生工作的通知”相关要求进行报名。（2）此类考生须于2024年9月28日-10月15日在教育部“全国推荐优秀应届本科毕业生免试攻读研究生信息公开暨管理服务系统”(网址:http://yz.chsi.com.cn/tm)进行网上报名并确认信息，否则视为放弃优秀营员资格。</t>
  </si>
  <si>
    <t>推免直博生（CET-6） 430分及以上，推免硕士生（CET-4）450分及以上。</t>
  </si>
  <si>
    <t>2024年5月30日至6月20日。</t>
  </si>
  <si>
    <t>2024年7月10日至12日</t>
  </si>
  <si>
    <t>线下营员60名、线上营员300名</t>
  </si>
  <si>
    <t>全国大学英语六级考试（CET-6）430分及以上，全国大学英语四级考试（CET-4）450分及以上的学生优先接收；</t>
  </si>
  <si>
    <t>开营仪式、参观研究所、研究生招生与培养介绍、招生学科、导师团队介绍、与导师面对面交流、与在校生交流、营员团体活动等。夏令营结束后，我们将评选出优秀营员。在</t>
  </si>
  <si>
    <t>截止时间为2024年6月25日</t>
  </si>
  <si>
    <t>2024年7月22日至26日</t>
  </si>
  <si>
    <t>招收线下营员20-40名（通过报名筛选），线上名额不限</t>
  </si>
  <si>
    <t>报名需填写报名信息及发送资格审查材料
请将资格审查材料按以下顺序扫描在同一个PDF文件！！！邮件和文件均按：“线下（或线上）+姓名+学校+专业”命名，扫描件请一定确保清晰！！！请在2024年06月25日以前发至邮箱188@imbcams.com.cn ，材料按以下顺序扫描：
身份证、学生证、本科成绩单原件（教务部门盖章）、专业排名证明（教务部门盖章）、英语水平证明（六级、四级证书）、其他证明材料。</t>
  </si>
  <si>
    <t>通过推免录取的硕士生，入学当年可获得北京协和医学院新生奖学金8000元；通过推免录取的直博生，入学当年可获得北京协和医学院新生奖学金10000元。第二年成绩优良的，可获得医学生物学研究所奖学金8000元；第一志愿报考并录取的学生，入学当年可获得北京协和医学院新生奖学金及医学生物学研究所奖学金共4000元。</t>
  </si>
  <si>
    <t>本科前三学年总评成绩一般在年级前15％</t>
  </si>
  <si>
    <t>具体活动安排将另行通知，包括线上或线下形式入营等安排。</t>
  </si>
  <si>
    <t>即日起至2024年6月16日17:00</t>
  </si>
  <si>
    <t>本科前两年半（四年制）或前三年半（五年制）成绩在年级名列前茅，有望获得所在学校推免资格者。</t>
  </si>
  <si>
    <t>英语水平符合以下条件之一大学英语六级426分或四级497分、托福85分或雅思6分以上、英语专业四级合格及以上、英语专业八级合格及以上</t>
  </si>
  <si>
    <t>研究院介绍，学术报告，参观实验室与仪器平台，夏令营优秀营员的面试选拔等。</t>
  </si>
  <si>
    <t>即日起至2024年6月16日下午17:00</t>
  </si>
  <si>
    <t>2024年7月8日至7月9日</t>
  </si>
  <si>
    <t>直博生申请者需要两位副教授及以上职称的专家推荐信（见附件），推荐信密封后邮寄至：南京市浦口生命与健康协同创新中心（南京大学现代生物研究院），A栋，4层，419，王老师收 ，025-83597980。（推荐信接受时间截止6月21日，以寄出快递时间为准）。报到时请携带申请材料纸质版、本人学生证原件和复印件、身份证原件和复印件。报到登记时原件审核，提交复</t>
  </si>
  <si>
    <t>夏令营期间，学院统一提供住宿、餐饮，其他费用自理（南京本地高校的营员原则上不提供住宿）</t>
  </si>
  <si>
    <t>获得"优秀营员"者，可享受以下政策：1. "优秀营员"如获得所在学校推荐免试研究生资格，并在推免申报系统中以第一志愿报考南京大学现代生物研究院相关专业硕士研究生，根据本人志愿，将优先进入选拔名单。2. 硕士研究生阶段中期考核通过后，在同等条件下优先获得硕博连读资格。3. 非优秀营员如获得所在学校推荐免试研究生资格，经我院面试并通过的，也将优先进入选拔名单。</t>
  </si>
  <si>
    <t>本科阶段成绩优秀，绩点排名靠前</t>
  </si>
  <si>
    <t>英语水平良好，CET-6成绩425分以上或相当水平</t>
  </si>
  <si>
    <t>即日起至6月25日。</t>
  </si>
  <si>
    <t>2024年7月上旬（具体时间待后续通知）</t>
  </si>
  <si>
    <t>报名时需在系统提交下述材料的清晰扫描版（——需邮寄纸质材料）。
(1) 南方医科大学公共卫生学院优秀大学生夏令营申请表（需签字盖章）；
(2) 个人简历；
(3) 成绩单及同年级总成绩排名表原件扫描件（需所在高校教务部门盖章）；
(4) 英语水平证明（四六级或其他（如TOEFL/ITELS)外语成绩证明）扫描件；
(5) 学生证、身份证（正反面、扫描件）；
(6) 政审表（需所在高校/学院部门盖章）；
(7) 其他证明材料（如已发表的学术论文、获奖证书等）。
注：（1）、（7）请点击文末 阅读原文 下载报名时需在系统提交下述材料的清晰扫描版（——需邮寄纸质材料）。
(1) 南方医科大学公共卫生学院优秀大学生夏令营申请表（需签字盖章）；
(2) 个人简历；
(3) 成绩单及同年级总成绩排名表原件扫描件（需所在高校教务部门盖章）；
(4) 英语水平证明（四六级或其他（如TOEFL/ITELS)外语成绩证明）扫描件；
(5) 学生证、身份证（正反面、扫描件）；
(6) 政审表（需所在高校/学院部门盖章）；
(7) 其他证明材料（如已发表的学术论文、获奖证书等）。
注：（1）、（7）请点击文末 阅读原文 下载</t>
  </si>
  <si>
    <t>活动期间，提供餐补；外地学生将由我院统一安排住宿；交通费用自理。</t>
  </si>
  <si>
    <t>我院将根据参与者的综合表现，择优颁发优秀营员证书。优秀营员如获得推免资格并申请我院免试研究生，学院根据招生规模按夏令营综合表现依次录取，额满为止。申请直博生优先。</t>
  </si>
  <si>
    <t>学习成绩优秀，本专业综合排名前30%，具备或可能具备推荐免试资格的学生优先；</t>
  </si>
  <si>
    <t>——英语水平良好，国家大学英语四、六级考试（CET-4、CET-6）通过者优先；</t>
  </si>
  <si>
    <t>1. 学院将按学科专业组织若干夏令营营员考核小组，各学科组选派责任心强、科研及英文水平较高的研究生导师参与考核工作，每个考核小组至少5位研究生导师；
2. 考核内容包括相关学科专业综合基础知识、实验技能、英语听说能力、思想政治素质等，其中英文听说能力考核占30%；
3. 每位营员考核时间20分钟，具体考核时间及安排在入营后公布。</t>
  </si>
  <si>
    <t>2024年6月6日~6月22日00:00:00</t>
  </si>
  <si>
    <t>2024年8月1-3日</t>
  </si>
  <si>
    <t>60名左右</t>
  </si>
  <si>
    <t>1. 照片（证件照、自行上传）；
2. 本科阶段历年成绩单及同年级总评成绩的排名证明（须加盖教务处或院系公章）；
3. 外语水平证明，如CET-4、CET-6、雅思、托福、专业外语成绩等；
4. 个人联系方式请务必确认准确——误、尤其是联系邮箱；
5. 有关获奖证书和学术科研成果，如发表论文、出版物或其它原创性工作等；
6. 申请直博生的同学还需两份相关学科正高级职称专家推荐信（含专家签字、加盖院系公章），推荐信扫描件上传至报名系统、原件在参加夏令营时线下提交；推荐信模板请到我校研究生院网站下载https://yjszs.shu.edu.cn/info/1042/3781.htm；
7. 除照片、成绩单外，其它所有相关材料合并为一个pdf文档，上传至报名系统“其它材料”里。</t>
  </si>
  <si>
    <t>为正式入选并参加本次夏令营的全部营员免费提供夏令营期间的食宿（饮食8月1-3日3天，住宿8月1日、2日两天，8月3日晚仍需住宿的营员请在7月27日早8:00至7月30日中午12:00之间凭已预定的返程车票申请，4日起仍在上海逗留的同学住宿费用营员自理）；
2. 我院为所有夏令营营员购买7月31日至8月4日五天的综合意外险，收到入营通知的同学如放弃入营资格，请于7月27日中午12时之前联系确认；
3. 夏令营营员如正式录取为我院2025级推免研究生，我院报销夏令营往返路费（营员学校或家庭所在城市至上海，高铁二等座标准，请营员自行保留相关报销凭证）；</t>
  </si>
  <si>
    <t>有望获得推荐免试研究生资格并获本期夏令营优秀学员者，如选报上海大学生命科学学院推荐免试硕士研究生，将——需再次参加面试；如未获得所就读学校推荐免试研究生资格，考研复试成绩相同条件下优先录取；
5. 营员通过推荐免试录取者，入学后第一年优先享受一等研究生学业奖学金；
6. 所有完整参加我院暑期夏令营活动的营员经考核合格后颁发结业证书；
7. 活动结束后学院将根据研究生导师团队对营员综合评估情况，评出优秀营员并颁发相应证书。</t>
  </si>
  <si>
    <t>3.活动程序：
（1）在学院网站公布活动方案。
（2）通知资格审核通过者参加夏令营。
（3）学院组织开展暑期夏令营活动。
（4）学院确定获得优秀营员名单并在网上公示。
4.考核方式：
（1）考核科目及方式：学科设置面试小组，对入营的学员进行思想政治表现（“合格”与“不合格”）、心理测验（“合格”与“不合格”）、英语水平（100分）、专业知识（100分）以及综合素质（100分）进行考核。
（2）总成绩计算：总成绩=英语成绩+专业知识成绩+综合素质测试成绩
(3)选拔方式：根据拟接收推免生专业类别及人数，按总成绩由高到低顺序选拔优秀营员。思想政治表现不合格，或英语测试、专业知识测试、综合素质测试成绩单项成绩中有一项低于60分者不予选拔。</t>
  </si>
  <si>
    <t>2024年7月，具体时间及安排将在学院公示资格审查通过名单时公布。</t>
  </si>
  <si>
    <t>本科就读学校的专家（副教授及其以上职称）推荐表（见附件1）</t>
  </si>
  <si>
    <t>1.开营仪式;
2.学院、学科介绍;
3.师生面对面。</t>
  </si>
  <si>
    <t>即日起至2024年6月18日</t>
  </si>
  <si>
    <t>2024年7月上中旬</t>
  </si>
  <si>
    <t>2.电子材料提交
(1)申请人填写兰州大学护理学院2024年优秀大学生暑期夏令营报名基本信息汇总表电子版(附件1);
(2)本科前5或7个学期成绩单(由教务部门或院系盖章)，排名专业前30%的证明(由教务部门或院系盖章)扫描件;
(3)身份证、学生证扫描件;
(4)大学英语四、六级成绩单或其他英语水平证明(如近两年内TOEFL成绩或近三年内GRE成绩等)扫描件;
(5)两封学科专家推荐书(附件2，推荐人为副高级职称及以上专家)扫描件;
(6)其他证明材料(如体现自身学术水平的代表性学术论文或其他原创性工作成果扫描件、获奖证书扫描件等)。
电子版申请材料按提交材料顺序合并为一个PDF文档，以“暑期夏令营+毕业学校+姓名”命名上传至“兰州大学推免生预接收报名系统”。
3.纸质材料提交
申请人通过营员资格审核后，入营报到时携带身份证、学生证原件，提交兰州大学护理学院2024年优秀大学生暑期夏令营申请表(附件3)、审查成绩单原件、专家推荐信原件。</t>
  </si>
  <si>
    <t>夏令营期间兰州大学护理学院将为营员提供住宿(包含2晚，双人标间，原则上要求双人入住，本地学校学生不提供住宿)、人身保险费以及异地学校学生往返交通费(火车票硬座、硬卧、高铁二等座，汽车票)。请自行提前预订往返车票，主办方不提供订票服务。</t>
  </si>
  <si>
    <t>3.获得优秀营员资格者，可优先享受以下政策：
(1)如取得所在学校推荐免试资格并报考兰州大学护理学院，可视同面试合格直接拟录取。
(2)部分未取得所在学校推免资格的优秀营员，如第一志愿报考兰州大学，参加2024年全国硕士研究生统一入学考试，初试成绩达到我院报考专业“学院复试分数线”，参加复试且成绩合格者，同等条件下优先录取。</t>
  </si>
  <si>
    <t>药学院（深圳）</t>
  </si>
  <si>
    <t>活动主要包括PI宣讲、实验室参观、师生交流、校园参观，同时进行2025年接收推荐免试攻读研究生的初步选拔工作。</t>
  </si>
  <si>
    <t>2024年6月15日17:00前</t>
  </si>
  <si>
    <t xml:space="preserve">1. 《中山大学药学院（深圳）2024年夏令营活动申请表》（附件1），请帖好1寸证件照，——底色要求。须加盖本科院系公章或教务章。
2.本科阶段成绩单及同年级总成绩排名（由教务部门或院系盖章。如成绩单显示排名或绩点，——需另附证明文件）。
3.个人自述（中英文均可）。
4.体现自身英语水平的证明及其他证明材料：如体现自身学术水平的代表性学术论文或其他原创性工作成果复印件（如系已发表文章，请附杂志封面和目录页）、获奖证书复印件等。
5.身份证正反面及学生证分别复印到两张A4纸。
6. 在学证明，并附学信网《教育部学籍在线验证报告》。
</t>
  </si>
  <si>
    <t>免费为参营学生提供食宿，并为异地高校学生补助往返交通费用（火车硬座/硬卧、高铁动车二等座凭票实际报销，往返额度为500元）。</t>
  </si>
  <si>
    <t>）学习成绩优秀，大学期间必修课——不及格记录，缓考课程必须 有成绩，必修课平均学分绩点排名在本专业前25%或达到申请条件第
六条所述条件</t>
  </si>
  <si>
    <t>）全国大学英语六级考试（CET-6）成绩≥425分，或与之相当 的英语水平：如TOEFL成绩≥80分：IELTS成绩≥6.0：国家英语专
业四级成绩合格；WSK（PETS4或PETSS）成绩合格；新GRE≥305分</t>
  </si>
  <si>
    <t>采用线下形式，行程及时间安排（暂定）如下：
（-6月20日前，公布入营学员名单。
（）6月24日上午，学员报到入营。
（=6月24日下午，破冰行动，自我介绍，熟悉环境。
（四）6月25日上午，开营仪式，名师论坛。
（五）6月25日下午，学科宣讲，优秀研究生经验交流。
分6月26日拓展活动，参观重点实验室、口腔医学实验教学中
心。
（t）6月27日，综合考核。
（N6月28日，闭营仪式。 报到地址：重庆市渝北区松石北路426号，重庆医科大学附属口
腔医院冉家坝院区一楼学术报告厅。</t>
  </si>
  <si>
    <t>2024年6月11日8:00-6月16日17:00</t>
  </si>
  <si>
    <t>2024年6月24日-6月28日</t>
  </si>
  <si>
    <t>（1）《重庆医科大学口腔医学院2024年全国优秀大学生夏令营活
动申请表》（附件1）；
（2）身份证（双面）；
（3）学生证（有个人信息的所有页面）；
（4）《教育部学籍在线验证报告》； （5）本科各阶段成绩单盖章原件及同年级总成绩排名表（均须盖所
在学校教务处公章）； （6）外语水平证明：全国大学英语六级考试（CET-6）成绩≥425
分，或与之相当的英语水平证明材料扫描件；
（7）考生诚信考核承诺书（附件2）； （8）其他学术成果、获奖证书等证明材料（如发表学术论文需附上
见刊全文扫描版、收录证明等材料）。 请将上述材料按顺序扫描合并成1个PDF，命名格式为“xx大学 （本科就读学校）-姓名-xx学院-xx专业（报考志愿）”，按要求提
交。其中（1）-（7）项为必须项，第（8）项由申请人根据自身实际情况提交。</t>
  </si>
  <si>
    <t>学院为营员提供夏令营期间午餐及晚餐餐券，于医院食堂就餐。 提供一定金额住宿补贴（重庆本地学生除外），人均不超过150元/晚，凭酒店发票报销。学院资助异地学校学生从目前就读大学所在地至重庆往返交通费，凭车票报销。车票报销范围及标准：火车硬座、硬卧，高铁/动车二等座或汽车票，长途客车、船票（三等舱）等按照票价给予报销； 飞机票报销价格≤高铁（动车）二等座报销价格者，按照飞机票价格 给予报销。原则上应为就读高校所在地与重庆往返所产生的费用，营员须提供相应票据凭证，实报实销，超出部分营员自行承担。 （三）学院为参营人员购买夏令营活动期间人身意外伤害保险（含往返行程）。 （四）营员在营期间发生的医疗费用及因个人行为导致的意外事故，
由学员本人或其派出单位承担。中途退营营员，不享受以上待遇。</t>
  </si>
  <si>
    <t>1.营员入营期间综合考核合格，且当年获得本人所在学校推免生 资格，符合我校推免生招生章程所规定的条件，可直接拟录取为我院
相关招生专业的直博生或硕士研究生，优先选择导师。 2.如当年未获得本人所在学校推免生资格，但夏令营综合考核获 评优秀营员者，在2025年全国硕士研究生统一招生考试中第一志愿 报考我院相关招生专业，且考试成绩达到我院相关招生专业复试基本
分数线，在同等条件下将给予优先录取。</t>
  </si>
  <si>
    <t>医学部（研究生（硕博）招生宣讲咨询会）</t>
  </si>
  <si>
    <t>在长沙、广州、武汉、上海四地开启研究生（硕博）招生宣讲咨询会。医学部分院、部分学院管理老师、专家教授、师兄师姐将在现场面对面讲授、交流办学特色、招生政策、培养优势等内容。</t>
  </si>
  <si>
    <t>2024年6月15日9:00—15:00 长沙；2024年6月16日9:00—15:00广州；2024年6月22日9:00—15:00武汉；2024年6月23日9:00—15:00上海</t>
  </si>
  <si>
    <t>附属十院临床医学院</t>
  </si>
  <si>
    <t>平均绩点达4.0以上</t>
  </si>
  <si>
    <t>15人（申报对象为同济大学医学院全日制普通高校在校临床一系2020、2021级、2022级同济大学医学院临床一系学生。）</t>
  </si>
  <si>
    <t>求填写申报表，并提供个人简历及学业成绩单、英语证书（大学英语四/六级、TOEFL、IELTS、GRE/GMAT等其他外语水平的证明材料）、发表的研究论文、授权专利、出版物等（须附全文），与科研相关的竞赛和科研成果获奖（须附证书复印件），其他奖励证书、证明等等相关材料。</t>
  </si>
  <si>
    <t>优秀营员将获得荣誉证书，并可继续在项目组继续实践学习，在学院正式接收2027推免生时，按照学校相关规定，第一志愿申报我院，同等条件下优先录取。</t>
  </si>
  <si>
    <t>学习成绩优秀，专业成绩和综合成绩均名列本专业前茅，在校期间没有受过纪律处分</t>
  </si>
  <si>
    <t>具有良好听、说、读、写的英语应用能力，四级考试成绩在425分以上，通过六级者优先。</t>
  </si>
  <si>
    <t>活动期间将举办学术讲座、专业介绍、师生交流、参观实验室、参观校园、营员考核等活动；搭建同学们与导师们交流沟通的平台，向广大学子全面展示学院的优势特色，同时促进各高校学子间的交流，增进彼此了解，架设友谊桥梁。</t>
  </si>
  <si>
    <t>2024年7月9日-7月11日</t>
  </si>
  <si>
    <t xml:space="preserve">  （1）《吉林大学2024年夏令营报名表》，（由报名系统中填报生成）；
    （2）由教务处或所在院系开具的成绩单与总评成绩排名证明；
    （3）成绩单一份，需加盖教务部门公章；
    （4）个人简历一份，——特殊格式要求；
    （5）外语水平证明（英语四、六级证书等）及其它获奖证明材料。
    以上1-5项材料按顺序扫描汇总后形成pdf文件，文档命名格式：学校-姓名-报考专业，通过链接提交（链接：https://www.wjx.cn/vm/mhtA0Rx.aspx# ）提交申请截止时间：2024年6月20日。</t>
  </si>
  <si>
    <t>为营员提供午餐，为非本地营员提供交通费用（高校或家庭所在城市至长春的往返普通火车硬卧、硬座车票、高铁动车二等座车票）和安排住宿。家庭住址或本科院校在长春本地的营员一般情况不安排住宿。</t>
  </si>
  <si>
    <t>获得优秀营员且具备所在本科院校“推荐免试资格”的2025年应届毕业生，第一志愿报考吉林大学中日联谊医院相应专业（须与夏令营申报专业一致）在符合我校接收推荐免试硕士研究生相关要求和学院相关政策的基础上，可直接接收为吉林大学第三临床医学院“推免生”。</t>
  </si>
  <si>
    <t>7月1日:线下报道、注册。7月2-3日活动内容:学院介绍、讲座、学院参观及与面谈交流等(具体安排将视实际情况进行一定调整活动时间、内容等届时可能会根据具体工作安排稍作调整，具体信息请关注公共卫生学院网站通知。</t>
  </si>
  <si>
    <t>6月17日下午17:00</t>
  </si>
  <si>
    <t>2024年7月1~3日</t>
  </si>
  <si>
    <t>2.请将所有证明材料原件按以下顺序扫描并整合成 PDF（不超过10M）后，在网申系统的“附件”中上传，文件名为“报名二级招生单位-姓名-所在本科院校”；
（1）个人身份证（正反面）；
（2）本科成绩单（须加盖学校教务处或院系公章）；
（3）总评成绩排名证明（应包含所学专业同年级人数，须加盖学校教务处或院系公章）；
（4）外语水平证明材料：CET-6、雅思、托福、专业外语成绩等（5）其他材料：如已发表论文、各类获奖或资格证书等。</t>
  </si>
  <si>
    <t>所有营员交通费用自理，住宿费用主办方承担部分</t>
  </si>
  <si>
    <t>国内外高水平大学、全国重点大学的本科三年级在校生（2025届毕业生，含境外高校当年毕业学生），或所在学科为国家双一流学科，在最新一轮学科水平评估中排名靠前的本科三年级在校生（2025届毕业生），个别有突出成果或特殊专业特长的其他高校的本科三年级在校生（2025届毕业生）也可申请（占参营人数比例不超过5%）；
2.学习成绩优异，预计可获得所在学校推免资格</t>
  </si>
  <si>
    <t xml:space="preserve">报名截止时间为6月20日24:00前，申请人完成报名后，须在6月21日24:00前将申请材料扫描成一个PDF文件并发送至邮箱：2479440672@qq.com
</t>
  </si>
  <si>
    <t>7月10日报到，7月11-12日活动</t>
  </si>
  <si>
    <t>170人左右，学院可根据报名人数和生源情况适当调整。</t>
  </si>
  <si>
    <t>申请人完成报名后，须在6月21日24:00前将申请材料按（1）到（3）的顺序扫描成一个PDF文件（文件大小不超过10M），PDF文件作为普通附件，命名格式为“夏令营-申请专业-本科学校-姓名”（例如：夏令营-植物学-**大学-张三），发送至邮箱：2479440672@qq.com，邮件标题为“夏令营-申请专业-本科学校-姓名”。只在“夏令营系统”申请未提交电子材料者，报名将不予受理。
申请人获得参营资格后，入营报到时按（1）到（4）的顺序整理并提交纸质版申请材料。
申请材料：
（1）“武汉大学生命科学学院2024年优秀大学生夏令营申请表”（系统打印或下载附件1）（如跨页须正反双面打印，须有本人签名、所在学校院系推荐意见和教务部门盖章）；
（2）“武汉大学生命科学学院2024年优秀大学生夏令营个人陈述”（系统打印或下载附件2，须有本人签名）；
（3）其它证明材料：
①本科前两年半或三年学习成绩单原件；
②学习成绩排名证明原件（如不能提供，请所在学校院系或教务部门出具不能提供学习成绩排名的证明原件）；
③国家英语四、六级考试成绩或TOEFL/GRE/GMAT/IELTS成绩等体现自身外语水平的证明；
④体现自身学术水平的代表性学术论文、专利、出版物或原创性成果，各类获奖竞赛证书等证明；
（4）《诚信参加夏令营选拔考核承诺书》（下载附件3，须有本人手写签名）。</t>
  </si>
  <si>
    <t>学院为参营人员购买夏令营活动期间人身意外伤害保险、提供夏令营活动期间在汉食宿（武汉市本地高校学生不提供住宿），2025年我院研究生新生入学后凭票报销参营硬卧火车票或汽车票费用（请妥善保存好票据）。</t>
  </si>
  <si>
    <t>取得推免资格的“优秀营员”，在规定时间内进入教育部推免系统报考武汉大学生命科学学院推免生，且服从调剂，可优先接收为我院2025年直博生或推免硕士生。</t>
  </si>
  <si>
    <t>拟7月开展，具体时间、形式、内容以“邮件/电话”的形式通知</t>
  </si>
  <si>
    <t>截止至2024年6月30日</t>
  </si>
  <si>
    <t>学生证扫描件、身份证正反面扫描件、加盖教务处公章的本科学习成绩单扫描件、英语成绩证明（四六级、雅思、托福等）、代表性学术论文、其他获奖证书或科研成果证明等材料与本表合成一个PDF文件以“姓名+专业+2024暑期夏令营申请材料”命名上传，作为学生个人简历材料。</t>
  </si>
  <si>
    <t>浙江大学“一带一路“国际医学院、第四临床医学院</t>
  </si>
  <si>
    <t xml:space="preserve">1.学院内知名教授和近年国外引进高水平学者开设学科前沿讲座。7月8日： 学员报到登记，安排住宿，熟悉医院周围环境
7月9日：开营仪式，学院介绍、学科讲座、专家交流，实验室参观体验活动
7月10日：面试及优秀学员选拔，颁发证书，离院
2.实验室参观，亲历我院科研学术氛围和学生生活，与专家交流互动。
3.答疑解惑，现场面试。 </t>
  </si>
  <si>
    <t>6月23日前完成</t>
  </si>
  <si>
    <t>2024年7月8日-7月10日</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</si>
  <si>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</si>
  <si>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1、参加夏令营的营员统一由我院安排食宿，费用由我院承担。
2、学院将统一购买在我院夏令营活动期间的团体意外保险，各位入选营员需自购旅途意外险等保险。
3、交通费：营员请自行预定往返车票，我院负责报销外地学生的往返汽车或火车硬席、动车/高铁二等座额度的交通费（交通费报销上限不超过800元），报销时必须提供纸质车票，否则——法报销。</t>
  </si>
  <si>
    <t>学习成绩优秀，教育部批准设立研究生院的高校学生学习成绩排名须在班级或专业前30％；未设立研究生院的高校或所在专业为国家重点学科院校的学生学习成绩排名在班级或专业前10％；或有突出成果、论文或特殊专业特长者；或在全国重大竞赛中获奖者；或具备推荐免试攻读研究生资格者优先。</t>
  </si>
  <si>
    <t>英语水平良好，原则上达到英语六级水平（成绩≥425分）或四级成绩优秀（成绩≥550分）或托福（TOEFL）成绩达到90分或雅思（IELTS）成绩达到6分或GRE成绩达到300分。</t>
  </si>
  <si>
    <t xml:space="preserve">①学术交流、专家讲座；
②优秀校友读研感悟分享、联谊座谈；
③校园参观、直附属医院参观等。
学院负责对营员进行适当形式的考核（依照我校接收推免基本工作流程），通过推免系统对合格营员颁发复试合格单。
</t>
  </si>
  <si>
    <t>6月5日-6月19日</t>
  </si>
  <si>
    <t>7月4-6日</t>
  </si>
  <si>
    <t>医学工程与转化医学研究院：80人；临床医学院：不超过120人</t>
  </si>
  <si>
    <t>1.证明学习成绩及排名的成绩单或证明件；
2.相关证明材料（英语四、六级成绩单；身份证、学生证；各类奖励材料）。
承办单位以教育背景、学业水平、科研能力、综合素质为主要评价依据，由学科专家对申请者进行资格评审。学院将在2024年6月25日之前（含）通知合格入围者。未接到入营通知的同学皆为未入选者，不再另行通知。</t>
  </si>
  <si>
    <t>天津大学将根据申请材料、面试综合考核情况及入营期间表现，提供相应的研究生招生优惠政策。
享受研究生招生优惠政策名单将于2024年8月中下旬在天津大学研招办网站（网址：http://yzb.tju.edu.cn）上予以公示。
天津大学2025级研究生招生夏令营的招生优惠政策分设A、B两档标准：
（1）A档
A+档  合格营员取得《复试成绩合格单》，如获得所在学校的研究生推荐免试资格，并按学校规定时间内通过教育部“全国推荐优秀应届本科毕业生免试攻读研究生信息公开暨管理服务系统”（网址：http://yz.chsi.com.cn/tm)，完成所有规定流程后，可直接拟录取（学院将于9月份与考生签署《录取确认承诺书》）；
A-档  合格营员如获得所在学校的研究生推荐免试资格，并选报天津大学，同等条件下优先录取。
如未获得所在学校的研究生推荐免试资格，但报考我校2025级硕士研究生的合格营员，可享受B档优惠政策。
（2）B档
合格营员报考我校2025级硕士学位研究生，考试成绩达到我校的相应学科门类复试基本分数线（即学校线，含总分、单科分数）后，可直接参加复试，不受学院分数线限制，表现优异者可优先拟录取。</t>
  </si>
  <si>
    <t>学习成绩优秀，大学期间必修课——不及格记录，缓考课程必须有成绩，必修课平均学分绩点排名在本专业前25%。学习成绩优秀，大学期间必修课——不及格记录，缓考课程必须有成绩，必修课平均学分绩点排名在本专业前25%。</t>
  </si>
  <si>
    <t>优秀营员产生方式严格按照学校接收推荐免试研究生：硕士生、直博生（直博资格另行考核）复试工作办法进行综合考核选拔。
（一）综合考核内容
1. 专业素质测试：满分30分。主要考察考生大学阶段学习情况及成绩，掌握本学科专业理论知识程度，对本学科发展动态的了解程度及在本专业领域发展的潜力等。
2. 外国语及综合素质测试：满分40分（其中外国语20分，综合素质20分）。主要考察考生思想政治素质和道德品质，心理健康情况，外语听说能力，本学科以外的学习、科研、社会实践或实际工作表现，诚信记录，事业心、责任感、纪律性、协作性，人文素养，医德医风，举止、表达和礼仪等方面的情况。
3. 科研素质/临床技能测试：满分为30分。临床医学、口腔医学、护理、中医专业学位考生测试临床技能,主要考察考生临床操作能力等；其余考生测试科研素质,主要考察考生利用所学理论发现、分析和解决问题的能力，创新精神和创新能力等。
（二）综合考核方式
学院将组建考核专家小组负责对参营营员进行综合考核，并根据营员申请材料、面试综合考核情况，选拔出优秀营员，颁发优秀营员证书。</t>
  </si>
  <si>
    <t>2024年6月14日中午12:00至6月21日上午8:00</t>
  </si>
  <si>
    <t>2024年7月2日至7月4日</t>
  </si>
  <si>
    <t>请将以下材料按顺序扫描成一个PDF文档上传至报名系统，文件名为“xx大学（本科就读学校）-姓名-xx学院-xx专业-xx方向（报考志愿）”。
1.《重庆医科大学全国优秀大学生夏令营报名申请表》（见附件1）；
2. 身份证（双面）；
3. 学生证（有个人信息的所有页面）；
4.《教育部学籍在线验证报告》（有效期限内）；
5.本科各阶段成绩单盖章原件及同年级总成绩排名表（均须盖所在学校教务处公章）；
6.外语水平证明：全国大学英语六级考试（CET-6）成绩≥425分，或与之相当的英语水平证明材料。
7. 其他相关证明材料（如发表论文、公开/授权专利、各类获奖材料等）；
8.《重庆医科大学2024年夏令营考生诚信考核承诺书》（见附件2）。
注：请各位申请者务必按要求上传，不按要求上传、材料不清晰或材料不全将不予受理。请勿上传不符合报名条件的材料，否则不予审核。</t>
  </si>
  <si>
    <t>（二）食宿：所有营员由学院提供在营期间的统一伙食，并为外地营员提供统一住宿；本地营员经申请可一并安排住宿。
（三）交通费：外地院校营员请自行预定往返火车票，学院将资助外地营员往返交通费（从目前就读大学所在地至重庆，报销标准为火车硬座、硬卧,高铁/动车二等座或汽车票，长途客车、船票（三等舱）等按照票价给予报销；飞机票报销价格≤高铁（动车）二等座报销价格，则按照飞机票价格给予报销。需出示票根，实报实销，超出部分营员自行承担）。
（四）学院为参营人员购买夏令营活动期间人身意外伤害保险。</t>
  </si>
  <si>
    <t>参营营员如通过入营期间的复试综合考核且获得所在学校推免生资格，符合我校推免生招生章程所规定的条件，可拟录取为我校相关专业的硕士研究生或直博生（直博资格另行考核），优先选择导师。
获得优秀营员者，如未获得所在学校的研究生推荐免试资格，但第一志愿报考与夏令营的相关专业，考试成绩达到我校该专业复试基本分数线的，在同等条件下将给予优先录取。</t>
  </si>
  <si>
    <t>学习成绩优秀，大学期间必修课——不及格记录，缓考课程必须有成绩，必修课平均学分绩点排名在本专业前25%。</t>
  </si>
  <si>
    <t>本次夏令营线下形式开展，具体活动安排如下：
时间
内容
7月3日下午15：00-17：00
报到
7月4日上午
开营仪式、学术讲座
7月4日下午
参观平台、分组讨论
7月5日全天
综合考核、闭营</t>
  </si>
  <si>
    <t>2024年6月8日12：00至6月21日12：00</t>
  </si>
  <si>
    <t>2024年7月3日至7月5日</t>
  </si>
  <si>
    <t>请将以下材料按顺序扫描成一个PDF文档上传，文件名为“xx大学（本科就读学校）-姓名-xx学院-xx专业-xx方向（报考志愿）”。
1.《重庆医科大学全国优秀大学生暑期夏令营申请表》（附件1）；
2.个人简历
3.身份证（双面）；
4.学生证（有个人信息的所有页面）；
5.《教育部学籍在线验证报告》（有效期限内）；
6.本科各阶段成绩单盖章原件及同年级总成绩排名表（均须盖所在学校教务处公章）；
7.外语水平证明：全国大学英语六级考试（CET-6）成绩≥425分，或与之相当的英语水平。
8.其他相关证明材料（如发表论文、公开/授权专利、各类获奖材料等）；
9.《重庆医科大学2024年夏令营考生诚信考核承诺书》（附件2）。
请各位申请者务必按要求上传，不按要求上传，材料不清晰或材料不全将不予受理。</t>
  </si>
  <si>
    <t>为营员提供夏令营期间的餐食、人身保险费以及非渝高校学生住宿、往返交通补贴（根据火车硬座、硬卧或汽车票标准进行补贴，营员须提供相应票据凭证）。请自行提前预订往返车票，主办方不提供订票服务。</t>
  </si>
  <si>
    <t>（一）参营营员如通过入营期间的复试综合考核且获得所在学校推免生资格，符合我校推免生招生章程所规定的条件，可直接拟录取为我校相关专业的直博生或硕士研究生，优先选择导师。
（二）通过我校夏令营考核的优秀营员如未获得所在学校的推免生资格，可以选择以公开招考方式，以第一志愿报考我校夏令营专业2025年度硕士研究生，如果考试成绩达到我校该专业复试基本分数线，则在同等条件下将给予优先录取。</t>
  </si>
  <si>
    <t>第一天：下午(14:00-18:00)学员报到登记，入住酒店。第二天：开营仪式，师生互动，实验室参观，闭营离校。
初步日程安排详见附件，具体日程届时会在“钉钉”群里发布。</t>
  </si>
  <si>
    <t>6月21日前</t>
  </si>
  <si>
    <t>2024年7月1-2日</t>
  </si>
  <si>
    <t>请将所有证明材料原件按以下顺序扫描并整合成PDF（不超过10M）后，在网申系统“附件”中上传，文件名为“报名二级招生单位-报名学科（内外科请精确到三级学科）-姓名-所在本科院校”（示例：第二临床医学院-内科学（心血管病）-张三-XX大学）；
（1）个人身份证（正反面）；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</si>
  <si>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1.本夏令营不收取任何形式费用；
2.学院将统一购买在我院夏令营活动期间的团体意外保险，建议各位入选营员自购旅途意外保险；
3.杭州市外的入选营员我院将统一安排酒店住宿，杭州高校学生不提供住宿；
4.交通费：入选营员请自行预定来杭车票（单程），我院负责报销外地学生的汽车或火车硬席、动车/高铁二等座额度的交通费（交通费报销上限800元），杭州高校学生交通自理；</t>
  </si>
  <si>
    <t>医学院护理系</t>
  </si>
  <si>
    <t>1.浙江大学医学院及护理学科介绍；
2.浙江大学附属医院护理专业介绍；
3.学长分享心得，亲历浙大学术氛围和研究生活；
4.与导师交流互动、答疑解惑，现场面试及优秀学员选拔；
5.感受百年名校的美景与文化。</t>
  </si>
  <si>
    <t>即日起至 2024年6月22日24时</t>
  </si>
  <si>
    <t>2. 请将所有证明材料原件按以下顺序扫描并整合成 PDF （不超过 10M）后，在网申系统的“附件”中上传，文件名为“护理-姓名-本科院校-申报类型（专业学位/学术学位）”：
（1）个人身份证（正反面）；
（2）本科阶段成绩单（须加盖学校教务处或院系公章）；
（3）总评成绩排名证明（专业成绩排名和综合成绩排名，应包含所学专
业同年级人数，须加盖学校教务处或院系公章）；
（4）外语水平证明材料：CET-6、雅思、托福、专业外语成绩等；
（5）其他材料：如已发表的论文、专利、各类获奖或资格证书等。</t>
  </si>
  <si>
    <t>1.参加夏令营的营员住宿自行安排；
2.交通费：营员请自行预定往返车票，我系负责报销外地学生的往返汽车或火车硬席、动车/高铁二等座额度的交通费（交通费报销上限不超过 500 元），报销时须提供往返车票；
3.活动当天免费提供午餐和相关资料。</t>
  </si>
  <si>
    <t>医学院儿科学院</t>
  </si>
  <si>
    <t>时间：7月上旬（暂定，具体日期以钉钉群内正式通知为准）
上午：开营仪式,教授讲座以及浙大儿院滨江院区参观
下午：面试及优秀营员选拔，并颁发优秀营员证书
（具体安排将视实际情况进行一定调整）</t>
  </si>
  <si>
    <t>2024年6月21日前</t>
  </si>
  <si>
    <t>7月上旬（暂定，具体日期以钉钉群内正式通知为准）</t>
  </si>
  <si>
    <t>请将所有证明材料原件按以下顺序扫描并整合成 PDF（不超过10M）后，在网申系统的“附件”中上传，文件名为“报名二级招生单位-姓名-所在本科院校”：
1) 个人身份证（正反面）；
2) 本科成绩单（须加盖学校教务处或院系公章）;
3) 总评成绩排名证明（应包含所学专业同年级人数，须加盖学校教务处或院系公章）；
4) 外语水平证明材料：CET-6、雅思、托福、专业外语成绩等；
5) 其他材料：如已发表论文、各类获奖或资格证书等。
3.将申请表及所有证明材料原件按以上顺序扫描并整合成PDF文件，文件名为“报名单位-姓名-在读院校”，于6月21日前发送至浙大儿院邮箱chjyb@zju.edu.cn，报名以邮箱中收到的材料为准。</t>
  </si>
  <si>
    <t>浙江大学医学院</t>
  </si>
  <si>
    <t>综合素质突出，本科前四年综合成绩排名（班级或年级）前20%；或在其他方面有突出表现，如有较强的研究与创新能力、有较为出色的学术成果等；</t>
  </si>
  <si>
    <t>英语水平优良，达到全国大学英语六级≥460，或雅思不低于6.0分，或新托福不低于80分，或英语国家获得过学士及以上学位，或达到与此相当的其他各类外语考试水平；</t>
  </si>
  <si>
    <t>时间：8月1日-8月3日
地点：浙江省杭州市，具体地点另行通知
活动内容：
1、学院内知名教授和近年国外引进青年教授开设学科前沿讲座。
2、现场面试，与专家交流互动。
3、团建活动，结识同龄优秀学子。</t>
  </si>
  <si>
    <t>2024年6月12日至2023年6月24日</t>
  </si>
  <si>
    <t>8月1日-8月3日</t>
  </si>
  <si>
    <t>请将所有证明材料原件按以下顺序扫描并整合成PDF（不超过10M）后，在网申系统的“附件”中上传，文件名为“报名二级招生单位-姓名-所在本科院校”；
（1）个人身份证（正反面）；
（2）本科成绩单（须加盖学校教务处或院系公章）；
（3）总评成绩排名证明（应包含所学专业同年级人数，须加盖学校教务处或院系公章）；
（4）外语水平证明材料：CET-6、雅思、托福、专业外语成绩等；
（5）其他材料：如已发表论文（附论文全文及图书馆开具的检索证明）、各类获奖或资格证书等。</t>
  </si>
  <si>
    <t>1、食宿费：参加夏令营的营员统一由我院安排活动期间食宿，费用由我院承担。
2、交通费：杭州本地营员交通自理。外地营员请自行预定往返车票，我院负责报销优秀营员的往返汽车或火车硬席、动车/高铁二等座额度的交通费（交通费报销上限不超过500元，西部地区高校的同学可以提出申请，另行考虑），报销时须提供往返车票。
3、我院免费提供营服与活动资料。</t>
  </si>
  <si>
    <t>学习成绩优秀，大学期间必修课——不及格记录，缓考课程须有成绩，必修课平均学分绩点排名在本专业前25%；所在专业为省部级或国家级一流本科专业的，必修课平均学分绩点排名可放宽至本专业前40%；</t>
  </si>
  <si>
    <t>英语水平较好，至少满足以下条件之一：全国大学英语六级考试（CET-6）成绩≥425分；雅思成绩≥6.0分；或TOEFL成绩≥80分；或与之相当的英语水平；</t>
  </si>
  <si>
    <t>7月10日 ：营员报到
7月11日上午 ：开营典礼:主要包括学院简介、名师讲座等
7月11日下午：1.主题讲座与交流:主要包括学科方向、课题组、平台及导师介绍，营员风采展示等;2.平台参观与交流
7月12日 上午：二级学科分组考核面试
7月12日下午：闭营典礼
注:最终日程将视报名情况进行调整，如有调整学院将另行通知。</t>
  </si>
  <si>
    <t>即日起至2024年7月5日12:00</t>
  </si>
  <si>
    <t>2024年7月10日至7月12日</t>
  </si>
  <si>
    <t>1. 若申请入营人数不足40人，则符合要求的申请者全部入营；
2. 若申请入营人数超过40人，则除满足“一、申请条件 第6点”的直接入营外，其余申请者按照“一、申请条件 第5点”中英语考试成绩从高到低排名确定入营名单，若英语考试成绩相同，则同时入营。
3.若符合直接入营条件的营员人数超过40人，按照“一、申请条件 第5点”中英语考试成绩从高到低排名确定入营名单，若英语考试成绩相同，则同时入营。</t>
  </si>
  <si>
    <t>请将以下材料按顺序扫描成一个PDF文档上传至重庆医科大学研究生报考服务系统，文件名为“XX大学-姓名-XX学院-XX专业-XX方向（报考志愿）”。文件名说明：XX大学指申请人本科就读学校，XX学院-XX专业-XX方向指申请人报考志愿。
1.《药学院2024年全国优秀大学生夏令营报名申请表》（见附件1）；
2.个人简历；
3.身份证（双面）；
4.学生证（有个人信息的所有页面）；
5.《教育部学籍在线验证报告》（有效期限内）；
6.本科各阶段成绩单盖章原件及同年级总成绩排名表（均须盖所在学校教务处公章）；
7.外语水平证明：全国大学英语六级考试（CET-6）成绩≥425分，或其他相当外语水平证明；
8.其他相关证明材料（如发表论文、公开/授权专利、各类获奖材料等）；
9.《药学院2024年夏令营考生诚信考核承诺书》（见附件2）。</t>
  </si>
  <si>
    <t>本次夏令营不收取任何费用，请各位考生谨防上当受骗。举办方将为营员提供夏令营期间的住宿（重庆市区高校学生不提供住宿），凭车票报销异地学校学生往返火车票费用。车票报销范围：高铁/动车(二等座）和其他列车普通硬卧（硬卧车程须在6小时以上）、硬座（硬座车程在6个小时以内），长途客车、船票（三等舱）等按照票价给予报销；飞机票按不超过高铁（动车）二等座价格报销。原则上应为就读高校所在地与重庆往返所产生的费用；</t>
  </si>
  <si>
    <t>1.参营营员如通过入营期间的复试综合考核且获得所在学校2025年推免生资格，符合我校相关专业2025年推免生招生章程所规定条件的，可直接拟录取为我校相关专业2025年的直博生或者硕士研究生，优先选择导师；
2.如未获得所在学校的推免生资格但通过我院夏令营考核的优秀营员，如果选择以公开招考方式报考我校2025年硕士研究生或博士研究生，第一志愿报考夏令营的相关专业时，考试成绩达到我校该专业复试基本分数线的，在同等条件下将给予优先录取；</t>
  </si>
  <si>
    <t xml:space="preserve">2024年7月9日-11日
7月9日下午：营员报到
7月10日：兰州大学2024年暑期夏令营集中开营仪式；学院介绍、学科专业整体发展情况、导师介绍等。
7月11日：学院讲座与交流，包括专家学术报告与专题讲座、与研究生导师面对面自由交流、与在读研究生座谈；政策宣传，包括2024年接收统考研究生和校外推荐免试研究生的有关政策宣传解读等。
</t>
  </si>
  <si>
    <t>即日起至2024年6月25日，需要提交两份专家推荐信。电子版申请材料发送截止时间为6月25日24时。</t>
  </si>
  <si>
    <t>① 学生报名基本情况表电子版（见附件1）；
② 前5个学期的学习成绩单及所在专业成绩排名证明（须加盖院系或学校教务部门公章）；
③ 身份证、学生证扫描件及个人简历1份
④ 个人陈述材料（关于曾经做过的研究工作以及未来学习和研究的计划、目标等，不少于1500字）
⑤ 两份专家推荐信（需副教授以上专家推荐，亲笔签名并注明推荐专家联系方式，见附件2）；
⑥ 英语水平证明材料（如大学英语四、六级成绩单、TOEFL成绩、GRE成绩、雅思成绩等复印件）；
⑦ 其他能体现学习/学术能力的材料（如获奖证书、论文、报告等材料复印件）（可选）；
请将电子版申请材料按顺序编号压缩后以“姓名+毕业学校+暑期夏令营”命名发送到邮箱songtq@lzu.edu.cn，邮件主题：姓名+毕业学校+暑期夏令营。截止时间为6月25日24时。最终确定参加人员以网站发布的最终名单为准。</t>
  </si>
  <si>
    <t>参加夏令营的学生从学校往返兰州的普通火车的硬座票/汽车旅费，在兰州期间的人身保险费、住宿费、餐费，由兰州大学药学院承担。住宿提供双人标间，原则上要求双人入住。请自行提前预订往返车票，请自行提前预订往返车票和住宿并保留相关票据；学院不提供订票服务。</t>
  </si>
  <si>
    <t>学院将积极主动做好信息反馈和后期联系工作。夏令营优秀营员如取得所在学校推荐免试资格并报名兰州大学药学院，可视同面试合格直接录取。未取得所在学校推免资格的优秀营员，第一志愿报考兰州大学药学院，初试成绩达到我院报考专业“学院复试分数线”，参加复试且体检合格在同等条件下优先录取。
4.优秀营员在研究生入学后，可在同等条件下优先享受第一学年的研究生奖助学金。</t>
  </si>
  <si>
    <t>学习成绩优秀，本科期间综合成绩年级排名原则上要求为：“双一流”建设高校年级成绩排名前30%者，行业特色院校成绩排名前10%者。直博生申请条件：（1）取得推免资格；
（2）本科毕业于“双一流”高校；
（3）学习成绩优秀，本科期间综合成绩年级排名前20%；
（4）外语水平达到CET6≥480，或托福TOEFL网考≥90分，或雅思IELTS考试≥6.0分</t>
  </si>
  <si>
    <t>全国大学外语四级水平考试成绩优良（480分以上），或全国大学外语六级水平成绩合格（425分以上），或TOEFL、GRE等考试成绩优秀者。直博生申请条件：外语水平达到CET6≥480，或托福TOEFL网考≥90分，或雅思IELTS考试≥6.0分</t>
  </si>
  <si>
    <t>7月15日下午：营员报道；7月16日上午：开营仪式、参观医院；7月16日下午：学科介绍、科室参观、导师见面与交流、复试考核；7月17日上午：参观四川大学博物馆（自选）</t>
  </si>
  <si>
    <t>2024年6月7日开始网上报名，截止日期为2024年6月23日24：00</t>
  </si>
  <si>
    <t>2024年7月15日--17日</t>
  </si>
  <si>
    <t>340人</t>
  </si>
  <si>
    <t>1、申请表（报名成功后由系统自动生成，下载后经所在单位推荐盖章后再上传至系统）；
2、本科成绩单和专业排名证明（各1份；需加盖所在学院教务处公章）；
3、相关英语成绩、荣誉、比赛竞赛获奖证书复印件、学术成果复印件等。
请大家认真准备申请材料，只填报一个意向专业，我院将组织各学科专家对申请材料进行集体评议打分，根据评议成绩由高到低，按照二级学科(内外科等部分学科涉及三级学科)依次排序确定入营名单。
特别提示：请只提交正式发表的第一作者文章（英文论文可包括共一排第二的文章）、比赛竞赛获奖请提交校级及以上的获奖证书。</t>
  </si>
  <si>
    <t>对成功推免到我院的市外推免生，报销夏令营活动期间学校所在城市至成都的往返火车票价，报销标准参照学校相关规定执行（火车硬卧或高铁动车二等座标准，飞机票不予报销），金额不超过1000元/人，需报销者请妥善保管票据及支付记录截图（截图金额需与本人票价一致，切勿几人合并支付，以免报销失败），预计在10月会通知邮寄至我院。</t>
  </si>
  <si>
    <t>参加夏令营复试考核合格的营员，如获得所在本科院校2025年推荐免试资格，在全国推免服务系统（预计9月下旬）开放后及时响应填报我院，且夏令营填报专业与推免填报专业一致者，可被我院直接录取为推荐免试研究生。</t>
  </si>
  <si>
    <t>学习成绩优秀，本科阶段总成绩排名原则上在所读学校同年级本专业前20%，能获得推免资格的学生</t>
  </si>
  <si>
    <t>内容包括专业介绍、名师讲座等，同时组织拟推免或报考我校护理学研究生的营员进行综合评价</t>
  </si>
  <si>
    <t>2024年6月7日开始，至6月19日24：00截止</t>
  </si>
  <si>
    <t>2024年7月11-14日</t>
  </si>
  <si>
    <t>1.中山大学护理学院优秀大学生夏令营申请表（见附件）请帖好1寸证件照，——底色要求，签名并加盖公章；
2.本科阶段成绩单及同年级总成绩排名证明原件（如成绩单——显示排名，须另附专业排名证明，加盖学校教务部门盖章）；
3.英语水平证明材料原件，如CET四级、CET六级、雅思、托福、专业外语成绩等;
4.其他证明材料原件：如代表性学术论文（首页-即题目、摘要、作者所在页）、其他原创性工作成果、获奖证书等；
5.身份证正反面复印到一张A4纸的复印件；</t>
  </si>
  <si>
    <t>我院负责所有营员在营期间的早餐、午餐及住宿费用（不安排广州本地学校学生的住宿）。往返交通费用由营员自理。</t>
  </si>
  <si>
    <t>综合评价成绩作为我院选拔2025级推荐免试硕士的方式之一</t>
  </si>
  <si>
    <t>公共卫生学院卫生管理与政策研究中心</t>
  </si>
  <si>
    <t>原则上须达到六级成绩≥425分</t>
  </si>
  <si>
    <t>夏令营暂定于7月4日举行，举行方式待定，详见后续通知。</t>
  </si>
  <si>
    <t>截止时间为6月20日23：59</t>
  </si>
  <si>
    <t>1）卫生管理与政策研究中心夏令营申请表（见附件，需签字盖章）；
2）个人简历1份；
3）截止到报名前的本科成绩单与总评成绩排名证明（需加盖教务处公章）；
4）英语及各类奖励的相关证明材料；
5）科研成果相关证明材料：申请人还可提交体现自身学术水平的代表性学术论文、出版物等材料（如——，可不提供）。
申请人需于截止时间前将材料电子版合成一个文件（标题为“2024年夏令营申请-学校-姓名”，格式为pdf），通过夏令营报名系统上传。如有不实将取消录取资格，并承担相应后果。</t>
  </si>
  <si>
    <t>本科阶段总成绩排名在该校同年级本专业前15%之内，(985、211、双一流院校和部委省共建高校可排名在30%以内)</t>
  </si>
  <si>
    <t>英语水平优良，CET-6成绩425分以上。</t>
  </si>
  <si>
    <t>活动内容：开营仪式、校内参观及学科介绍、学术讲座及综合复试。</t>
  </si>
  <si>
    <t>即日起-6月15日</t>
  </si>
  <si>
    <t>2024年6月28-30日（具体时间以入营通知为准）</t>
  </si>
  <si>
    <t>按夏令营综合复试表现评选出优秀营员，优秀营员如取得所在学校推荐免试资格并报考南方医科大学中医药学研究生，可视同面试合格直接拟录取。</t>
  </si>
  <si>
    <r>
      <t>南开大学</t>
    </r>
    <r>
      <rPr>
        <b/>
        <sz val="28"/>
        <color rgb="FF000000"/>
        <rFont val="Times New Roman"/>
        <family val="1"/>
      </rPr>
      <t>​</t>
    </r>
  </si>
  <si>
    <t>活动方式为现场夏令营，活动内容包括开营仪式、学院和学科介绍、校园参观、百年生科名家讲座、师生交流、个人风采展示等环节，具体活动安排与时间另行通知，请随时关注我院网站。入选营员自行准备PPT（时间5分钟左右），内容包括本人自我介绍、教育背景、参加科研工作和研究成果情况、对生物学科的认识及感兴趣的科研领域、攻读研究生阶段的学习和研究计划等。</t>
  </si>
  <si>
    <t>截止至2024年6月17日（周一）中午12：00。</t>
  </si>
  <si>
    <t>2024年7月上旬举办，具体活动安排与时间另行通知</t>
  </si>
  <si>
    <t>①《南开大学2025年推荐免试研究生报名信息表》（进行网上报名并确认后生成此表，按照系统提示打印此表，本人签字）；
② 加盖教务处公章的本科学习成绩单和专业排名证明；
③《南开大学生命科学学院年夏令营申请表》（附件下载）；
④ 副教授及以上级别的专家推荐信2封（附件下载，需专家亲笔签字或电子签名）；
⑤ 其他证明材料，包括：国家英语四、六级考试成绩或其他英语水平的证明复印件；获奖证书或科研成果证明复印件；本人代表性学术论文、出版物或原创性成果等。
以上文件请合并成一个pdf，于2024年6月17日中午12:00前发送至skyyb@nankai.edu.cn，邮件主题及文件名命名为“夏令营+报考专业+本科学校+姓名”。</t>
  </si>
  <si>
    <t>1. 我院将免费为外地营员提供在津参加夏令营活动期间的食宿安排。
2. 外地营员请自行预订往返车票，我院不承担交通费用。后期推免至我校的学生，我院将根据由学校驻地到天津的来程交通费用予以相当的补贴。
3. 我院将为入选营员统一购买夏令营活动期间的团体意外保险。</t>
  </si>
  <si>
    <t>英语水平良好并符合以下任一项：（1）通过全国大学英语六级考试，成绩425分或更高；（2）TOEFL成绩90分及以上；（3）IELTS（A类/学术类）成绩6分及以上；（4）GRE成绩在310以上，GMAT成绩在640以上；（5）英语专业四级（及以上）考试合格；</t>
  </si>
  <si>
    <t>活动方式为现场夏令营，活动内容包括开营仪式、学院和学科介绍、师生交流、个人风采展示等环节，具体活动安排与时间另行通知，请随时关注我院网站。</t>
  </si>
  <si>
    <t>截止至2024年6月21日中午12:00</t>
  </si>
  <si>
    <t>通过网上报名资格审查的同学请提交以下材料：
①《南开大学2025年推荐免试研究生报名信息表》（进行网上报名并确认后生成此表，按照系统提示打印此表，本人签字）；
②加盖教务处公章的本科学习成绩单和专业排名证明；
③《南开大学医学院2024年夏令营申请表》（附件下载）；
医学院2024年夏令营申请表.doc
④副教授及以上级别的专家推荐信2封（附件下载，需专家亲笔签字或电子签名）；
医学院2024年夏令营申请专家推荐信.doc
⑤其他证明材料，包括：国家英语四、六级考试成绩或其他英语水平的证明复印件；获奖证书或科研成果证明复印件；本人代表性学术论文、出版物或原创性成果等。
以上文件请压缩成一个文件，于2024年6月21日中午18:00前发送至yxyyjsb@nankai.edu.cn，邮件主题根据学术学位与专业学位不同按照如下要求命名：
1、报名学术学位邮件主题命名方式：“夏令营+报考专业+本科学校+姓名”。附件文件夹命名为“姓名+报考专业”。例如：“张三+生理学”，文件命名格式为“序号姓名+文件内容”，如“（2）张三+成绩单”。
2、报名专业学位邮件主题命名方式：“夏令营+报考专业+本科学校+姓名+报考医院”。附件文件夹命名为“姓名+专业代码+报考专业”。例如：“张三+105100+内科学”，文件命名格式为“序号姓名+文件内容”，如“（2）张三+成绩单”。</t>
  </si>
  <si>
    <t>1. 我院将免费为外地营员提供在津参加夏令营活动期间的食宿安排。
2.  请外地营员保留好交通票据。若入选的营员被南开大学录取为2025级研究生，学院将为这部分同学报销来回交通费（报销标准为高铁二等座或火车硬卧，须有纸质票据报销凭证，开学后交至招生老师田老师处）。
3. 我院将为入选营员统一购买夏令营活动期间的团体意外保险。
4. 推免至我院攻读硕士研究生的营员，可享受南开大学新生奖学金。</t>
  </si>
  <si>
    <t>本科阶段总成绩排名在该校同年级本专业前30％之内；</t>
  </si>
  <si>
    <t>具有良好的外语水平，满足下列条件之一：1.英语四级≧480分；2.六级≧425分；3.雅思≧6.0分；4.托福≧90分。有全国英语比赛等获奖者优先。</t>
  </si>
  <si>
    <t>即日起-2024年6月25日</t>
  </si>
  <si>
    <t>2024年7月（具体时间另行通知）</t>
  </si>
  <si>
    <t>30-40人</t>
  </si>
  <si>
    <t>申请材料要求电子扫描版,打包后以“大学＋姓名”命名，发送至邮箱：nysyanjiusheng@126.com
1.南方医科大学优秀大学生夏令营申请表（需系统填写导出后签字盖章）（必需项）
2.学生证、身份证（正反面、扫描件）（必需项）
3.个人简历（必需项）
4.成绩单及同年级总成绩排名表原件扫描件（需所在高校教务部门盖章）
5.本科阶段重要获奖证明（有则提供，非必需项）
6.论文发表、科研成果、学术产出等证明（有则提供，非必需项）</t>
  </si>
  <si>
    <t>我院为营员提供夏令营期间免费食宿（本校学生不提供住宿），交通费营员自理；</t>
  </si>
  <si>
    <t>本科阶段总成绩排名原则上在该校同年级本专业前30％之内或平均成绩80分以上（GPA3.0以上）；</t>
  </si>
  <si>
    <t>即日起至2024年6月25日</t>
  </si>
  <si>
    <t>2024年7月7日-9日（拟，具体时间以入营通知为准）</t>
  </si>
  <si>
    <t>申请材料要求电子扫描版：
1. 南方医科大学优秀大学生夏令营申请表（需系统填写导出后签字盖章）；
2. 个人简历；
3. 成绩单及同年级总成绩排名表原件扫描件（需所在高校教务部门盖章）；
4. 英语水平证明（四六级或其他（如TOEFL/ITELS)外语成绩证明）扫描件；
5. 学生证、身份证（正反面）扫描件；
6. 其他证明材料（如已发表的学术论文、获奖证书、科研项目立项等）。</t>
  </si>
  <si>
    <t>我院为营员提供夏令营期间免费食宿（本校学生不提供住宿），交通费营员自理。</t>
  </si>
  <si>
    <t>口腔医学院（调整通知）</t>
  </si>
  <si>
    <t>（修改后）2024年7月9日-7月12日</t>
  </si>
  <si>
    <t>夏令营采用线上方式，活动包括云览校园，开营仪式，学校、学院及学科介绍，师生线上座谈，综合素质考核等（具体安排后续通知）。</t>
  </si>
  <si>
    <t>6月7日-6月19日</t>
  </si>
  <si>
    <t>2024年7月4日-6日</t>
  </si>
  <si>
    <t>1.本科在读期间成绩单。
2.英语CET-4/6成绩单或其他相应外语水平证明。
3.各类获奖证书、已发表论文等其他证明材料。
4.学信网的教育部学籍在线验证报告。
5.中国海洋大学2024年优秀大学生暑期夏令营申请表（附件2）。</t>
  </si>
  <si>
    <t>被评为优秀营员的考生，如获得所在学校推荐免试研究生资格，且在教育部推免申报系统中以第一志愿报考我校，根据本人志愿，将优先进入推免生选拔名单。</t>
  </si>
  <si>
    <t>第一天：下午(14:00-18:00)学员报到登记，入住酒店。
第二天：开营仪式，师生互动，实验室参观，闭营离院。
初步日程安排详见附件。</t>
  </si>
  <si>
    <t>6月19日前</t>
  </si>
  <si>
    <t>请将所有证明材料原件按以下顺序扫描并整合成PDF（不超过10M）后，在网申系统“附件”中上传，文件名为“报名二级招生单位-报名学科（内外科请精确到三级学科）-姓名-所在本科院校”（示例：第二临床医学院-内科学（心血管病）-张三-XX大学）；
   （1）个人身份证（正反面）；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</si>
  <si>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入选营员请自行预定来杭车票（单程），我院负责报销外地学生的汽车或火车硬席、动车/高铁二等座额度的交通费（交通费报销上限800元），杭州高校学生交通自理</t>
  </si>
  <si>
    <t>——锡医学院</t>
  </si>
  <si>
    <r>
      <t>7月15日下午</t>
    </r>
    <r>
      <rPr>
        <sz val="28"/>
        <color rgb="FF000000"/>
        <rFont val="Arial"/>
        <family val="2"/>
      </rPr>
      <t xml:space="preserve">	</t>
    </r>
    <r>
      <rPr>
        <sz val="28"/>
        <color rgb="FF000000"/>
        <rFont val="微软雅黑"/>
        <family val="2"/>
        <charset val="134"/>
      </rPr>
      <t>开营仪式、医学院参观、学科介绍</t>
    </r>
    <r>
      <rPr>
        <sz val="28"/>
        <color rgb="FF000000"/>
        <rFont val="Arial"/>
        <family val="2"/>
      </rPr>
      <t xml:space="preserve">	</t>
    </r>
    <r>
      <rPr>
        <sz val="28"/>
        <color rgb="FF000000"/>
        <rFont val="微软雅黑"/>
        <family val="2"/>
        <charset val="134"/>
      </rPr>
      <t>医学院
7月16日上午</t>
    </r>
    <r>
      <rPr>
        <sz val="28"/>
        <color rgb="FF000000"/>
        <rFont val="Arial"/>
        <family val="2"/>
      </rPr>
      <t xml:space="preserve">	</t>
    </r>
    <r>
      <rPr>
        <sz val="28"/>
        <color rgb="FF000000"/>
        <rFont val="微软雅黑"/>
        <family val="2"/>
        <charset val="134"/>
      </rPr>
      <t>附属医院参观、学科介绍</t>
    </r>
    <r>
      <rPr>
        <sz val="28"/>
        <color rgb="FF000000"/>
        <rFont val="Arial"/>
        <family val="2"/>
      </rPr>
      <t xml:space="preserve">	</t>
    </r>
    <r>
      <rPr>
        <sz val="28"/>
        <color rgb="FF000000"/>
        <rFont val="微软雅黑"/>
        <family val="2"/>
        <charset val="134"/>
      </rPr>
      <t>江南大学附属医院
7月16日下午</t>
    </r>
    <r>
      <rPr>
        <sz val="28"/>
        <color rgb="FF000000"/>
        <rFont val="Arial"/>
        <family val="2"/>
      </rPr>
      <t xml:space="preserve">	</t>
    </r>
    <r>
      <rPr>
        <sz val="28"/>
        <color rgb="FF000000"/>
        <rFont val="微软雅黑"/>
        <family val="2"/>
        <charset val="134"/>
      </rPr>
      <t>附属中心医院参观、学科介绍</t>
    </r>
    <r>
      <rPr>
        <sz val="28"/>
        <color rgb="FF000000"/>
        <rFont val="Arial"/>
        <family val="2"/>
      </rPr>
      <t xml:space="preserve">	</t>
    </r>
    <r>
      <rPr>
        <sz val="28"/>
        <color rgb="FF000000"/>
        <rFont val="微软雅黑"/>
        <family val="2"/>
        <charset val="134"/>
      </rPr>
      <t>江南大学附属中心医院
7月17日上午</t>
    </r>
    <r>
      <rPr>
        <sz val="28"/>
        <color rgb="FF000000"/>
        <rFont val="Arial"/>
        <family val="2"/>
      </rPr>
      <t xml:space="preserve">	</t>
    </r>
    <r>
      <rPr>
        <sz val="28"/>
        <color rgb="FF000000"/>
        <rFont val="微软雅黑"/>
        <family val="2"/>
        <charset val="134"/>
      </rPr>
      <t>面试综合考核、闭营仪式</t>
    </r>
    <r>
      <rPr>
        <sz val="28"/>
        <color rgb="FF000000"/>
        <rFont val="Arial"/>
        <family val="2"/>
      </rPr>
      <t xml:space="preserve">	</t>
    </r>
    <r>
      <rPr>
        <sz val="28"/>
        <color rgb="FF000000"/>
        <rFont val="微软雅黑"/>
        <family val="2"/>
        <charset val="134"/>
      </rPr>
      <t>医学院</t>
    </r>
  </si>
  <si>
    <t>2024年6月11日--2024年6月23日</t>
  </si>
  <si>
    <t>2024年7月15日-7月17日</t>
  </si>
  <si>
    <t>（1） 携带本人身份证、学生证供核验；
（2） 交学生证复印件；
（3） 交《江南大学全国优秀大学生暑期夏令营申请表》原件；
（4） 交本科成绩单原件（盖章版）。</t>
  </si>
  <si>
    <t>活动期间食宿学院统一安排</t>
  </si>
  <si>
    <t>优秀营员证书将作为我校2025年硕士研究生录取的参考条件之一</t>
  </si>
  <si>
    <t>英语水平良好，达到国家英语六级或相当水平</t>
  </si>
  <si>
    <t>具体活动时间和形式另行通知</t>
  </si>
  <si>
    <t>6月11日00:00-6月25日00:00。</t>
  </si>
  <si>
    <t>1. 夏令营申请表（可于系统导出打印），填写后学校教务处或院系相关负责人签字盖章；
2. 申请人个人陈述（包括兴趣爱好、性格特点、学习科研经历、报名的具体研究方向/导师），需在最后手写签名（个人陈述模板可在夏令营申请系统中下载）；
3. 本科历年成绩单1份，须加盖所在学校或学院教务部门公章；
4. 英语六级水平证书或相关英语成绩证明；
5. 成绩排名证明（含专业成绩排名和综合成绩排名，由学校教务部门盖章或院系出具证明）；
6. 其他有关能力的证明材料（如：发表论文、专利，各类获奖等）；
7. 两位副教授或以上专家的推荐信（模板可在夏令营申请系统中下载，须专家签字确认）；
8. 声明（可在系统中下载模板）。请将所有申请材料按照上文“二、申请材料”的顺序合并成一个PDF附件在报名系统上传，命名为“姓名+学校+申报专业名称”。同时，请单独上传1张1寸证件照（JPG格式，小于300kb），命名为“姓名+申报专业名称”。</t>
  </si>
  <si>
    <t>学院为营员提供活动期间的餐补，并将在优秀营员入学后对其在夏令营期间的部分住宿和交通费用进行资助</t>
  </si>
  <si>
    <t>（1）全国大学英语六级考试（CET-6）成绩480 分及以上（证书上考试时间需为2020年9月1日之后）；
（2）托福（TOEFL）考试成绩 90 分及以上（有效期内）；
（3）雅思（IELTS）成绩 6.0 分及以上（有效期内）；</t>
  </si>
  <si>
    <t xml:space="preserve"> 本夏令营活动原则上只进行招生宣传</t>
  </si>
  <si>
    <t>6月20日09:00前</t>
  </si>
  <si>
    <t>（1）个人身份证（正反面在一页显示）；
（2）本科成绩单（须加盖学校教务处或院系公章）；
（3） 总评成绩排名证明（应包含所学专业同年级人数，须加盖学校教务处或院系公章）；
（4）外语水平证明材料：CET-6、雅思、托福、专业外语成绩等；
（5）其他材料：如已发表论文、各类获奖或资格证书等。</t>
  </si>
  <si>
    <t>入选的杭州市外高校营员我院将统一安排酒店住宿，杭州高校营员不提供住宿；
4.    交通费：入选营员请自行预定车票，我院负责报销杭州市外高校营员来杭的汽车或火车硬席、动车/高铁二等座额度单程交通费（报到时请提供纸质车票，交通费报销上限800元），杭州高校营员交通费自理。</t>
  </si>
  <si>
    <t>只进行招生宣传</t>
  </si>
  <si>
    <t>2024年7月20日前后，具体举办时间另行通知。</t>
  </si>
  <si>
    <t>2024年6月25日。</t>
  </si>
  <si>
    <t xml:space="preserve"> 未知</t>
  </si>
  <si>
    <t>1、网上报名后生成的表格打印后本人签字；
    2、 前3年半成绩单与总评成绩排名证明（有学校教务部门或所在院系公章）；
    3、其他能体现自身能力的材料：获奖证书复印件、英语水平证明、学术论文、参与项目证明等（非必要，如有，请提供）。
以上所有申请材料请按序号顺序依次扫描后制作成一个PDF文件中，上传至网络报名系统（未上传将视为报名材料不完整）。
    请自觉保证提供材料的真实性。营员报到时需携带纸质申请材料（其中成绩单和排名证明必须为原件），夏令营组委会将会对材料进行复核，如有不实将取消录取资格。</t>
  </si>
  <si>
    <t>齐鲁医院（第一临床学院）</t>
  </si>
  <si>
    <t>系统开放时间为6月12日，截止时间为6月30日</t>
  </si>
  <si>
    <t>7月中下旬举行。（具体请关注后续通知）</t>
  </si>
  <si>
    <t>a.2024年优秀大学生暑期夏令营申请表（附件），须本科院校或实习医院教务部门盖章，且同意参营；
b.截止报名时间前的本科阶段成绩单，需出具成绩单的教务部门盖章；
c.语言成绩证明，如大学生英语四、六级考试成绩，TOEFL成绩，IELTS成绩，GRE成绩等能体现外语水平的证明；
d.科研成果、奖励等证明材料，申请人可提交体现自身学术水平的代表性学术论文、出版物或原创性工作成果及获奖证书。</t>
  </si>
  <si>
    <t>医院将为入选的外地营员提供夏令营期间的食宿，报销往返交通费用（汽车或火车硬席、动车/高铁二等座额度）；根据山东大学财务部要求，往返车票的时间必须为夏令营期间，由本科学校所在地至山东济南往返，外地营员请自行预订往返车票，活动结束后在规定时间内邮寄车票至医院。济南市区院校营员不负责交通费用及住宿。</t>
  </si>
  <si>
    <t>在校学科成绩优异</t>
  </si>
  <si>
    <t>具体活动安排将提前在网站发布，不再以电话方式通知，请大家及时关注按时参加</t>
  </si>
  <si>
    <t>2024年06月12日00:00-2024年06月24日00:00</t>
  </si>
  <si>
    <t>（一）前四学年的成绩单（需单位盖章）；
（二）获奖证书（扫描成一个PDF）；
（三）国家英语四、六级考试成绩等体现自身英语水平的证明1份；
（四）体现自身学术水平的代表性学术论文、出版物或原创性工作成果。</t>
  </si>
  <si>
    <t>将举办包括学科专业介绍、专家学术讲座、研究生座谈等多种形式的活动。</t>
  </si>
  <si>
    <t>6月12日10:00-6月25日10:00</t>
  </si>
  <si>
    <t>预计30名</t>
  </si>
  <si>
    <t>1、基础医学院夏令营申请表。
2、本科阶段成绩单、年级专业成绩排名证明（需由学校教务部门或所在院系盖章）。
3、语言成绩证明，如国家英语四、六级考试成绩，TOEFL成绩，IELTS成绩，GRE等能体现外语水平的证明。
4、科研成果、奖励等证明材料，申请人可提交体现自身学术水平的代表性学术论文、出版物或原创性工作成果及获奖证书。
请将上述材料的扫描件合并成一个PDF文档以附件形式在报名系统提交。</t>
  </si>
  <si>
    <t>学习成绩排名前列，能够获得所在学校推荐免试资格，并且满足山东大学公共卫生学院接收2025级推荐免试研究生的标准。</t>
  </si>
  <si>
    <t>截止时间为6月20日17：00。</t>
  </si>
  <si>
    <t>1.夏令营暂定通过线上腾讯会议进行。
2.时间暂定为7月上旬，具体日程详见后续通知。</t>
  </si>
  <si>
    <t>爱丁堡大学联合学院（ZJE）</t>
  </si>
  <si>
    <t>英语成绩良好，国家英语六级水平考试480分以上或TOEFL80分以上或雅思6.0分以上成绩者优先考虑。</t>
  </si>
  <si>
    <t>暑期夏令营日程安排待后续通知。</t>
  </si>
  <si>
    <t>2024年5月25日至6月25日</t>
  </si>
  <si>
    <t>约30人</t>
  </si>
  <si>
    <t>（1）本科阶段成绩单，加盖教务部门公章；
    （2）学校或院系出具的成绩排名证明，加盖教务部门或院系公章；
    （3）英语水平的证明材料；
    （4）其他重要证明材料包括能体现自身学术水平的学术论文、出版物或原创性工作成果、获奖证书等材料；
    上述材料压缩为ZIP文件（不超过10M）后，在网申系统的“成绩单附件及证明材料”中上传。</t>
  </si>
  <si>
    <t>入营学生，学院承担在校区期间食宿，交通费用自理</t>
  </si>
  <si>
    <t>第二临床学院（山东大学第二医院）</t>
  </si>
  <si>
    <t>开放时间为6月12日，截止时间为 6月30日</t>
  </si>
  <si>
    <t>1.材料清单
a.2024年优秀大学生暑期夏令营申请表（附件），须本科院校或实习医院教务部门盖章，且同意参营；
b.截止报名时间前的本科阶段成绩单，需出具成绩单的教务部门盖章；
c.语言成绩证明，如大学生英语四、六级考试成绩，TOEFL成绩，IELTS成绩，GRE成绩等能体现外语水平的证明；
d.科研成果、奖励等证明材料，申请人可提交体现自身学术水平的代表性学术论文、出版物或原创性工作成果及获奖证书。
2.提交要求
把上述材料a.b.c.d描件合并成一个完整的PDF文档，以“山大二院+姓名”将其命名，并上传至夏令营系统；
注意：在截止日期前完成系统报名及提交材料方算报名成功。申请材料如有虚假，将取消申请人由此获得的一切利益，并保留追究申请人责任的权利。</t>
  </si>
  <si>
    <t>夏令营期间，我院将为营员提供食宿，为非本地营员提供交通费用（高校或家庭所在城市至济南的往返普通火车硬卧、硬座车票、高铁动车二等座车票）。家庭住址或本科院校在济南本地的营员一般情况不安排住宿。外地学员请自行预订往返车票，并保留好车票原件于返回后寄回。</t>
  </si>
  <si>
    <t>本科学习期间成绩优秀，综合素质高；</t>
  </si>
  <si>
    <t>英语水平良好，具备利用英语进行科研、写作以及交流的能力；</t>
  </si>
  <si>
    <t>具体活动时间和形式另行通知。活动内容主要包括学院总体概览、学科专业介绍、师生交流、优秀营员选拔等。请有意参加夏令营的同学仔细阅读以下通知，并按照通知要求完成报名和材料提交事宜。</t>
  </si>
  <si>
    <t>开放时间为6月12日00:00，网上申报截止时间为6月26日00:00，需要将纸质版材料于2024年6月26日00:00前以EMS邮寄</t>
  </si>
  <si>
    <t>1. 夏令营申请表1份（进入zs.bjmu.edu.cn夏令营申请系统填写，填报完成后，即可在系统中下载，本人亲笔签字）。申请表须由申请人所在学校教务处或院系负责人签字盖章，不能使用电子签名或人名章；
2.申请人个人陈述1份(夏令营申请系统中下载填写，须由申请人亲笔签名）；
3.本科历年成绩单1份，须加盖申请人所在学校教务部门公章；
4.国家英语四级、六级考试成绩、TOEFL成绩、IELTS成绩、GRE成绩等体现自身英语水平的证明1份（官方认证的纸质成绩单复印件）；
5.申请人在本科学习期间成绩排名证明1份；
6.其他有关能力的证明材料(如：发表论文、专利，各类获奖等)；
7.专家推荐信2封（副教授或以上相关专业专家，推荐信模板可在夏令营申请系统中下载，须由专家本人亲笔签字）；
8. 声明（夏令营申请系统中下载模板）；
上述材料中，除第6项由申请人依据自身实际情况提交，其余7项均为必须提交材料。申请人须保证所提交材料真实有效，若有虚假将取消入营资格与后续活动报名资格，后果由申请人本人承担。</t>
  </si>
  <si>
    <t>学院为营员提供活动期间的餐补</t>
  </si>
  <si>
    <t>子科技大学</t>
  </si>
  <si>
    <t>① 即日-6月25日：网上报名，提交材料
② 6月26日-7月1日：学院审核报名材料，公布入营营员名单
③ 7月10日：营员报道
④ 7月11日：开营仪式，学院负责人及各团队介绍学科发展现状、科研成果、师资队伍、科研平台等，学校及学院实验室参观
⑤ 7月12日：与各团队专家、教授进行座谈、交流，综合测评选拔优秀营员、结营仪式。
注：本日程为拟定计划，如有调整以最新通知为准。</t>
  </si>
  <si>
    <t>即日-2024年6月25日</t>
  </si>
  <si>
    <t>2024年7月11日-12日</t>
  </si>
  <si>
    <t>拟招收50人，入营人数根据生源与申请情况适当调整</t>
  </si>
  <si>
    <t>1．电子科技大学2024年优秀大学生暑期夏令营活动申请表（报名成功后系统自动生成，签字盖章后扫描）；
2．个人简历1份；
3．本科阶段前五个学期成绩单，须由院系教务部门盖章并扫描；
4．体现学习和研究能力的相关证明材料（如国家英语四、六级证书、已发表学术论文、出版物或原创性工作成果、各类获奖或资格证书等）。</t>
  </si>
  <si>
    <t>学院为入营学生提供夏令营期间的校内餐食，往返差旅费、住宿费和其他费用自理</t>
  </si>
  <si>
    <t>优秀营员获得者，若获得所在本科学校推免资格且符合我校推免生接收条件，并在教育部推免系统中第一志愿填报获得“优秀营员”对应专业的硕士研究生，学院将优先推荐拟录取，按照接收规模从高分到低分择优录取，额满为止。</t>
  </si>
  <si>
    <t>本次夏令营暂定7月9日—11日（如有变动另行通知，请关注基础医学院网站）通过网络会议线上举行。主要的内容包括：开营仪式、基础医学院各专业研究方向介绍、各专业研究方向组织线上面试遴选“优秀营员”并网上公示。夏令营不收取报名费。</t>
  </si>
  <si>
    <t>2024年6月11日至7月7日</t>
  </si>
  <si>
    <t>暂定7月9日—11日（如有变动另行通知，请关注基础医学院网站）</t>
  </si>
  <si>
    <t xml:space="preserve">1.《华中科技大学基础医学院2024年暑期夏令营申请表》1份（见附件1）；
2.个人简历1份；
3.本科阶段成绩单（由教务部门盖章）1份，有条件的可提供院系或导师推荐意见（见附件2）；
4.获奖及各类证书扫描文件各1份；
5.国家英语四、六级考试成绩或TOEFL成绩或GRE/GMAT成绩等体现英语水平的证明1份；
6.体现自身学术水平的代表性论文、出版物或原创性工作成果(如专利、发明、制作、软件等)。
</t>
  </si>
  <si>
    <t xml:space="preserve">“优秀营员”在取得本科生源学校的推荐免试资格后，可依据优秀营员公示顺序提前预留推免研究生（包括学术型硕士研究生和直博生）录取指标，并在我院正式推免录取中优先选择导师。“优秀营员”未取得本科生源学校的推荐免试资格，在研究生国家统一招生考试报考我院者，如录取后可优先选择导师。
</t>
  </si>
  <si>
    <t>学习成绩优秀，对护理学科的科研活动具有浓厚的学习兴趣，具有一定科研潜能；</t>
  </si>
  <si>
    <t>英语通过国家四、六级水平考试，或TOEFL、GRE成绩优秀。</t>
  </si>
  <si>
    <t>6月26日中午12：00</t>
  </si>
  <si>
    <t>1.护理与康复学院夏令营报名申请表；
2.加盖学院或教务部门盖章的本科成绩单及专业排名证明；
3.其他证明材料（如获奖证书，国家英语四、六级考试成绩或TOEFL、GRE成绩等体现自身英语水平的证明，还可提交已发表的学术论文或原创性工作成果）。</t>
  </si>
  <si>
    <t>为营员提供夏令营期间在济南的住宿和部分时间段的就餐（济南市区学校学生不提供住宿），报销两个学校之间往返的高铁二等或硬座火车票。</t>
  </si>
  <si>
    <t>学习成绩优秀，专业成绩和综合成绩均名列本专业前茅，在校期间没有受过纪律处分；</t>
  </si>
  <si>
    <t>本次夏令营将采用线下形式。活动期间将举办学术讲座、专业介绍、师生交流、参观实验室、参观校园、营员考核等活动；搭建同学们与导师们交流沟通的平台，向广大学子全面展示学院的优势特色，同时促进各高校学子间的交流，增进彼此了解，架设友谊桥梁。</t>
  </si>
  <si>
    <t>截止时间为2024年6月20日</t>
  </si>
  <si>
    <t>2024年7月9日—11日</t>
  </si>
  <si>
    <t>（1）《吉林大学2024年夏令营报名表》，（由报名系统中填报生成）；
（2）由教务处或所在院系开具的成绩单与总评成绩排名证明；
（3）成绩单一份，需加盖教务部门公章；
（4）个人简历一份，——特殊格式要求；
（5）外语水平证明（英语四、六级证书等）及其它获奖证明材料。
以上1-5项材料按顺序扫描汇总后形成pdf文件，文档命名格式：学校-姓名-报考专业，通过链接提交（链接：https://www.wjx.cn/vm/mhtA0Rx.aspx# ）提交申请截止时间：2024年6月20日。</t>
  </si>
  <si>
    <t>夏令营期间，我院将为营员提供午餐，为非本地营员提供交通费用（高校或家庭所在城市至长春的往返普通火车硬卧、硬座车票、高铁动车二等座车票）和安排住宿。家庭住址或本科院校在长春本地的营员一般情况不安排住宿。</t>
  </si>
  <si>
    <t>西南交通大学</t>
  </si>
  <si>
    <t>学业成绩年级排名居所在专业前30%，理论知识扎实，专业能力强</t>
  </si>
  <si>
    <t>英语水平优秀，国家英语四级考试425分以上，或TOEFL、IELTS、GRE等考试成绩较好</t>
  </si>
  <si>
    <t>学院及学科介绍、学术报告、实验室参观、校区及附属医院参观、营员与导师交流等活动，具体安排，以报到时领取的营员手册为准。</t>
  </si>
  <si>
    <t>2024年6月28日前</t>
  </si>
  <si>
    <t>2024年7月10日-7月12日</t>
  </si>
  <si>
    <t>1.学生证（封面及个人信息页）和身份证（正反面）电子扫描件；
2.临床医学前七学期成绩单、其他专业前五学期成绩单需加盖学院（或学校）相关部门印章；
3.个人成绩专业排名证明电子扫描件（应包含专业总人数），需加盖学院相关部门印章；
4.英语水平证明材料（如国家英语四、六级考试成绩，TOEFL成绩，GRE/GMAT成绩，雅思成绩等）；营员报到时，请提交一下纸质材料：
①身份证（正反面）及学生证（封面及个人信息页）复印件；
②往返车票（原件）；
③车票单张票面价格超过1000元，需提交支付记录截图打印件；
④《西南交通大学医学院2024年优秀大学生暑期学术夏令营安全承诺书》
5.获奖证书、科研成果、公开发表的论文等的电子扫描件（可选）。</t>
  </si>
  <si>
    <t>1.可为非成都地区的营员提供住宿；
2.资助外地营员交通费，原则上只报销往返硬座火车票、动车二等票或汽车票费用，飞机票按硬座或动车二等座价格折算后报销，请妥善保管报销凭证，报到时提交。
3.报销车票时间仅从2024年7月10日（含）至2024年7月12日（含），车票区间应为学生本科学校所在地到成都。（财务报销要求：往返必须为闭环模式，即起点和终点必须一致，例如重庆 成都）
4.为参营学员购买夏令营活动期间的人身意外伤害保险。</t>
  </si>
  <si>
    <t xml:space="preserve">
1.取得夏令营结业资格的学生，如当年获得所在学校的硕士研究生推荐免试资格，并符合当年我校接收推荐免试研究生拟录取条件的，可直接拟录取为我校免试研究生；如未获得所在学校的研究生推荐免试资格，参加全国硕士研究生统一入学考试，并第一志愿报考我院相关专业，在同等条件下，可优先录取。
2.取得夏令营优秀营员资格的学生，如当年获得所在学校的硕士研究生推荐免试资格，并符合当年我校接收推荐免试研究生拟录取条件的，可直接拟录取为我校免试研究生，同时在评选首年度学业奖学金时，在学院一等奖学金名额指标范围内，直接给予一等学业奖学金。</t>
  </si>
  <si>
    <t>妇儿与生殖健康研究院暨山东大学附属生殖医院</t>
  </si>
  <si>
    <t>开放时间为6月12日，截止时间为6月25日。</t>
  </si>
  <si>
    <t>1.材料清单
a.2024年优秀大学生暑期夏令营申请表（附件）；
b.截止报名时间前的本科阶段成绩单，需出具成绩单的教务部门盖章；
c.语言成绩证明，如大学生英语四、六级考试成绩，TOEFL成绩，IELTS成绩，GRE成绩等能体现外语水平的证明；
d.科研成果、奖励等证明材料，申请人可提交体现自身学术水平的代表性学术论文、出版物或原创性工作成果及获奖证书。
2.提交要求
把上述材料a.b.c.d.的扫描件合并成一个完整的PDF文档，以“生殖医院+姓名+夏令营报名材料”将其命名；
注意：在截止日期前完成系统报名及提交材料方算报名成功。申请材料如有虚假，将取消申请人由此获得的一切利益，并保留追究申请人责任的权利。</t>
  </si>
  <si>
    <t>医院将为入选的外地营员提供夏令营期间的食宿，报销部分往返交通费用（汽车或火车硬席、动车/高铁二等座额度），外地营员请自行预订往返车票。济南市区院校营员不负责交通费用及住宿。</t>
  </si>
  <si>
    <t>医学前沿科学中心</t>
  </si>
  <si>
    <t>学习成绩优秀，本科期间综合成绩年级排名原则上要求为：双一流建设高校年级成绩前30%，行业特色院校成绩排名前10%；直博生申请条件：
（1）取得推免资格；
（2）双一流建设高校优秀2025届本科毕业生；
（3）学习成绩优秀，本科期间综合成绩年级排名前20%；
（4）外语水平达到CET6≥480分，或托福TOEFL网考≥90分，或雅思IELTS考试≥6.0分</t>
  </si>
  <si>
    <t>全国大学外语四级水平考试成绩优良（480分以上），或全国大学外语六级水平考试成绩合格（425分及以上），或TOEFL、GRE等考试成绩优秀者；直博生申请条件：
（1）取得推免资格；
（2）双一流建设高校优秀2025届本科毕业生；
（3）学习成绩优秀，本科期间综合成绩年级排名前20%；
（4）外语水平达到CET6≥480分，或托福TOEFL网考≥90分，或雅思IELTS考试≥6.0分</t>
  </si>
  <si>
    <t>夏令营期间将进行一系列活动，如中心宣传与学科介绍、实验室参观、科研平台与团队介绍、营员与导师交流、优秀学长沙龙、推免与考研政策介绍等活动。同时组织拟推免我校研究生的营员进行提前考核，考核优秀的营员、获得推免资格且满足学校接收推免生条件者，在推免系统及时响应填报我校即可免复试予以录取。</t>
  </si>
  <si>
    <t>截止日期为2024年7月1日</t>
  </si>
  <si>
    <t>2024年7月15日-17日</t>
  </si>
  <si>
    <t>1、申请表（报名成功后由系统自动生成，下载打印经所在单位推荐盖章后再上传至系统更新）；
2、本科成绩单和专业排名证明（各1份；院、校两级教务部门盖章均可）；
3、大学英语四/六级成绩单、TOEFL、GRE成绩单等英语成绩证明材料；
4、其他综合素质能力的证明材料（如发表论文、专利、荣誉获奖证书等的复印件）。
5、个人简历（1-2页）
请确保材料的真实性，如有虚假，我中心将取消其一切录取资格。</t>
  </si>
  <si>
    <t>本次夏令营不收取费用，对成功推免到我中心的校外推免生，报销夏令营活动期间本科院校所在城市至成都的往返火车票价，报销标准参照学校相关规定执行（火车硬卧或二等座标准），金额不超过1000元/人，需报销者请妥善保管票据和支付记录，预计10月通知邮寄回中心。</t>
  </si>
  <si>
    <t>参加夏令营复试考核优秀的营员，如获得所在本科院校2025年推荐免试资格，在全国推免服务系统（预计9月中下旬）开放后及时响应填报我中心，且填报专业与夏令营申请专业一致，可被我中心免复试录取为推荐免试研究生。届时请关注中国研究生招生信息网、我校研究生招生网的相关通知。</t>
  </si>
  <si>
    <t>全国985、211高校及双一流建设高校2025年应届本科毕业生</t>
  </si>
  <si>
    <t>.英语水平良好，具备利用英语进行科研、写作以及交流的能力；</t>
  </si>
  <si>
    <t xml:space="preserve"> 学校参观、师生座谈会、营员风采展示、学术交流等（具体活动安排及日程以后续正式通知为准）。</t>
  </si>
  <si>
    <t>即日起至2024年6月23日23：59。</t>
  </si>
  <si>
    <t>2024年7月2日（周二）至7月3日（周三）（7月1日报到）</t>
  </si>
  <si>
    <t>（报名者应保证提交的所有电子材料的真实性、有效性、完整性）
1.北京协和医学院护理学院2024年夏令营申请表（文末二维码下载）；
2.本科历年成绩单证明材料，须盖所在大学教务处公章；
3.本科专业总评成绩排名证明材料，须盖所在大学教务处公章；
4.全国大学英语六级（CET-6）考试成绩或相关英语成绩证明（TOEFL、IELTS、GRE成绩等）；
5.其他有关能力的证明材料（如发表论文、专利、各类获奖证书等）；
6.学生证扫描件；
7.个人简历电子版；</t>
  </si>
  <si>
    <t>本次夏令营活动为全体营员提供食宿，往返交通费需自理；</t>
  </si>
  <si>
    <t>本次夏令营将根据夏令营的表现评选出优秀营员，优秀营员在后期推免招生中优先录取；</t>
  </si>
  <si>
    <t>本科三年级在校生（2025年应届毕业生）：目前本科前5个学期总成绩排名原则上在所读学校同年级本专业前30％之内者（在其它方面有突出表现的学生除外），已经获得或即将获得所在高校推荐免试生资格者优先；</t>
  </si>
  <si>
    <t>具有良好的英语听、说、读、写能力，通过全国大学生英语六级考试（成绩不低于426分）</t>
  </si>
  <si>
    <t>主要活动有：校园与实验室参观学者讲座、学科带头人及研究生导师与营员交流等，同时还将安排优秀营员考核工作。</t>
  </si>
  <si>
    <t>2024年6月25日前</t>
  </si>
  <si>
    <t>80人左右（含校内及校外）</t>
  </si>
  <si>
    <t>1、《中山大学生物医学工程学院优秀大学生、研究生夏令营申请表》（附件1）一份；
2、个人陈述材料（关于曾经做过的研究工作以及未来学习和研究的计划、目标等，不少于1500字）；
3、本科生提供本科阶段成绩单和前5个学期（或前三学年）总评成绩排名证明（由学校或学院教务部门盖章，成绩排名证明模板见附件2）；硕士生提供硕士课程学习成绩单（需就读学校的教务或研究生主管部门盖章，成绩排名证明模板见附件2）
4、外语水平证明材料（如国家英语四级或六级考试成绩、TOEFL成绩、GRE成绩、雅思成绩等复印件）。
5、学生证复印件1份（将个人信息页和注册信息页复印在1张A4纸上）；
6、身份证复印件1份（将正反面复印在1张A4纸上）；
7、其他证明材料，包括但不限于：获奖证书、专利证书，发表的、能体现自身学术水平的学术论文（已发表论文提供期刊目录、论文首页）、出版物或原创性工作成果材料等；
8、承诺书（附件3）；
以上材料1-8请按照顺序汇总成一份PDF文件（不超过5M），文件名称为：2024夏令营+姓名+就读学校（本科/硕士），例“2024夏令营_赵小明_中山大学（硕士）”。2、纸质材料查验：
申请人须将按申请材料顺序装入A4信封，信封正面写明“就读学校（本科/硕士）”，获得营员资格的学生须于7月3日前通过顺丰向我院寄送纸质申请材料（地址见第六点），材料不合格者将取消营员资格。</t>
  </si>
  <si>
    <t>免费为参营学生提供用餐、住宿和交通补助</t>
  </si>
  <si>
    <t>通过夏令营活动遴选优秀营员，其结果将作为推荐免试攻读中山大学生物医学工程学院研究生和公开招考“申请-考核制”博士的基本依据之一。</t>
  </si>
  <si>
    <t>限2025年毕业的应届本科生。具有或者可能获得保研资格，来源于“985工程”，“双一流”大学，第四轮学科评估B+及以上者优先；
2.品学兼优，在学期间平均成绩在85分以上且——不及格科目；</t>
  </si>
  <si>
    <t xml:space="preserve">     夏令营系列活动采取线上和线下相结合的方式，包括两个主要活动：
&gt;&gt;&gt;师生见面会（线上）
——7月5日至7月16日
师生见面会分学科举办，帮助学生深入了解学科和导师的科研方向，同时也提供学生自我展示的机会。各学科根据学生申报的第一志愿，遴选并邀请报名学生中优秀者进入师生见面会环节。师生见面会是确定入营学员的重要环节。
&gt;&gt;&gt;夏令营（现场）
——7月25日至7月27日
计划录取营员200人左右。夏令营活动包括开营式、合影、校园游、能力测试、评选优秀营员等，提供学生和导师面对面交流机会。被录取的营员名单将于7月18日在我院官网上公布，夏令营期间提供免费食宿。
</t>
  </si>
  <si>
    <t>2024年6月17日至6月26日24:00</t>
  </si>
  <si>
    <t>师生见面会（线上）为7月5日至7月16日，夏令营（现场）为7月25日至7月27日</t>
  </si>
  <si>
    <t>200人左右。</t>
  </si>
  <si>
    <t>1.个人证件照片（限100K内）;
2.成绩单（须加盖院系或学校教务部门公章）；
3.总评成绩排名证明（须加盖院系或学校教务部门公章）；
4.国家英语四六级考试、托福、雅思、GRE等英语水平的成绩证明；
5.荣誉与奖励证书复印件；
6.发表文章（只需文章首页并标出作者）；
7.原创性工作成果；
8.专家推荐信1-2封，需副教授以上职称专家亲笔签字。
注：以上申请材料第1项jpg格式在报名系统上传，第2-8项请通过扫描等方式处理生成一份PDF格式的电子文件在报名系统中上传，文件名为：姓名+目前所在专业+所在高校，PDF文件大小在8M以内。其中1-4项为必需提供项，5-8项为选择性提供项。各申请人务必保证所提交申请材料的真实性和准确性，若有虚报、谎报等不端行为，一经查实，将取消入营资格。</t>
  </si>
  <si>
    <t>附属北京安贞医院</t>
  </si>
  <si>
    <t>①线下主体活动：7月底，具体时间另行通知。活动内容：深入了解学院培养特色、学科优势、科研实力与师资力量，亲身感受学院文化、学术氛围。开营欢迎仪式、医院参观、学科团队宣讲、师生座谈会、线下活动闭营仪式等。
②结营考核：学院将采取不同方式对学生进行全面考核，并根据考核成绩评出“优秀营员”及“合格营员”。具体考核时间、考核内容、考核方式、评选办法等以学院后续通知为准。</t>
  </si>
  <si>
    <t>报名时间后续另行通知，可关注【安贞教育处】公众号，接收相关通知。</t>
  </si>
  <si>
    <t>约120人</t>
  </si>
  <si>
    <t>住宿：由医院统一安排入住宾馆，双人标准间。
餐饮：由医院食堂提供（每日三餐）。交通：城市间：高铁二等座/火车硬座票（按实际票面价格报销，需提供纸质车票）。
城市内：不予报销。</t>
  </si>
  <si>
    <t>英语水平须达到CET6≥425或TOEFL≥90或IELTS≥6.0。</t>
  </si>
  <si>
    <t>时间：2024年7月12日（周五）-7月15日（周一）
地点：上海市黄浦区重庆南路227号（上海交通大学医学院）
7月12日营员报到
7月13日开营式、学院介绍、专题报告、院史馆参观、市内参观
7月14日-15日上午以招生方向为单位开展科研实训、交流活动，夏令营考核
7月15日下午退房、办理退营手续</t>
  </si>
  <si>
    <t>6月27日（周四）12：00</t>
  </si>
  <si>
    <t>2024年7月12日-15日</t>
  </si>
  <si>
    <t>1、《上海交通大学基础医学院2024年全国优秀大学生夏令营报名登记表》（报名系统生成，本人签字）；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5、两位副高（含）以上职称的专家推荐信（请使用报名系统中的模板）；
6、其他证明材料扫描件（国家英语四、六级等各类英语考试成绩单、获奖或资格证书、论文著作等）各1份。
注：身份证和学生证须准备原件用于核验；所有材料的电子版/扫描件请按要求上传报名系统；夏令营入围同学请准备全套纸质版材料，入营后提交给各系招生秘书。</t>
  </si>
  <si>
    <t>基础医学院各学科方向根据营员综合素质、科研能力和学术潜质等进行考核，考核评审结束后给予相应的考核等第成绩（经医学院研究生院统一公示后生效），具体如下：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</si>
  <si>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7月9日上午夏令营报到，下午破冰活动
7月10日上午开营仪式、名师论坛，下午学科宣讲
7月11日上午学术交流会、营员风采展示，下午拓展活动
7月12日上午闭营典礼，典礼结束后考核面试</t>
  </si>
  <si>
    <t>6月13日8：00-6月30日17：00</t>
  </si>
  <si>
    <t>2024年7月9日至7月12日</t>
  </si>
  <si>
    <t>请将以下材料按顺序扫描成一个PDF文档上传，文件名为“xx大学-姓名-xx学院-xx专业-xx方向”。文件名说明：xx大学指申请人本科就读学校，xx学院-xx专业-xx方向指申请人报考志愿。
1.夏令营报名申请表（见附件1）
2.身份证（双面）
3.学生证（有个人信息的所有页面）
4.《教育部学籍在线验证报告》
5.本科各阶段成绩单盖章原件及同年级总成绩排名表（均须盖所在学校教务处公章）
6.外语水平证明：全国大学英语六级考试（CET-6）成绩≥425分，或与之相当的英语水平
7.《考生诚信考核承诺书》（见附件2）
8.其他证明材料（个人获奖证书、代表作品等）
注：请务必按要求上传，不按要求上传、材料不清晰或材料不全将不予受理，不符合报名条件的材料将不予审核；请密切关注个人电子邮箱，如材料需要修整，将及时通过邮箱予以反馈。</t>
  </si>
  <si>
    <t>（二）用餐及住宿安排：学院将承担营员活动期间营员用餐及住宿（居住在我院两江院区学生宿舍的儿科学生除外）。
（三）交通：外地院校营员请自行预定往返火车票，学院将资助外地营员往返交通费（从目前就读大学所在地至重庆，报销标准为火车硬座、硬卧,高铁/动车二等座或汽车票，长途客车、船票（三等舱）等按照票价给予报销；飞机票报销价格≤高铁（动车）二等座报销价格，则按照飞机票价格给予报销。需出示票根，实报实销，超出部分营员自行承担）。
（四）学院为参营人员购买夏令营活动期间人身意外伤害保险。</t>
  </si>
  <si>
    <t>1. 如通过入营期间的复试综合考核且获得所在学校推免生资格，符合我校推免生招生章程所规定的条件，可直接拟录取为我校相关专业的直博生或硕士研究生，优先选择导师。
2. 如未获得所在学校的推免生资格但通过我校夏令营考核的优秀营员，如果选择以公开招考方式第一志愿报考我院夏令营专业2025年度硕士或博士研究生，考试成绩达到我校该专业复试基本分数线的，在同等条件下将给予优先录取。
3. 如获我院夏令营考核的优秀营员，并录取为我院的推免硕士研究生或直博生，在入学后可获得1万元的科研启动经费。</t>
  </si>
  <si>
    <t>医学研究院全面情况介绍、师生交流、实验室及共享平台参观和优秀营员选拔考核。具体活动安排后续通知。</t>
  </si>
  <si>
    <t>6月20日24:00前。</t>
  </si>
  <si>
    <t>7月5日报到，7月6-7日活动</t>
  </si>
  <si>
    <t>（1）“武汉大学医学研究院2024年优秀大学生夏令营申请表”（https://mri.whu.edu.cn/info/1811/27041.htm下载附件1）（如跨页须正反双面打印，须有本人签名、所在学校院系推荐意见和教务部门盖章）；
（2）“武汉大学医学研究院2024年优秀大学生夏令营个人陈述”（https://mri.whu.edu.cn/info/1811/27041.htm下载附件2，须有本人签名）；
（3）其它证明材料：
①本科前两年半或三年学习成绩单原件；
②学习成绩排名证明原件（如不能提供，请所在学校院系或教务部门出具不能提供学习成绩排名的证明原件）；
③国家英语四、六级考试成绩或TOEFL/GRE/GMAT/IELTS成绩等体现自身外语水平的证明；
④体现自身学术水平的代表性学术论文、专利、出版物或原创性成果，各类获奖竞赛证书等证明；
（4）《诚信参加夏令营选拔考核承诺书》（https://mri.whu.edu.cn/info/1811/27041.htm下载附件3，须有本人手写签名）。</t>
  </si>
  <si>
    <t>根据选拔考核综合成绩排名情况，确定“优秀营员”名单后报研究生院，经审核同意后上网公示并在“夏令营系统”中记载、留存。获得“优秀营员”者，可自行在系统中下载、打印“武汉大学2024年优秀大学生夏令营优秀营员证书”，并可享受以下优惠政策：
取得推免资格的“优秀营员”，在规定时间内进入教育部推免系统报考武汉大学医学研究院推免生，且服从调剂，可优先接收为我院2025年推免硕士生。</t>
  </si>
  <si>
    <t>苏州医学院药学院</t>
  </si>
  <si>
    <t>学习成绩优秀，学位课程平均学分绩点（GPA）年级排名前30%，科研能力突出者可适当放宽（需提供证明材料），具有推免资格的学生优先；</t>
  </si>
  <si>
    <t>英语水平良好，全国大学英语六级成绩≥450分或新TOEFL≥90分或IELTS≥6.0分。</t>
  </si>
  <si>
    <t>（1）药学院各学系及导师介绍；
（2）药学院科研情况及研究平台介绍；
（3）问题讨论、答疑；
（4）优秀营员考核（分学系进行）；
本届夏令营活动拟于2024年7月中下旬采用线上方式举行，具体时间安排请关注学院官网后续通知。</t>
  </si>
  <si>
    <t>2024年6月15日至7月15日。</t>
  </si>
  <si>
    <t xml:space="preserve">（1）《苏州大学苏州医学院药学院2024年全国优秀大学生夏令营申请表》（需手写签字并加盖公章）；
（2）教育部学籍在线验证报告（登录学信网：http://www.chsi.com.cn/进入“学信档案”在线申请学籍验证）；
（3）本科阶段成绩单并加盖所在学校教务部门公章，成绩单上应标明专业排名（提供扫描件）；
（4）个人简历（注明计划读研方向）；
（5）其他材料（如已发表的论文或专利、参与科研项目的证明材料、与科研相关的获奖证书等原件扫描件；非必须项）。
（6）请将所有材料合并成一个PDF文件以“学校+专业+姓名”命名后发送到pharmacy_suda@163.com。
（7）请填报在线表格
【腾讯文档】苏州大学苏州医学院药学院2024夏令营信息填报
https://docs.qq.com/form/page/DSHpsRk5nYmJjYXRh
</t>
  </si>
  <si>
    <t xml:space="preserve">（1）优秀营员推免和考研政策支持：获得推免资格的优秀营员填报苏州大学苏州医学院药学院、国际创新药学院研究生后择优录取为2025级研究生；未获得推免资格的优秀营员报考苏州大学苏州医学院药学院、国际创新药学院研究生，同等条件下择优录取。
（2）设立新生入学奖学金资助：推免为苏州大学苏州医学院药学院、国际创新药学院学术学位研究生的优秀营员，入学后将颁发一次新生奖学金。
</t>
  </si>
  <si>
    <t xml:space="preserve">在学期间学习成绩优秀； </t>
  </si>
  <si>
    <t>活动内容主要包括学院总体情况介绍、学科专业介绍、科研/临床环境介绍、研究生培养情况介绍、师生交流等环节</t>
  </si>
  <si>
    <t>本学院网上报名系统开放时间为2024年6月22日（周六）8:00，网上申报截止时间为2024年6月29日（周六）24:00</t>
  </si>
  <si>
    <t>2024年7月15日-7月16日</t>
  </si>
  <si>
    <t xml:space="preserve">    1. 夏令营申请表(申请表可于系统导出打印，本人亲笔签名)，填写后学校教务处或院系负责人签字盖章；
 2. 个人简历及个人陈述(关于个人学术背景、曾经做过的研究工作以及未来学习和研究的计划、目标等，可于系统中下载模板)，须本人亲笔签名；
 3. 本科历年成绩单1份，须加盖所在学校教务部门公章；
 4. 成绩排名证明(含专业成绩排名和综合成绩排名，由学校教务部门盖章或院系出具证明)；
 5. 英语六级水平证书或相关英语成绩证明（官方认证的纸质成绩单复印件）；
 6. 其他有关能力的证明材料(如：发表论文、专利，各类获奖等)；
 7. 专家推荐信2封（副教授及以上职称相关专业专家分别推荐，模板可在系统中下载，须专家签字确认）；
 8. 声明（可在系统中下载模板）。
以上材料须保证真实有效，如有虚假将取消入营资格与后续活动报名资格。</t>
  </si>
  <si>
    <t xml:space="preserve">
申请流程
1.网上报名
申请人登录网址zs.bjmu.edu.cn，注册、登录并按照系统指引完成报名，确认并提交后进入结束环节方算报名成功。每个学生仅能报名一个学院中的一个专业，本学院网上报名系统开放时间为2024年6月22日（周六）8:00，网上申报截止时间为2024年6月29日（周六）24:00，逾期不再接受申请。
2.申请材料提交
请将所有申请材料电子版按照上文“三、申请材料”的顺序合并成一个PDF附件在报名系统上传，命名为“姓名+申报专业名称”。 同时，请单独上传1张1寸证件照（JPG格式，小于300kb），命名为“姓名+申报专业名称”
申请材料如有虚假，将取消申请人由此获得的一切利益，并保留追究申请人责任的权利。
五、材料审核及夏令营资格审定
1.因报名同学较多，不提供电话确认。所提交的申请材料只适用于当次申请。
2.材料审核及夏令营入营资格审定：夏令营材料审核和夏令营入营资格审定工作由招生工作委员会负责。夏令营入营名单将在北京大学第三医院教育教学网站上公布（网址：https://edu.puh3.net.cn），未入选者，不另行通知。  
六、其他事项
1. 咨询电话：010-86502021；咨询邮箱：fay_0081@126.com；
2. 入营的营员需要全程参加2天夏令营活动；
3. 关于夏令营各项事宜，如有变化，将会及时公告。敬请关注北京大学第三医院教育教学网站：https://edu.puh3.net.cn。</t>
  </si>
  <si>
    <t>协和医学院</t>
  </si>
  <si>
    <t>学习成绩优秀，能够获得推免资格；</t>
  </si>
  <si>
    <t>夏令营系列活动采取线上和线下相结合的方式，包括三个主要活动：
1.线上报名
6月13日报名通道开启，学生可扫描二维码提交报名信息，报名截止6月28日。
2.师生见面会（线上）——预计7月10日
师生见面会分学科举办，帮助学生了解学科和导师的科研方向，同时也提供学生自我展示的机会。各学科根据学生申报的第一志愿，遴选并于7月8日前通过邮件邀请报名学生中优秀者进入师生见面会环节。
3.夏令营（线下）——预计7月15日
根据师生见面会中的表现确定营员人选，计划录取营员50人左右，夏令营将开展一系列的精品活动，帮助同学们深入了解医院和学科，提供学生和导师面对面交流机会。被录取的营员将于7月15日前以电话或短信形式告知。夏令营中表现优秀者将获得“优秀营员”。</t>
  </si>
  <si>
    <t>6月13日报名通道开启，学生可扫描二维码提交报名信息，报名截止6月28日。</t>
  </si>
  <si>
    <t>2.师生见面会（线上）——预计7月10日
师生见面会分学科举办，帮助学生了解学科和导师的科研方向，同时也提供学生自我展示的机会。各学科根据学生申报的第一志愿，遴选并于7月8日前通过邮件邀请报名学生中优秀者进入师生见面会环节。
3.夏令营（线下）——预计7月15日
根据师生见面会中的表现确定营员人选，计划录取营员50人左右，夏令营将开展一系列的精品活动，帮助同学们深入了解医院和学科，提供学生和导师面对面交流机会。被录取的营员将于7月15日前以电话或短信形式告知。夏令营中表现优秀者将获得“优秀营员”。</t>
  </si>
  <si>
    <t>1、推免资格证明或预计可获得推免资格的说明（须由所在学校教务部门盖章）；
2、大学期间成绩单和专业排名（须由所在学校教务部门盖章）；
3、英语四六级成绩证明；
4、其他材料（如：发表论文、专利、获奖证书复印件等）。</t>
  </si>
  <si>
    <t>对表现优秀的同学颁发优秀营员证，将在北京协和医学院的推免招生中予以优先录取。</t>
  </si>
  <si>
    <t>一、申请要求
1.招收类型
专业型硕士：内科学、外科学、超声医学、放射影像学、护理学等；
学术型硕士/博士：内科学、免疫学、临床检验诊断学等；
2.全日制高校2025届优秀本科毕业生，优先考虑一流大学或所在学科为全国第四轮学科评估B+及以上高校；
3.具有良好的思想品德、身体健康，在学期间无违法违纪行为；
4.学习成绩优秀，能够获得推免资格；
5.英语四六级成绩优秀。</t>
  </si>
  <si>
    <t>“双一流”建设高校年级成绩排名前30%者，行业特色院校成绩排名前10%者。</t>
  </si>
  <si>
    <t>截止日期2024年6月24日</t>
  </si>
  <si>
    <r>
      <t>7月8日</t>
    </r>
    <r>
      <rPr>
        <sz val="28"/>
        <color rgb="FF000000"/>
        <rFont val="Arial"/>
        <family val="2"/>
      </rPr>
      <t xml:space="preserve">	</t>
    </r>
    <r>
      <rPr>
        <sz val="28"/>
        <color rgb="FF000000"/>
        <rFont val="微软雅黑"/>
        <family val="2"/>
        <charset val="134"/>
      </rPr>
      <t>营员报到
7月9日</t>
    </r>
    <r>
      <rPr>
        <sz val="28"/>
        <color rgb="FF000000"/>
        <rFont val="Arial"/>
        <family val="2"/>
      </rPr>
      <t xml:space="preserve">	</t>
    </r>
    <r>
      <rPr>
        <sz val="28"/>
        <color rgb="FF000000"/>
        <rFont val="微软雅黑"/>
        <family val="2"/>
        <charset val="134"/>
      </rPr>
      <t>开营仪式、参观活动、创新论坛、技能比赛
7月10日</t>
    </r>
    <r>
      <rPr>
        <sz val="28"/>
        <color rgb="FF000000"/>
        <rFont val="Arial"/>
        <family val="2"/>
      </rPr>
      <t xml:space="preserve">	</t>
    </r>
    <r>
      <rPr>
        <sz val="28"/>
        <color rgb="FF000000"/>
        <rFont val="微软雅黑"/>
        <family val="2"/>
        <charset val="134"/>
      </rPr>
      <t>华西口腔前沿论坛
7月11日</t>
    </r>
    <r>
      <rPr>
        <sz val="28"/>
        <color rgb="FF000000"/>
        <rFont val="Arial"/>
        <family val="2"/>
      </rPr>
      <t xml:space="preserve">	</t>
    </r>
    <r>
      <rPr>
        <sz val="28"/>
        <color rgb="FF000000"/>
        <rFont val="微软雅黑"/>
        <family val="2"/>
        <charset val="134"/>
      </rPr>
      <t>分系交流活动
7月12日</t>
    </r>
    <r>
      <rPr>
        <sz val="28"/>
        <color rgb="FF000000"/>
        <rFont val="Arial"/>
        <family val="2"/>
      </rPr>
      <t xml:space="preserve">	</t>
    </r>
    <r>
      <rPr>
        <sz val="28"/>
        <color rgb="FF000000"/>
        <rFont val="微软雅黑"/>
        <family val="2"/>
        <charset val="134"/>
      </rPr>
      <t>营员离营</t>
    </r>
  </si>
  <si>
    <t>1、申请表（报名成功后由系统自动生成，下载后经所在单位推荐盖章后再上传至系统）。
2、本科成绩单和本专业学业成绩年级排名证明（各1份，院级或校级教务部门盖章均可）。
3、大学英语CET-4/CET-6成绩单，TOEFL、IELTS、GRE成绩单等英语成绩证明材料。
4、个人简历及相关支撑材料做成一个PDF文件，如荣誉证书、资格证明、发表论文、专利等有关能力的证明材料。</t>
  </si>
  <si>
    <t>申请办法及时间
1、报名方法：申请人登录四川大学研究生招生信息网夏令营网报平台（https://yz.scu.edu.cn/xly）进行报名，并将上述申请材料电子版按以上顺序编号、命名合并为一个压缩包文件，以附件形式提交。压缩包文件名格式“拟报研究方向-本科高校名称-学生姓名”。
2、报名时间：自即日起开始报名，截止日期2024年6月24日
3、审核录取：我院夏令营材料审核与营员录取工作预计于6月28日前完成，请考生于6月28日前后自行登录四川大学研究生招生信息网夏令营报名平台查询，录取营员请及时确认是否参营。注意事项
1、营员报到时需携带身份证、学生证。在营期间，营员必须遵守四川大学的相关规定；任何弄虚作假、违反学术诚信行为一经发现，我院将取消其一切录取资格。</t>
  </si>
  <si>
    <t xml:space="preserve">学习成绩良好。
</t>
  </si>
  <si>
    <t>英语四级成绩在425分以上，通过英语六级者优先考虑；有专利成果、论文发表或特殊专业特长的学生优先考虑。</t>
  </si>
  <si>
    <t>夏令营期间将进行一系列活动，如学院及学科介绍、专家讲坛、营员与导师交流、参观实验室及四川大学博物馆等活动。同时组织拟推免或报考我院研究生的营员进行提前考核</t>
  </si>
  <si>
    <t>024年6月25日24:00前</t>
  </si>
  <si>
    <t>2024年7月8日至10日</t>
  </si>
  <si>
    <t>1.申请表（报名成功后由系统自动生成，报名网址：https://yz.scu.edu.cn/xly）；
2.本科成绩单和专业排名证明（各1份，需加盖所在学校教务处公章）；
3.相关获奖证书复印件、学术成果复印件等。</t>
  </si>
  <si>
    <t>考核优秀的营员，获得推免资格且满足学校接收推免生条件者，在推免系统及时响应填报我院即可免复试予以录取；未能获得推免资格但第一志愿报考我院的优秀营员（统考报考专业需与夏令营考核专业相同），同等条件下优先录取。</t>
  </si>
  <si>
    <t>【申请方法】
1.2024年6月25日24:00前，申请人登录四川大学研究生招生信息网夏令营网报平台（https://yz.scu.edu.cn/xly ）进行报名，并将申请表、本科成绩单、专业排名证明、相关获奖证书复印件、学术成果复印件等材料按次序扫描汇总成一个PDF文件，以附件形式上传至网报平台（使用报名系统用户名和密码，再进去修改报名信息就可以提交包含申请表的附件）。
2.与意向导师联系，进行初步沟通。学院导师联系方式及简介见学院网站[http://life.scu.edu.cn/szdw/jzyg1.htm]
本次活动申请期间无须提交纸质版本申请材料，纸质材料待夏令营报道时再行提交。
【录取办法】
6月26日起，学院审核申请人材料，根据申请人情况及意向导师意见择优录取，录取名单会公示于学院官网，届时未接到录取通知的同学皆为未入选者，不再另行通知。如果录取，请及时在系统中确认是否同意参加。
【注意事项】
1、申请者应保证所提交的所有材料的真实性、有效性、完整性，若在任何阶段发现申请材料不真实、不准确，或有弄虚作假、违纪作弊等行为的，即取消申请人一切资格，一切后果自负；
2、营员报到时需携带身份证、学生证。营员前来参加夏令营活动，需告知所在学校和父母知晓情况，并注意出行安全；
3、营员报名请考虑好自己的时间安排，被录取后无特殊情况不得随意放弃；如遇不可抗拒因素不能参加，请第一时间与我院沟通；一旦报到，无特殊情况须全程参加夏令营。在营期间，营员必须遵守四川大学的相关规定；
4、在营期间进行的相关面试考核，禁止录音录像；</t>
  </si>
  <si>
    <t>全国各高校生物医学工程、材料科学与工程、化学、电子信息等相关专业的三年级优秀本科生（即2025届毕业生）；
2、对学术研究具有浓厚兴趣，具有一定创新能力和潜能；</t>
  </si>
  <si>
    <t>线上及线下同步举办</t>
  </si>
  <si>
    <t>夏令营期间将进行一系列活动，包括学院综合情况介绍、专家学术报告、营员与导师交流、参观实验室等活动。
同时，组织拟推免我院研究生的营员进行提前考核，采用“线下现场考核”方式。</t>
  </si>
  <si>
    <t>截止日期2024年6月21日24: 00。</t>
  </si>
  <si>
    <t>2024年6月28-29日</t>
  </si>
  <si>
    <t>1、申请表（报名成功后由系统自动生成）；
2、本科前三年或前5学期成绩单和专业排名证明（各1份；需加盖所在学校教务处或学院公章）；
3、本人简历；
4、相关证明材料复印件（如科研成果、各类获奖或资格证书、国家英语四/六级证书、其他体现自身学习和工作能力的材料）。</t>
  </si>
  <si>
    <t>线下参营营员的食宿自理、路费自理。</t>
  </si>
  <si>
    <t>考核合格的营员，获得推免资格且我院同意接收的推免生，在推免系统及时响应填报我院即可免复试予以录取。未参加线下考核营员，需在推免录取阶段按规定进行面试考核，考核合格者方能录取。
活动设立“优秀营员”称号。获得优秀营员称号的学生，参加推免或统考第一志愿报考我院者，同等条件下优先录取，在研究生入学到我院报到可获得“优秀营员”奖学金。</t>
  </si>
  <si>
    <t>四、申请办法及时间
1、报名方法：申请人登录四川大学研究生招生信息网夏令营网报平台（https://yz.scu.edu.cn/xly ）进行报名，并将申请表（签字盖章，第一次报名成功后生成申请表，再次进入系统修改报名信息可重新提交包含申请表的附件）、本科成绩单（盖鲜章）、专业排名证明、个人简历、相关获奖证书复印件、学术成果复印件等彩色扫描，扫描后的文件按顺序合并成一个PDF文件（按照“本科学校-本科专业-第一志愿专业代码-姓名”命名）上传至报名系统附件。
2、报名时间：自即日起开始报名，截止日期2024年6月21日24: 00。
五、材料审核及选拔
审核工作将于2024年6月25日结束，我们将进行择优选拔。申请者可在申报系统中查询是否被录取，同时选拔名单也将在生物医学工程学院官网和国家生物医学材料工程技术研究中心官网公布。被录取的营员需要在系统内确认能否准时参营，未确认者将视为放弃。有关后续安排，请留意我院官网通知。</t>
  </si>
  <si>
    <t>英语六级≥425分或有其他相当的英语考试（如雅思、托福、GRE等）的成绩的申请者优先考虑。</t>
  </si>
  <si>
    <t>7月2日
（老校区）
14:30-17:00
报到
（友谊校区毅字楼322室）
7月3日
（新校区）
9:00-9:20
开营仪式（集体拍照）
9:30-11:00
学院、学科介绍
11:00-12:00
实验室参观/导师见面
14:30-17:00
学生考核</t>
  </si>
  <si>
    <t>6月13日——6月25日（下午17点截止）</t>
  </si>
  <si>
    <t>7月2日——7月3日</t>
  </si>
  <si>
    <t xml:space="preserve">（1）《西北工业大学2024年全国优秀大学生暑期夏令营申请表》
（2）本科前三年成绩单、综合测评成绩单（加盖学校或院系教务部门公章）
（3）身份证、学生证、四六级证书扫描件。
（4）其他证明材料（已发表论文、获奖证书或其它考试证书的扫描件）
申请人将以上材料扫描（或拍照）后整合为一个PDF文件，上传至报名系统，文件命名为“报名编号-考生姓名-报考专业-报考导师”。同时，申请人将以上文件电子版发送至邮箱caozhenzhen@nwpu.edu.cn, </t>
  </si>
  <si>
    <t>1.考核优秀且获得所在院校2025年推免生资格的学员，报考我院，在符合学校相关要求和学院考核要求的基础上，可被我院录取为推荐免试研究生。考核良好且获得所在院校2025年推免生资格的学员，如报考我院，可在同等条件下优先录取。
2.考核优秀或良好但未获得所在院校2025年推免生资格的学员，如报考我院2025年硕士研究生且被录取后，优先向优秀导师推荐，申报我校各类研究生项目时优先。</t>
  </si>
  <si>
    <t>1.网上报名：申请人登录西北工业大学研究生招生信息网（http://yzb.nwpu.edu.cn/）选择暑期夏令营，填写报名信息，并上传照片及申请材料。
申请人须提供以下材料：
（1）《西北工业大学2024年全国优秀大学生暑期夏令营申请表》
（2）本科前三年成绩单、综合测评成绩单（加盖学校或院系教务部门公章）
（3）身份证、学生证、四六级证书扫描件。
（4）其他证明材料（已发表论文、获奖证书或其它考试证书的扫描件）
申请人将以上材料扫描（或拍照）后整合为一个PDF文件，上传至报名系统，文件命名为“报名编号-考生姓名-报考专业-报考导师”。同时，申请人将以上文件电子版发送至邮箱caozhenzhen@nwpu.edu.cn, 报名截止时间：6 月25 日下午17点前。
网上报名成功后请加入2024年西北工业大学医学研究院暑期夏令营QQ群，群号764749482。
2.学院审核：
研究院将对申请人的材料进行审核、选拔，届时入选名单和夏令营活动后续安排将在院官网公布。
3.学生确认：申请人须关注报名系统审核状态，及时确认是否参加（系统未确认的申请人无法参加相关活动）。</t>
  </si>
  <si>
    <t>学习成绩优秀，学位课程平均学分绩点（GPA）年级排名前20%，</t>
  </si>
  <si>
    <t>英语CET-6 425分以上。</t>
  </si>
  <si>
    <t>活动主要内容包括IBMS情况简介、课题组介绍、学术交流、研究生培养政策解读、优秀营员选拔等环节。</t>
  </si>
  <si>
    <t>截止至2024年7月10日</t>
  </si>
  <si>
    <t>计划营员人数约30名，实际入营人数将根据报名情况适当调整，择优录取。</t>
  </si>
  <si>
    <t>1. 填写苏州大学生物医学研究院2024年全国优秀大学生夏令营申请表.doc。
2. 本科阶段历年成绩单（须加盖教务处或院系公章，JPG或PDF格式）。
3. 外语水平证明材料，如CET-6级、托福、雅思成绩等。
4. 身份证与学生证复印件。
5. 科研成果和获奖证书，如代表性学术论文、获奖证书扫描件等。</t>
  </si>
  <si>
    <t>差旅费包括夏令营期间来回苏州的路费（火车或机票）和住宿费：二者共计1000元以下者，根据发票实报实销；二者超出1000元以上，则凭发票实际报销1000元。</t>
  </si>
  <si>
    <t>四、报名方式
1. 网上报名
请登录网址：http://gsas.yjs.suda.edu.cn/logon,通过“研究生报考服务系统”中的“全国优秀大学生夏令营”进行网上报名。
2. 材料提交
请将上述报名材料扫描后放入同一文件夹，压缩后命名为“IBMS夏令营+学校+学院+专业+姓名”，上传至报名系统。六、营员遴选及结果通知
1. 申请人必须确保提供的信息和材料真实、准确，否则取消其申请资格。
2. 研究院将根据申请者提交的材料，以教育背景、学业水平、科研潜力等为主要依据，对申请者进行资格评审。
3. 入营资格审核工作拟于2024年7月中旬完成，营员遴选结果将通过邮箱及IBMS官网发布，请及时登录邮箱或IBMS网站查看。</t>
  </si>
  <si>
    <t>在学期间成绩优秀，英语水平达到国家六级或相当水平；</t>
  </si>
  <si>
    <t>本次活动诚挚邀请全国优秀大学生体验我院的医疗、教学和科研环境，同研究生导师和科室密切接触，了解肿瘤学等学科的前沿进展，提升学术水平。</t>
  </si>
  <si>
    <t>本医院网上报名系统开放时间为6月17日00:00，网上申报截止时间为6月25日24:00。</t>
  </si>
  <si>
    <t>1. 夏令营申请表（申请表可于系统导出打印），填写后学校教务处或院系负责人签字盖章；
2. 个人简历及个人陈述（关于个人学术背景、曾经做过的研究工作以及未来学习和研究的计划、目标等)；
3. 本科历年成绩单1份，须加盖所在学校教务部门公章；
4. 英语六级水平证书或相关英语成绩证明；
5. 成绩排名证明（含专业成绩排名和综合成绩排名，由学校教务部门盖章或院系出具证明）；
6. 其他有关能力的证明材料（如：发表论文、专利，各类获奖等）；
7. 两位副教授或以上专家的推荐信（可在申请系统中下载模板，须专家亲笔签字，不可使用电子签名）；
8. 声明（可在系统中下载模板）。</t>
  </si>
  <si>
    <t xml:space="preserve">材料审核及夏令营入营资格审定：夏令营材料审核和入营资格审定工作由医院研究生招生工作领导小组负责。夏令营入营名单将在医院教学网（https://teach.bjcancer.org/Html/Index.html）公布，未入选者，不另行通知。 </t>
  </si>
  <si>
    <t>第三临床医院</t>
  </si>
  <si>
    <t xml:space="preserve"> 学习成绩优秀， 满足推荐免试研究生标准或有志参加全国研究生招生考试并有意向攻读我院博士、硕士研究生者。</t>
  </si>
  <si>
    <t>线上、线下方式</t>
  </si>
  <si>
    <t>本次夏令营拟以线上、线下方式进行，活动内容主要包括医院总体情况介绍、特色学科介绍、名师讲座、师生交流、院史馆及中心实验室参观、沉浸式技能中心参访等环节。</t>
  </si>
  <si>
    <t>6月23日以前</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</si>
  <si>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</si>
  <si>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学院将统一购买在我院线下夏令营活动期间的团体意外保险，并安排必要餐食，建议各位参与线下营员自购旅途意外保险；</t>
  </si>
  <si>
    <t xml:space="preserve">报名步骤
1.申请者请登录浙江大学研究生招生管理系统，链接地址：https://yjsy.zju.edu.cn/grsinfo/zs/user/login，注册后进行网上报名。具体操作详见学生操作手册（研究生招生管理系统夏令营模块学生操作手册.pdf）。填写信息并上传材料后，可下载“申请表”；
2.请将所有证明材料原件按以下顺序扫描并整合成PDF（不超过10M）后，在网申系统“附件”中上传，文件名为“报名二级招生单位-报名学科（内外科请精确到三级学科）-姓名-所在本科院校”；如“第三临床医学院-外科学（普外）-张三-XX大学”
   （1）个人身份证（正反面）；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
以上所有材料均应真实有效，若发现申请人有弄虚作假行为，取消其申请资格并通报申请人所在本科院校。
3.对我院有申报意向，但未能在系统中填报的同学，请填写问卷表格：https://form.zju.edu.cn/#/dform/genericForm/IWYAXuRc
特别提醒：请于6月23日前完成报名，逾期报名视为无效。
夏令营资格审核
审核和选拔工作由我院组织相关学科负责。入选营员名单将公布在夏令营报名系统中，录取的同学需在6月27日前确认是否参加，逾期未确认视放弃此资格。
 </t>
  </si>
  <si>
    <t>学习成绩优秀，本科期间综合成绩专业排名前15%，有志推免或报考我院临床医学、口腔医学、生物学学术型研究生，具有一定创新能力和科研潜能。</t>
  </si>
  <si>
    <t>英语水平良好，全国大学外语四级水平考试成绩优良（480分以上）或全国大学外语六级水平成绩合格（425分以上），或TOEFL、GRE等考试成绩优秀者。</t>
  </si>
  <si>
    <t>线上，线下</t>
  </si>
  <si>
    <t>6月18日全天、6月19日上午：医学院及各附属医院招生科研团队介绍，各团队宣讲时间详见后续发布的安排表。1、6月26日12点：网上报名，提交材料
2、6月27日-7月3日：学院审核报名材料，公布入营营员名单
3、7月10日：营员报道
4、7月11日：上午开营仪式、团队介绍，下午团队介绍、实验室参观，分组交流
5、7月12日：营员选拔、结营仪式</t>
  </si>
  <si>
    <t>截止日期为2024年6月26日12点，逾期不再接受。</t>
  </si>
  <si>
    <t>6月18-19日开展线上夏令营，7月11-12日开展线下夏令营，</t>
  </si>
  <si>
    <t>1、电子科技大学全国优秀大学生夏令营申请表（报名成功后系统自动生成，申请人本人签字后扫描）；
2、四年制专业本科阶段前五个学期、五年制专业前七学期成绩单1份（须加盖院系或学校教务部门公章）；
3、身份证及学生证；
4、个人简历1份；
5、考生结合自身情况选择提交：相关证明材料复印件1份（如国家英语四、六级证书等英语水平证明材料；已发表学术论文、出版物或原创性工作成果；各类获奖或资格证书等体现自身学习和工作能力的材料）</t>
  </si>
  <si>
    <t>医学院为入营学生提供夏令营期间的校内餐食与住宿费用，往返差旅费和其他费用自理。</t>
  </si>
  <si>
    <t>1、学生可登录医学院网站了解学院相关情况
医学院简介：https://www.med.uestc.edu.cn/xygk/xyjj.htm
附属四川省人民医院简介：https://www.samsph.com/introduce/
附属四川省肿瘤医院简介：https://www.sichuancancer.org/yygk/yyjs.htm
附属成都市妇女儿童中心医院简介：http://www.wcch.cn/introduce/
附属绵阳市中心医院简介：http://www.myzxyy.com/into_hos/
2、可登录电子科技大学研招网了解学院部分导师相关情况https://yjsjy.uestc.edu.cn/gmis/jcsjgl/dsfc（医学院2025年招生资格导师还未确定，预计7月中旬在医学院官网公示，具体招生导师名单以最终公布为准）
3、电子科技大学2024年硕士招生简章（供参考，2025年招生以2024年9月公布最新招生简章为准）：https://yz.uestc.edu.cn/info/1006/4576.htm</t>
  </si>
  <si>
    <t>来自“双一流”学校或学科排名前列学校，或其他重点高校特别优秀、能取得推免资格的学生；</t>
  </si>
  <si>
    <t>英语水平良好、</t>
  </si>
  <si>
    <t>主要的内容包括：（1）公共卫生学院研究生培养情况介绍；（2）学院各专业方向及导师情况介绍、参观学院和实验室并与意向导师面对面交流；（3）根据报考专业对营员科研能力开展考核并选留优秀生源。</t>
  </si>
  <si>
    <t>6月12日-6月27日</t>
  </si>
  <si>
    <t>2024年7月8日-7月10日线下举行。</t>
  </si>
  <si>
    <t>80-100人</t>
  </si>
  <si>
    <t>1、华中科技大学优秀大学生学术夏令营申请表；
2、本科成绩单（由院系教务部门盖章），成绩排名证明；
3、获奖证书或参与科研项目证明复印件；
4、国家大学英语四级、六级成绩，或其他体现自身英语水平的成绩证明。
5、申请人还可提交体现自身学术水平的代表性学术论文、出版物或原创性工作成果。</t>
  </si>
  <si>
    <t>本次夏令营活动不收取任何费用，所有营员食宿自理。本院将在优秀营员入学后对其在夏令营期间的部分食宿交通费用进行资助，具体资助方案后续通知。</t>
  </si>
  <si>
    <t>夏令营活动结束后，优秀营员将获得我院颁发的“公共卫生学院优秀大学生暑期学术夏令营”活动结业证书。</t>
  </si>
  <si>
    <t>1、 针对学术学位研究生的申请人，本次夏令营将按不同研究方向分别确定
入营名单并开展考核，请申请人谨慎选择申报第一志愿研究方向和一个调剂研究方向。申请人需在系统中填报第一志愿研究方向，并在申请表中填写一个调剂方向。申请表详见附件。六、注意事项
1.年级排名一项指的是本科在读截止到本学期最新的专业或年级排名，不能确定的可以填写大致排名。
2.免推资格一项指的是根据本科在读期间的专业或年级排名，以及本学院历年的免推政策所确定的是否具有保送校内或校外的免试推荐资格。具有免推资格的同学可以选择参加提前面试。</t>
  </si>
  <si>
    <t>中西医结合学院</t>
  </si>
  <si>
    <t>专业排名需在前30%（创新型、荣誉型特色学院，以及基地班、卓越班、创新班等除外，有科研成果或潜力的同学以及能达到所在高校推免资格的同学除外）；</t>
  </si>
  <si>
    <t>申请者英语水平应达到以下条件之一：
● CET-6合格；
● WSK（PETS-5）考试合格；
● 国家英语专业四级及以上考试合格；
● TOEFL成绩：（IBT）100分以上或（CBT）250分以上；
● GRE成绩1300分以上，或新GRE成绩325分以上；
● IELTS成绩6.0分以上。</t>
  </si>
  <si>
    <t>活动内容主要包括开营仪式、主旨报告、院士开营第一课、综合考核、校园参观等。</t>
  </si>
  <si>
    <t>2024年6月12日~2024年6月26日</t>
  </si>
  <si>
    <t>2024年7月6日至7日</t>
  </si>
  <si>
    <t>1、有效身份证件原件扫描（正反面在一页上）；
2、本人学籍认证报告，学信网上在线验证并下载；
3、学生证原件扫描（照片、学号页即可）；
4、本科上一年成绩单原件扫描（院系或教务处盖章）；
5、英语水平证明材料（英语成绩证书等）；
6、个人简历（中英文均可，无格式要求）；
7、附件一《身体健康情况申报表》。
8、获奖证书（包括本科期间能突出自己特长、社会贡献、综合素质能力等各类证书）；
9、已发表的论文及专利，或其它原创性成果、其他有参考价值的科研实验工作证明材料；
注：材料8、9为可选项（可根据自身情况酌情提交）。</t>
  </si>
  <si>
    <t>参加此次夏令营活动的营员，免费提供在营期间住宿、餐饮、保险费用。同时为录取学院2025年推免生的优秀营员提供往返路费报销（仅限在暑期夏令营活动期间非上海高校大学生乘坐的长途汽车、高铁二等座及以下，凭票报销）。</t>
  </si>
  <si>
    <t>凡全程参加暑期夏令营的学员，经考核后颁发优秀营员证者可享受以下政策：
1、优秀营员取得本科所在学校的2025年优秀应届本科毕业生推荐免试攻读研究生资格，且第一志愿报考我校中西医结合学院，将免除推免复试并根据报考导师的研究生招生名额等实际情况优先录取。</t>
  </si>
  <si>
    <t>1、组织专家根据各位营员的综合表现进行评分；
2、主要考察学生的外语水平、专业能力、科研及培养潜力、综合素质等；
3、考核方式主要通过线下考核交流的方式进行面试，具体时间及方式将另行通知；
4、评选结果将于考核结束后2日内通过邮件统一通知，择优颁发电子优秀营员证书</t>
  </si>
  <si>
    <t>总成绩排名原则上在所读学校同年级本专业前30%之内者(在其它方面有突出表现的学生除外)，已经获得或即将获得所在高校推荐免试生资格者优先。</t>
  </si>
  <si>
    <t>提交报名信息；请在问卷中提交以下材料：要求将证明材料按以下顺序整合成一个PDF文件上传：
（1）个人简历
（2）身份证扫描件（正反面复印到一页纸上扫描）
（3）《教育部学籍在线验证报告》，办理方式详见中国高等教育学生信息网http://www.chsi.com.cn/xlcx/bgys.jsp。
（4）本科阶段成绩单、成绩总评排名的证明材料扫描件（加盖教务部门公章）
（5）英语水平证明材料扫描件1份（大学英语四六级考试成绩、IELTS、TOEFL、GRE成绩等体现自身英语水平的证明材料）；
（6）负责或参与的科研项目扫描件（如有可提供）
（7）发表文章扫描件（如有可提供）
（8）其他获奖证明等（如有可提供）</t>
  </si>
  <si>
    <t>附属妇产科医院</t>
  </si>
  <si>
    <t>活动内容包括学院介绍、学科介绍、名师讲座、师生交流等。</t>
  </si>
  <si>
    <t>2024年6月23日之前</t>
  </si>
  <si>
    <t>时间:2024年7月1日</t>
  </si>
  <si>
    <t>详见浙江大学医学院通知。</t>
  </si>
  <si>
    <t>6月25日前确定录取营员名单，入选者也将收到通知，未入选者不另行通知。入选者需在6月27日前确认是否参加，逾期未确认视为放弃资格。</t>
  </si>
  <si>
    <t>学习成绩优秀（本科期间综合成绩年级排名前30%）。</t>
  </si>
  <si>
    <t>1.申请截止日期：6月18日
（1）6月12日前请登录网站报名，网址：
https://yjszsgl.csu.edu.cn/zsgl2025/tmsgl/default.aspx
（2）6月14-20日，请填写问卷星（见附件1）报名。已在网站报名的同学，不需要填写该问卷星报名。</t>
  </si>
  <si>
    <t>2024年7月16-18</t>
  </si>
  <si>
    <t>350人</t>
  </si>
  <si>
    <t>2. 入营需要提交的材料：收到科室通知后，请将材料按以下顺序整理后电子扫描为PDF文件，并以“入营专业+姓名”命名，发送至各科室指定电子邮箱。
（1）本人有效二代身份证件和学生证；
（2）大学英语四级或六级考试成绩单复印件一份；
（3）在校历年学习成绩单及成绩排名证明，并由所在学校或院系教务部门加盖公章；
（4）有学术成果（包括公开发表论文、出版著作、获得专利、获得学术科技奖项、承担课题或者其他具有学术水平的工作成果）者，提供学术成果一份；
（5）获得各类荣誉、表彰、奖励证书；
（6）个人简历及个人陈述，简要陈述参加本次夏令营的原因、目的和期望。
（7）专家推荐信1份（见附件2）。
申请人提供的材料必须真实，凡弄虚作假者，一经发现，即取消入营资格。</t>
  </si>
  <si>
    <t>1.食宿：我院将为夏令营营员提供夏令营期间两天的住宿和部分时段的就餐（学校或家庭所在地是长沙市的原则上不安排住宿）。
2.交通费：外地院校的学生请自行预订往返车票，对于获得推免资格且在9月的国家推免系统中被我院录取的同学，给与一定的交通补助（请保留往返车票）。
3.我院负责购买入营学员在营期间保险，学生在夏令营期间发生的医疗费用及因个人行为导致的意外事故，保险外部分由学生本人承担。</t>
  </si>
  <si>
    <t>3. 2024年湘雅医院夏令营交流群QQ群：194881466（请输入学校-姓名验证，欢迎入群咨询）</t>
  </si>
  <si>
    <t>英语水平良好，英语六级成绩≥450分；</t>
  </si>
  <si>
    <t>（1）现场活动：参观医院、导师面对面交流、优秀研究生见面交流会、学员汇报和结业等多样化活动形式。详细安排会发给入围考生。  
（2）面试选拔：组织相关面试，选拔优秀学员。</t>
  </si>
  <si>
    <t>6月17日-6月28日12:00报名截止</t>
  </si>
  <si>
    <t>2024年7月8日至9日</t>
  </si>
  <si>
    <t xml:space="preserve">报名网址：http://yzks.njmu.edu.cn/
（2）资格审核：学院根据报名情况择优原则，确定入选营员名单；
</t>
  </si>
  <si>
    <t>（3）招生优惠政策：根据申请材料、入营表现，由专家组对营员进行综合考核，考核合格者将在“南京医科大学研究生报考服务系统”中予以公布。合格营员可在2025年硕士研究生招生录取时享受以下优惠政策：若获得所在学校推免生资格，登陆“教育部推免系统”填报与夏令营面试专业相同的志愿（学院、专业、三级学科、学位类型、学习方式等一致），可直接被我校拟录取。</t>
  </si>
  <si>
    <t>（1）结果查询：7月1日16:00-7月3日12:00，考生在系统上查询结果。入围的考生确认是否参加，未在规定时间内确认者视为自动放弃。
（2）入营学员需全程参加夏令营各项活动。
（3）如发现材料弄虚作假，取消或者追回由此获得的权益并保留追诉的权利。
（4）未能参加夏令营的同学可关注学校后续推免生预报名通知。
（5）未尽事宜，请关注学院后续通知。</t>
  </si>
  <si>
    <t>学生本科期间综合成绩排名在该校同年级本专业前20%之内；</t>
  </si>
  <si>
    <t>具备良好的英语应用能力，有志于从事医学科学研究工作。</t>
  </si>
  <si>
    <t>开营仪式后，将安排专家学术报告、导师见面会、参观附属医院、综合素质考核等内容。综合素质考核以面试形式进行。具体安排另行通知。</t>
  </si>
  <si>
    <t>至6月28日24:00</t>
  </si>
  <si>
    <t>1、个人简历；
2、本科成绩单（需加盖学校或所在院系教务部门公章）；
3、专业排名证明（需加盖学校或所在院系教务部门公章）；
4、大学生英语四、六成绩或TOEFL、IELTS成绩证明；
5、其它各类获奖证书、发表论文等体现个人综合素质和学术水平的材料。
注：原则上，本科成绩单、专业排名证明均需加盖学校或所在院系教务部门公章。</t>
  </si>
  <si>
    <t>本次夏令营活动期间不收取任何费用，其他未尽事宜，以学院通知为准。
联系电话：023-65100131
联系邮箱：tianyi@cqu.edu.cn
联系QQ群：669233439</t>
  </si>
  <si>
    <t>学习成绩优异，有志于神经科学研究，具备一定的科研能力与科研潜力。</t>
  </si>
  <si>
    <t>申请对象英语水平须达到CET6≥425或TOEFL≥90或IELTS≥6.0。</t>
  </si>
  <si>
    <t>网上报名时间为6月15日00:00时-6月24日12:00时止。</t>
  </si>
  <si>
    <t>1、《上海交通大学松江研究院2024年全国优秀大学生夏令营报名登记表》（报名系统生成，本人签字）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
6、其他证明材料扫描件（国家英语四、六级等各类英语考试成绩单、获奖或资格证书、论文著作等）各1份
注：身份证和学生证须准备原件用于核验；所有材料的电子版/扫描件请按要求上传报名系统；夏令营入围同学请准备全套纸质版材料，入营后提交给招生秘书。</t>
  </si>
  <si>
    <t>研究院承担夏令营期间食宿和往返上海和营员所在高校的高铁/火车二等座车票。</t>
  </si>
  <si>
    <t xml:space="preserve">松江研究院研究生招生工作联系人：
石老师，邮箱： yufeng.shi@shsmu.edu.cn；电话：021-67722300。
 </t>
  </si>
  <si>
    <t>专业背景要求；热爱临床医学科研及临床工作，具有不怕困难、勇于探索的精神及团队合作意识；</t>
  </si>
  <si>
    <t xml:space="preserve">英语水平良好，达到全国大学英语六级（CET-6）或相当水平。具备利用英语进行科研、写作以及交流的能力； </t>
  </si>
  <si>
    <t>具体活动形式及安排另行通知。</t>
  </si>
  <si>
    <t>2024年6月25日起开始，7月4日结束。</t>
  </si>
  <si>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6.其他有关能力的证明材料(如：以第一作者发表论文、专利，各类获奖等)；
7.两位副教授或以上专家的推荐信。
8.声明</t>
  </si>
  <si>
    <t>本次夏令营不收取任何费用，请自行安排交通和食宿；学院将在活动中评定优秀营员，在优秀营员入学后对其在夏令营期间的部分食宿费用进行资助，具体资助方案后续通知。</t>
  </si>
  <si>
    <t>关于夏令营各项事宜，如有变化，将会及时公告。敬请关注北京大学人民医院官方网站（https://www.pkuph.cn/jyjx_jxxw.html）和“人民医学声”公众号。</t>
  </si>
  <si>
    <t>按期完成前三学年（四年制）或者前四学年（五年制）本专业人才培养方案规定的课程及实践课程的学分要求，成绩均合格，必修课无不及格记录，必修课平均学分绩点排名在本专业前 20%。 （二）科研型人才
为不拘一格选拔具有创新精神的科研型人才，若申请人不满足基本条件第5条(成绩合格，必修课无不及格记录，必修课平均学分绩点排名在本专业前 20%），同时满足下列条件，也可申报。
1.完成前三年（四年制专业）或前四年（五年制专业）培养计划内所有课程，成绩均合格，必修课无不及格记录，必修课平均学分绩点达到 2.5 及以上。</t>
  </si>
  <si>
    <t>全国大学英语六级考试（CET-6）成绩≥425分。</t>
  </si>
  <si>
    <t>2024年6月20日09:00-6月24日18:00。</t>
  </si>
  <si>
    <t>（1）《重庆医科大学第一临床学院2024年全国优秀大学生暑期夏令营活动申请表》（附件2）；
（2）身份证（双面）；
（3）学生证（有个人信息的所有页面）；
（4）《教育部学籍在线验证报告》；
（5）本科各阶段成绩单盖章原件及同年级总成绩排名表（均须盖所在学校教务处公章）；
（6）英语六级证书材料扫描件；
（7）考生诚信考核承诺书（附件3）；
（8）其他学术成果、获奖证书等证明材料（注：表发英文科研论著提供“文章全文+大学图书馆或其他专门机构出具收录证明”；学科竞赛获奖提供获奖证书；发明专利提供批文、证书）。</t>
  </si>
  <si>
    <t>八、食宿及交通保险
（一）本次夏令营不收取任何费用。
（二）食宿：学院为营员提供在营期间的统一伙食及住宿。
（三）交通费：外地院校营员请自行预定往返火车票，学院将资助外地营员往返交通费（从目前就读大学所在地至重庆，报销标准为火车硬座、硬卧,高铁/动车二等座或汽车票，长途客车、船票（三等舱）等按照票价给予报销；飞机票报销价格≤高铁（动车）二等座报销价格，则按照飞机票价格给予报销。需出示票根，实报实销，超出部分营员自行承担）。
（三）学院为营员购买夏令营期间的人身意外伤害保险，营员在夏令营期间产生的医疗费用及因个人行为导致的意外事故，由营员本人或其他派出单位承担。
（四）中途退营同学，不享受上述政策。</t>
  </si>
  <si>
    <t>六、营员待遇
（一）如通过我院夏令营考核且获得所在学校推免生资格，且符合重庆医科大学推荐免试研究生或直博生招生章程所规定的条件，可根据报考情况，同等条件下予优先录取为我院相关专业的推免硕士研究生或直博生，优先选择导师。
（二）如未获得所在学校的推免生资格但为我院夏令营考核的优秀营员，若选择以公开招考的方式报考我院2025年硕士研究生，且考试成绩达到我院该专业复试基本分数线，在同等条件下将给予优先录取。
（三）如获我院夏令营考核的优秀营员，并录取为我院的推免硕士研究生或直博生，在入学后可获得1万元的科研启动经费。</t>
  </si>
  <si>
    <t>九、注意事项
（一）营员申请材料务必真实有效，如有不实、弄虚作假，将取消其营员资格，综合考核结果作废。
（二）参加暑期夏令营的学生必须遵守重庆医科大学第一临床学院的相关规定，按照活动日程安排参加各项活动。
（三）在营期间不得对考核内容进行录音、录像或录屏。
（四）营员报道后要求全程参加夏令营活动，擅自离营者视为自动放弃入营资格。
（五）营员需按期取得国家承认的学士毕业证书级学位证书。
（六）通过营员考核且申请我校推荐免试研究生的2025年应届本科毕业生，在全国推免服务系统开放后，仍需在该系统注册并填报志愿。后续请关注中国研究生招生信息网、我校研究生招生网相关通知。
其他未尽事宜，由研究生管理处负责解释。</t>
  </si>
  <si>
    <t>本科阶段前4（或 3）年总成绩在该校同年级本专业中排名前30％。申请直博生的学生，须为“双一流”建设高校的2025级应届毕业生，且本科阶段前4（或3）年总成绩在该校同年级本专业排名前5％，全国大学英语四、六级考试成绩均达到600分及以上，</t>
  </si>
  <si>
    <t>全国大学英语六级考试成绩达到500分及以上，</t>
  </si>
  <si>
    <t>2024年6月24日前</t>
  </si>
  <si>
    <t>2024年7月3日--4 日</t>
  </si>
  <si>
    <t xml:space="preserve">1）天津医科大学优秀大学生暑期夏令营活动申请表； 
（2）本科阶段成绩单（截至目前），专业排名证明，需加盖教务或学生部门公章； 
（3）大学英语四、六级成绩单或其他英语水平证明扫描件（如 近两年内TOEFL成绩或近三年内GRE成绩等）； 
（4）其他证明材料扫描件（如体现自身学术水平的代表性学术 论文或其他原创性工作成果、获奖证书等）； 
（5）专家推荐信2封，需要2位相关或相近专业副教授（含）及以上职称的专家分别推荐，专家亲笔签字的扫描件（申请直博生， 需要2位相关或相近专业教授（或相当职称）专家分别推荐）。 </t>
  </si>
  <si>
    <t>2. 提供免费住宿（医院统一安排）（天津地区高校学生不安排住 宿）。 
3. 获得A档优秀营员且录取为我院研究生者，入学报到后统一报销本次夏令营往返硬座火车票（动车或高铁仅限二等座）费用。</t>
  </si>
  <si>
    <t xml:space="preserve">1. 2024 年度优秀大学生暑期夏令营的招生优惠政策分设A、B两档标准： 
（1）A档优秀营员 A+档 优秀营员取得优秀营员资格，为表现特别突出的学生，同 时学生选报专业为眼科学学术学位，且该专业有导师具备当年学术学 位博士研究生招生资格，有机会推荐申请直博生，报名时先不选择导 师；A 档优秀营员如获得所在学校的研究生推荐免试资格，报考相同专业、学位类型可优先拟录取为天津医科大学眼科医院推荐免试硕 士研究生。 
（2）B档 合格营员 B 档 合格营员如未获得所在学校的研究生推荐免试资格，但通 过参加全国统考硕士研究生，报考天津医科大学眼科医院2025级相 同专业、学位类型，考试成绩达到我校当年该专业复试基本分数线（含 总分、单科分数）标准的合格营员，须参加硕士复试成绩合格后，同等条件下优先推荐。 </t>
  </si>
  <si>
    <t>六、其他 
1. 我院 2024 年度优秀大学生暑期夏令营活动，将在学校研究生招生工作领导小组和天津医科大学眼科医院的直接领导下进行。 
2. 学生报到时需携带在校购买的意外保险证明复印件及父母签字的知情同意书，学员在夏令营期间发生的医疗费用及因个人行为导致的意外事故，由学员本人或其派出单位承担。 
3.请学生报到时携带100元现金，用于院内相关设备及物品使用 押金，离营时退还物品后退还押金，如有损坏，按照定价赔偿。 
4.所有申请学生需确保提供的材料真实有效，如发现有不诚信行为将取消一切资格。 
5.本方案解释权属天津医科大学眼科医院所有。 
6.咨询方式： 
电  话：（022）86428725
E-mail：sciedu_eh@tmu.edu.cn
微信号：17320027589 （添加时请备注：姓名+学校简称+夏令营）</t>
  </si>
  <si>
    <t>北京大学医学部</t>
  </si>
  <si>
    <t>英语水平良好，具备利用英语进行科研、写作以及交流的能力，达到国家六级或相当水平，</t>
  </si>
  <si>
    <t>具体日程另行通知</t>
  </si>
  <si>
    <t>开放时间为6月14日00：00，网上申报截止时间为6月24日00：00。</t>
  </si>
  <si>
    <t>7月1日-2日举办活动</t>
  </si>
  <si>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8.声明（可在系统中下载模板）
说明：个人陈述、专家推荐信、声明均可在系统中下载模板</t>
  </si>
  <si>
    <t>学院为营员提供活动期间的餐补，并将在优秀营员入学后对其在夏令营期间的部分住宿和交通费用进行资助，具体资助方案后续通知.</t>
  </si>
  <si>
    <t>六、其他事项
1.咨询电话：010-82805187；咨询邮箱：pucmt@bjmu.edu.cn。
2.入营的营员需要全程参加夏令营活动。
3. 学院为营员提供活动期间的餐补，并将在优秀营员入学后对其在夏令营期间的部分住宿和交通费用进行资助，具体资助方案后续通知.
4.关于夏令营各项事宜，如有变化，将会及时公告。敬请关注医学技术研究院网站</t>
  </si>
  <si>
    <t>成绩优秀，本科综合成绩排名全年级同专业前30%，且有意攻读中山医学院研究生（已获得或将获得就读大学免试推荐研究生资格者优先考虑）。</t>
  </si>
  <si>
    <t>（一）整体安排
1. 7月12 日：广州市外营员可以入住酒店；
2. 7月13 日：9:00前全体营员报到，举办开营仪式、学术报告；
3. 7月14日、15日：参观各系、室科研平台、师生交流及面试；
4. 7月15日：17:00闭幕、离营。</t>
  </si>
  <si>
    <t>请于2024年6月28日（星期五）前</t>
  </si>
  <si>
    <t>2024年7月12日-7月15日</t>
  </si>
  <si>
    <t>1. 中山大学中山医学院2024年优秀大学生夏令营申请表；
2. 本科阶段成绩单及同年级总成绩排名原件（由教务部门或院系盖章）；
3. 学生证复印件；
4. 二代居民身份证复印件，正反面复印在同一张A4纸内；
5. 其他证明材料：英语水平及获奖证书等。</t>
  </si>
  <si>
    <t>我院将为营员提供伙食、住宿（广州本地高校营员只提供伙食）；交通费用由营员自理。</t>
  </si>
  <si>
    <t>备注：在夏令营中导师已经复试、确定拟接收的免试生，必须在“推免服务系统”（网址:http://yz.chsi.com.cn/tm）上完成报名、录取操作程序（考生报名→招生单位发送复试通知→考生确认复试→招生单位发送拟录取通知→考生确认待录取→招生单位公布拟录取名单）。
2.复试合格并拟录取的免试生需要进行体检。免试生可自行在当地二级甲等及以上医院进行体检（含一流高校、重点高校的校医院），并将体检结果寄送中山大学中山医学院。
3.对已获得我校2025年免试生（含直博生）拟录取资格的本校应届本科毕业生，须签署《中山大学免试研究生（含直博生）就读承诺书》。</t>
  </si>
  <si>
    <t>（一）接收免试生的范围及计划
接收免试生的范围为获得教育部“推免服务系统”注册报名资格的应届优秀本科毕业生。
1.接收的免试硕士研究生原则上应是重点高校的优秀应届本科毕业生，或者是重点学科的优秀应届本科毕业生；直博生原则上应是一流高校或重点学科的优秀应届本科毕业生。
2.拟复试录取未达到上述要求，但有特殊学术专长，且获得教育部“推免服务系统”注册报名资格的优秀应届本科生，须向学院提交申请。
（二）招生类别
招收的免试生全部为非定向就业（“少数民族高层次骨干人才计划”除外）。
（三）复试、录取工作
复试内容包括但不限于外语应用能力、专业素质及能力、实验能力、思想政治素质、心理健康状况等。</t>
  </si>
  <si>
    <t>附属精神卫生中心</t>
  </si>
  <si>
    <t xml:space="preserve">学习成绩优秀；
</t>
  </si>
  <si>
    <t>3、英语水平：CET6≥425或TOFEL≥90或IELTS≥6.0；</t>
  </si>
  <si>
    <t>2024年6月18日10：00起至2024年7月3日24：00间</t>
  </si>
  <si>
    <t>通过“上海交通大学医学院研究生招生报名信息系统”进行网上报名（网址：https://yjs.shsmu.edu.cn/xlybm/login）。请务必先下载本通知文末附件，并仔细阅读后再进行夏令营网上报名。
友情提示：如遇系统故障，考生可先准备其他申请材料并发送至指定邮箱。待系统修复后，请勿忘登录系统提交申请。
注册后登录系统，选择“夏令营报名申请”，认真、仔细填写报名系统内各项内容并按照要求上传相关材料。确认提交后下载打印《上海交通大学医学院研究生招生夏令营申请表》（请仔细核对书面版本申请表中的信息，确认无误后再办理签字盖章等事宜）。本次申请报名均采用网上填报方式进行，请务必确保填报信息的真实性及准确性。</t>
  </si>
  <si>
    <t>1、对于全程完整参加本次夏令营活动的参营者，本学科将为其提供夏令营活动期间在本中心的全部伙食和指定地点的住宿费用、外地院校的学生往返上海的路费（无论何种交通工具，均按动车二等座标准。须提交票根进行报销），以及在营期间由我中心组织的集体课余活动费用。
2、不符合“申请资格”或因提供虚假、不实材料导致未通过“正式参营资格”审核的申请人，本学科不承担申请人办理“正式参营资格审查”的往返路费、食宿等其他费用，申请人须自理。</t>
  </si>
  <si>
    <t>医学院2025年全国优秀大学生选拔优惠政策分设A、B、C、D、E五等标准：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
未获得推免资格的A、B、C等学生自动降为D等。</t>
  </si>
  <si>
    <t>本学科设立优秀大学生选拔夏令营奖学金，凡通过参加本学科优秀大学生选拔夏令营后被本学科录取、按时入学报到且正式获得本校研究生学籍的生源可获得一次性奖学金资助。奖学金等级及金额如下：
1、若获得本科所在学校的推荐免试研究生资格且被本学科成功录取，奖励金额3000元/生。
2、若未获得本科所在学校的推荐免试研究生资格，通过全国统考方式被本学科成功录取，奖励金额1500元/生。1、本次夏令营以线下形式开展。
2、夏令营的申请研究方向选择，优先考虑第一志愿。当第一志愿人满的情况下，本学科将进行统一调剂。
3、我中心2025年全国优秀大学生选拔夏令营活动，将在医学院研究生招生工作领导小组的直接领导下进行，具体方案、实施办法和最终录取结果均须报医学院研究生招生工作领导小组审批；医学院招生监察小组也全程参与督察工作，以确保此项工作。
4、夏令营更多相关内容请密切关注邮件通知及本中心研究生教育网（http://www.smhc.org.cn/GraduateEducation/）公告。</t>
  </si>
  <si>
    <t>品学兼优，在学期间平均成绩在85分以上且无不及格科目；</t>
  </si>
  <si>
    <t>线上、线下</t>
  </si>
  <si>
    <t>夏令营系列活动采取线上和线下相结合的方式，包括两个主要活动：
&gt;&gt;&gt;师生见面会（线上）
——7月5日至7月16日
师生见面会分学科举办，帮助学生深入了解学科和导师的科研方向，同时也提供学生自我展示的机会。各学科根据学生申报的第一志愿，遴选并邀请报名学生中优秀者进入师生见面会环节。师生见面会是确定入营学员的重要环节。
&gt;&gt;&gt;夏令营（现场）
——7月25日至7月27日
计划录取营员200人左右。夏令营活动包括开营式、合影、校园游、能力测试、评选优秀营员等，提供学生和导师面对面交流机会。被录取的营员名单将于7月18日在我院官网上公布，夏令营期间提供免费食宿。</t>
  </si>
  <si>
    <t>2024年6月17日至6月26日24:00之前扫描下方二维码进行填写申报信息。</t>
  </si>
  <si>
    <t>&gt;&gt;&gt;师生见面会（线上）
——7月5日至7月16日       &gt;&gt;&gt;夏令营（现场）
——7月25日至7月27日</t>
  </si>
  <si>
    <t>1.个人证件照片（限100K内）;
2.成绩单（须加盖院系或学校教务部门公章）；
3.总评成绩排名证明（须加盖院系或学校教务部门公章）；
4.国家英语四六级考试、托福、雅思、GRE等英语水平的成绩证明；
5.荣誉与奖励证书复印件；
6.发表文章（只需文章首页并标出作者）；
7.原创性工作成果；
8.专家推荐信1-2封，需副教授以上职称专家亲笔签字。</t>
  </si>
  <si>
    <t>具有或者可能获得保研资格，来源于“985工程”，“双一流”大学，第四轮学科评估B+及以上者优先；被录取营员名单将于2024年7月18日前在我院官网上公布，届时统一安排具体参营事宜。</t>
  </si>
  <si>
    <t xml:space="preserve">
2.在学期间学习成绩优秀，在学期间平均成绩在85分以上， 无不及格科目。
（1）直博生（学术学位博士） 选报直博生的同学须为“双一流”建设高校的2025年应届本科毕业生，且本科期间总评成绩排名在年级前20%，还须提交至少两位报考学科领域内教授（或相当职称）专家的推荐书。
（2）非直博生 
①选报学术学位的同学须为具有推荐免试研究生资格的全国 重点高校2025年应届本科毕业生，截止目前本科总评成绩排名（班级或年级）前 30％。
②选报专业学位的同学须满足以下三个条件之一：
（1）一流大学2025 年应届本科毕业生，截止目前本科总评成绩排名（班级 或年级）前30%；
（2）一流学科建设高校2025年应届毕业生，截止目前本科总评成绩排名（班级或年级）前20%；
（3）本校2025 年应届本科毕业生，截止目前本科总评成绩排名（班级或年级）前 30%。</t>
  </si>
  <si>
    <t>3.通过国家英语六级考试，且成绩达到500分及以上。</t>
  </si>
  <si>
    <t>报名截止时间为2024年6月24日</t>
  </si>
  <si>
    <t>7月3日-7月5日</t>
  </si>
  <si>
    <t xml:space="preserve">1. 本人签字、带照片、单位盖章的《天津医科大学优秀大学生暑期夏令营活动申请表》（网上下载）。
2. 加盖教务部门公章的本科阶段成绩单（截至目前）和专业 排名证明。
3. 英语成绩单或证明（如四级证书、六级证书、托福、雅思、GRE 等证书） 
4. 专家推荐信扫描件说明：①选报直博生的同学需要至少2位报考学科领域内教授 （或相当职称）的专家推荐，且加盖专家单位公章。（网上下载） ②选报非直博生的同学需要2位相关或相近专业副教授 （含）及以上职称的专家推荐，且加盖专家单位公章）。（网上下载） 
5. 荣誉与奖励证书（限5项） 
6. 发表文章（文章首页，并标出作者） 
7. 专利：专利申请书/授权书扫描件 
8. 社会实践获奖证书 
9. 个人陈述PPT（3分钟，内容包括个人简介、本科学习情况、硕士学习计划等），发送至tjchre@tjmuch.com邮箱，PPT一 旦发送不再更换。（备注：1-4和9为必须提供项，5-8为可选项） </t>
  </si>
  <si>
    <t xml:space="preserve">活动期间免费提供职工食堂自助餐。  </t>
  </si>
  <si>
    <t xml:space="preserve">2024 年度优秀大学生暑期夏令营的招生优惠政策分设A、B 两档标准：
1. A 档优秀营员 
A+档   选报直博生且获得A+档优秀营员者，为表现特别突出 的学生，有机会推荐申请直博生。
A 档    选报直博生获得A档和选报非直博生获得A档优秀营 员者，如获得所在学校的研究生推荐免试资格，报考我校相同院系 所、相同专业、学位类型可优先拟录取为我校推荐免试硕士研究生。在夏令营活动中被评为 A+档及 A 档优秀营员的学生，如最终 获得所在学校的研究生推荐面试资格，须按我校要求在规定时间内 通过教育部“全国推荐应届本科毕业生免试攻读研究生信息公开暨 管理服务系统”。网址：
http://yz.chsi.com.cn/tm，完成注册并填报学生信息，进行正式报名，完成规定流程。
2. B 档合格营员 
如未获得所在学校的研究生推荐免试资格，但通过参加全 国统考硕士研究生，报考我校2025级硕士研究生相同院系所、相同专业及学位类型，考试成绩达到我校当年该专业复试基本分数线 （含总分、单科分数）标准的合格营员，须参加硕士复试成绩合格后，同等条件下优先推荐。
</t>
  </si>
  <si>
    <t>1. 我院各招生专业方向成立优秀营员评选小组，由该专业教学经验丰富、责任心强、学术及外语水平较高的老师参与评选工作，每个小组成员不少于5人。
2. 评选考核内容包括所报考专业的综合知识与技能、外国语水 平及思想政治素质和品德考核等；
3. 评选考核采用现场面试方式进行，每位营员的面试时间一般不少于20分钟，进行全程录音录像；
4. 评选考核包括综合素质、外语、专业知识和实验或实践技能的考核，形式为笔试、口试和技能操作等，主要考核学生的 综合素质、综合分析与解决实际问题的能力和动手能力等， 按照总成绩由高到低排名。</t>
  </si>
  <si>
    <t xml:space="preserve"> 具有良好的品德，在学期间学习成绩优秀，截止目前本科总评成绩排名 （班级或年级）前30％，身体健康；</t>
  </si>
  <si>
    <t>通过国家英语六级考试，且成绩达到500分及以上； </t>
  </si>
  <si>
    <t>2024年6月27日前</t>
  </si>
  <si>
    <t>7月3日-7月4日</t>
  </si>
  <si>
    <t xml:space="preserve">1．申请人填写天津医科大学优秀大学生夏令营活动申请表.doc、个人信息 汇总表.xls；
2. 个人陈述（关于个人学术背景、曾经做过的研究工作以及未来学习和研 究的计划、目标等）； 
3．专家推荐信.doc2 封，即需要 2 位相关或相近专业副教授（含）及以上 职称的专家分别推荐，且密封并在封口骑缝处签字；申请直博的申请人使用直博 生专用专家推荐表。 
4．本科阶段成绩单（截至目前），专业排名证明，需加盖教务或学生部门 公章； 
5．大学英语六级成绩单或其他英语水平证明（如近两年内TOEFL成绩或近 三年内GRE成绩等）复印件； 
6．其他证明材料（如体现自身学术水平的代表性学术论文或其他原创性工 作成果复印件、获奖证书复印件等）。  
以上材料《天津医科大学优秀大学生暑期夏令营活动申请表》和《个人信息 汇总表》分别以.doc文件和.xls文件提交，其他材料电子版按顺序扫描合成为 一个PDF 文件，于2024年6月27日前发送至邮箱：
jiaoxueban2024@163.com。 
全部纸质版材料按照顺序左侧装订，所有材料一经提交不再退还，邮寄材料前请 再次确定是否有意向参加我校夏令营，请于2024年6月27日前（以到津邮戳日 期为准）寄至以下地址：天津市河西区平江道23号天津医科大学第二医院，收件人：教学办公室，邮编：300211。
过期不再受理申请，请使用中国邮政的EMS 方式或顺丰快递邮寄，其它快递不予受理。 </t>
  </si>
  <si>
    <t xml:space="preserve">2024 年度优秀大学生暑期夏令营的招生优惠政策分设 A、B 两档标准： 
1. A 档优秀营员 
A+ 档优秀营员取得优秀营员资格，为表现特别突出的 学生，同时学生选报 专业为具有一级学科博士学位授予权  (学术学位)的学科专业，且该专业有导 师具备当年学术学位博士研究生招生资格，有机会推荐申请直博生，报名时学生 先不选择导师。
A 档优秀营员如获得所在本科学校的研究生推荐免试资格，并申请我校相同 院系所、专业(方向)及学位类型，同等条件下优先录取。在夏令营活动中被评为 A+档及 A 档优秀营员的学生， 如最终获得所在学 校的研究生推荐免试资格，须按我校要求在规定时间内通过教育部“全国推荐应 届本科毕业生免试攻读研究生信息公开暨管理服务系统 ” 
( 网址：http://yz.chsi.com.cn/tm), 完成注册并填报学生信息，进行正式报名，完成 规定流程。
2. B 档合格营员 
如未获得所在学校的研究生推荐免试资格，但报考我校2025级硕士研究生 的合格营员，可享受B档优惠政策。
B 档合格营员，通过参加全国统考硕士研究生，报考我校2025 级硕士研究 生相同院系所、专业(方向)及学位类型，考试成绩达到我校当年该院系所、专业 (方向)复试基本分数线(含总分、单科分数)标准的合格营员，须参加硕士复试成 绩合格后，同等条件下优先推荐。 </t>
  </si>
  <si>
    <t>我院将根据申请者提交的材料，以申请者的教育背景、学业水平、科研能力、 综合素质等为主要评价依据，由学科专家组对申请者进行资格评审。天津医科大 学研究生院于2024年7月将在研究生院网站公布入围者名单。 </t>
  </si>
  <si>
    <t>另行通知。</t>
  </si>
  <si>
    <t xml:space="preserve">  1、网上报名后生成的表格打印后本人签字；
        2、前3年半成绩单与总评成绩排名证明（有学校教务部门或所在院系公章）；
        3、其他能体现自身能力的材料：获奖证书复印件、英语水平证明、学术论文、参与项目证明等（非必要，如有，请提供）。
以上所有申请材料请按序号顺序依次扫描后制作成一个PDF文件中，上传至网络报名系统（未上传将视为报名材料不完整）。
请自觉保证提供材料的真实性。营员报到时需携带纸质申请材料（其中成绩单和排名证明必须为原件），夏令营组委会将会对材料进行复核，如有不实将取消录取资格</t>
  </si>
  <si>
    <t>录取工作将于2024年7月上旬结束，录取结果可在夏令营网站查询。组委会将通过中国科学技术大学研究生信息平台通知本人（以电子邮件或手机短信形式），未录取者不再另行通知。录取营员需承诺全程参与夏令营所有活动。</t>
  </si>
  <si>
    <t>基础医学与法医学院</t>
  </si>
  <si>
    <t>学习成绩优秀，本科期间综合成绩排名靠前，能获得推免资格者优先；</t>
  </si>
  <si>
    <t>夏令营期间将进行一系列活动，如学院宣传及学科介绍、专家讲坛、营员与导师交流、参观实验室等活动。</t>
  </si>
  <si>
    <t>截止日期2024年6月30日18点。</t>
  </si>
  <si>
    <t>1、申请表（报名成功后由系统自动生成，下载后经所在单位推荐盖章后再上传至系统）；
2、本科成绩单和专业排名证明（各1份，院、校两级教务部门盖章均可）；
3、大学英语四/六级成绩单、TOEFL、GRE成绩单等英语成绩证明材料；
4、相关获奖证书复印件、学术成果复印件等。</t>
  </si>
  <si>
    <t>本次夏令营不收取任何费用，学院承担营员在营期间食宿，交通费自理。</t>
  </si>
  <si>
    <t>同时组织拟推免或报考我院研究生的营员进行提前考核，考核优秀的营员，获得推免资格且满足我院接收推免生条件者，在推免系统及时响应填报我院即可免复试予以录取；未能获得推免资格但第一志愿报考我院的优秀营员（统考报考专业需与夏令营考核专业相同），同等条件下优先录取。</t>
  </si>
  <si>
    <t>1、在营期间，营员必须遵守四川大学的相关规定。
2、在营期间进行的相关面试考核，禁止录音录像。
3、请收到参营通知且确认参加的营员加QQ群：164278016（备注姓名+本科学校+基法2024夏令营），后续事宜将在群中统一通知。
4、请确保提供材料的真实性，否则视为无效报名，将取消考核资格及成绩。</t>
  </si>
  <si>
    <t xml:space="preserve"> 具有良好的思想品德，在学期间学习成绩优秀，心身健康；</t>
  </si>
  <si>
    <t>英语水平良好，具备使用英语进行科研、写作以及交流的能力；</t>
  </si>
  <si>
    <t>夏令营申请工作从6月21日起开始,7月10日截止。</t>
  </si>
  <si>
    <t>1.夏令营申请表(申请表可于系统导出打印，本人亲笔签名)，填写后学校教务处或院系负责人签字盖章；
2.个人简历及个人陈述(关于个人学术背景、曾经做过的研究工作以及未来学习和研究的计划、目标等，可于系统中下载模板)，须本人亲笔签名；
3.本科历年成绩单1份，须加盖所在学校教务部门公章；
4.成绩排名证明(含专业成绩排名和综合成绩排名，由学校教务部门盖章或院系出具证明)；
5.英语六级水平证书或相关英语成绩证明（官方认证的纸质成绩单复印件）；
6.其他有关能力的证明材料(如：发表论文、专利，各类获奖等)；
7.专家推荐信2封（副教授及以上职称相关专业专家分别推荐，模板可在系统中下载，须专家签字确认）；
8.声明（可在系统中下载模板）。</t>
  </si>
  <si>
    <t>本次夏令营活动不收取任何费用，请自行安排交通和食宿。</t>
  </si>
  <si>
    <t>2.只接受网上系统内报名，未在规定系统内报名或报名不成功者视为自动放弃。
3.咨询电话：010-62723747，咨询邮箱：bdlyjyc@126.com。
4.入营的营员需要全程线下参加夏令营活动。
5.关于夏令营各项事宜，如有变化，将会及时公告。敬请关注北京大学第六医院官方网站。</t>
  </si>
  <si>
    <t xml:space="preserve">具有一定的创新能力和科研潜能，本科成绩优异，学习成绩排名在班级或 年级前列。 </t>
  </si>
  <si>
    <t>英语水平良好。英语达到国家六级水平（425分及以上）或托福、雅思等 成绩合格。</t>
  </si>
  <si>
    <t xml:space="preserve">活动内容包括招生政策解读、学科交流、 综合能力测试等内容，具体时间与地点另行通知。
</t>
  </si>
  <si>
    <t>2024年6月20日-7月20日。</t>
  </si>
  <si>
    <t xml:space="preserve">1.《华中科技大学同济医学院附属协和医院2024年学术夏令营申请表》， 见附件。 
2.成绩单（由院系教务部门盖章），成绩排名证明。 
3.全国大学英语六级成绩单，或其他体现自身英语水平的成绩证明。
4.获奖证书及参与科研项目证明复印件等。 
5.体现自身学术水平的学术论文、出版物或原创性成果，请注明本人排名。1055 药学（研究方向临床药学）申请人按照上述申请材料清单将所有申请 材料合并一份PDF文件发送到xhyjsk@126.com，截止时间为2024年7月20日， 逾期不候。请申请学员加QQ群：741737484或893550493（只须加入其中一个即可， 不要重复入群），验证信息：学校+姓名，后续工作安排将在群中通知。 </t>
  </si>
  <si>
    <t>本次夏令营活动不收取任何费用，所有营员食宿自理。评为优秀夏令营学员者报销火车票和住宿费（按票据报销，其中交通单程上限800元，软卧、动车 一等座及飞机票不予报销，住宿费上限250元/天）。</t>
  </si>
  <si>
    <t>营员在夏令营参加综合能力测试的成绩作为2025级推荐免试研究生录取重要参考</t>
  </si>
  <si>
    <t>1.根据报名人数以及申请者条件综合考量，拟录取营员名单将在协和医院研 究生教育官方网站上公布：
https://www.whuh.com/yxjy/yjsjy.htm
2.营员入营报到时需携带身份证、学生证。
3.请营员参加活动时注意人身安全及财产安全，建议自行购买相关保险。</t>
  </si>
  <si>
    <t>学习成绩优异，综合素质高，有志于从事学术研究工作，有较强的或潜在的研究能力，学风端正，品德优良。</t>
  </si>
  <si>
    <t>活动当天具体安排（2024年7月17日）
1. 开营仪式：
医院领导、导师代表、全体营员参加
2024年7月17日上午8:30 湘雅三医院科教楼3楼学术报告厅
2. 各科室见面会（7月17日开营仪式之后）：
具体时间安排同科室联络人确认（详见附件1），见面会（面试）内容如下：
（1）综合面试：包括思想政治素质、人文素质、仪态举止、团队精神、社会责任感、心理健康情况等
（2）个人风采展示（各学科参考）：在入营前一周，由各学科指定若干本专业相关课题，要求营员对该课题进行文献复习并课题设计（包含但不限于：文献复习、提出问题、制定研究方案、可行性分析等）,然后进行PPT总体汇报与答辩，以此检验学生综合学习能力、科研思维能力、团队合作精神等综合素质。
（3）师生交流：由各学科带头人向营员进行学科医、教、研情况介绍和各自研究课题组的研究方向与前沿动态，同时参营学生向研究生了解主办单位的学科实力、研究生待遇以及招生导师的水平素养，以此对招生单位、招生导师加深了解,促进师生的双向选择。
各学科设置面试小组，面试形式可参考上述方案并由学科自行决定。面试过程中面试小组应对学生的思想政治表现进行评定（合格与不合格）；英语水平（总分100分，取3位考官平均分）；专业基础知识（总分100分，取5位考官平均分）；以及综合素质（总分100分，取5位考官平均分）进行评定，并将评定结果填入学生的《推免生复试情况登记表（夏令营）》（附件2），科室完成见面会后由学科秘书上交学生的推免生复试情况登记表至研究生部。
3. 7月18日营员自行离院</t>
  </si>
  <si>
    <t>申请截止日期：6月21日</t>
  </si>
  <si>
    <t>活动时间：7月16日-7月18日</t>
  </si>
  <si>
    <t>①本人有效二代身份证件和学生证（扫描件）；
②网上提交申请后，下载打印《申请表》一份；
③个人简历及个人陈述，简要陈述参加本次夏令营的原因、目的和期望；
④在校历年学习成绩单及成绩排名证明一份，并由所在学校或院系教务部门加盖公章；
⑤大学英语四级或六级考试成绩单复印件一份；
⑥有学术成果（包括公开发表论文、出版著作、获得专利、获得学术科技奖项、承担课题或者其他具有学术水平的工作成果）者，提供学术成果一份；
⑦有获得各类荣誉、表彰、奖励证书者，提供材料一份。
⑧推荐书1份（附件下载）
以上材料请准备两份，一份审核时交研究生部，一份带给面试导师审阅，同时请于7月14日前将上述材料扫描后合并为一个PDF文档发送至各联络人邮箱（各联络人邮箱见附件1），电子邮件标题请注明“2025年夏令营：本科就读学校+专业+姓名；各申请人务必保证所提交申请材料的真实性和准确性，若有虚报、谎报等不端行为，一经查实，将取消入营资格。另请同步发送填写好个人信息的“中南大学2025年推免生复试情况登记表（夏令营）”，详见附件2。</t>
  </si>
  <si>
    <t>1. 食宿：我院将为夏令营营员提供开营当天（7月17日）就餐，住宿请自理。
2. 交通费：外地院校的学生请自行预订往返车票及安排住宿，在9-10月的国家推免系统中被我院录取的同学，予以报销一定的交通费，请保留往返车票等。
3.我院负责购买入营学员在营期间保险，学生在夏令营期间发生的医疗费用及因个人行为导致的意外事故，保险外部分由学生本人承担。</t>
  </si>
  <si>
    <t xml:space="preserve">1. 对获得我院优秀营员，且取得所在高校推荐免试资格的考生，按我校接收推荐免试攻读硕士研究生办法进行报名和录取。此类考生须于2024年9月28日-10月15日在教育部“全国推荐免试攻读研究生信息公开暨管理服务系统”(网址: http://yz.chsi.com.cn/tm)进行网上报名并确认录取，否则视为放弃。
</t>
  </si>
  <si>
    <t>3. 请全体营员加入湘雅三医院参加夏令营通知QQ群号：963688986（具体安排将通过此群发布，请务必入群，请输入学校-姓名验证，进群后及时修改群名片为：本科学校名称+真实姓名+拟报考专业）。有关信息请以qq群及医院官网通知信息为准，特别提醒，请勿随意添加陌生好友，谨防各类网络电信诈骗。</t>
  </si>
  <si>
    <t xml:space="preserve">在学期间学习成绩优秀，截止目前 本科总评成绩排名（班级或年级）前30％，身心健康，健康 状况符合国家及我校的相关体检要求；申请直博生的学生，须为“双一流”建设高校的应届毕业生，且本科期间总评成绩排名在年级前20%，；
</t>
  </si>
  <si>
    <t xml:space="preserve">英语水平良好，通过国家英语六级考试,且成绩达到 500 分及以上。5.学术学位相关专业均可接收跨专业申请，临床医学及 口腔医学专业学位不接收跨专业申请。 
</t>
  </si>
  <si>
    <t>6月24日24时前</t>
  </si>
  <si>
    <t>2024年7月3日--8日</t>
  </si>
  <si>
    <t xml:space="preserve">1.申请人下载并填写天津医科大学优秀大学生暑期夏令营 活动申请表.doc及暑期夏令营个人信息汇总表.xls； 
2.个人陈述（关于个人学术背景、曾经做过的研究工作以及 未来学习和研究的计划、目标等）；
3.专家推荐信.doc 2封，即需要2位相关或相近专业副教授 （含）及以上职称的专家分别推荐；
4.本科阶段成绩单（截至目前），专业排名证明，需加盖教 务或学生部门公章； 
5.大学英语六级成绩单、其他英语水平证明（如近两年内 TOEFL 成绩或近三年内GRE成绩等）复印件；
6.其他证明材料（如体现自身学术水平的代表性学术论文或 其他原创性工作成果复印件、获奖证书复印件等）。《天津医科大学优秀大学生暑期夏令营活动申请表》和 《2024 年度暑期夏令营个人信息汇总表》分别以doc文件和xls 文件提交，其他申请及证明材料电子版按顺序扫描为一个PDF文 件。以上报名材料组成一个压缩包文件，文件命名方式：XXX大学-姓名-总医院夏令营申请，请于6月24日24时前发送至邮箱：zyyjiaoxuechu@126.com。 </t>
  </si>
  <si>
    <t xml:space="preserve">2024 年度优秀大学生暑期夏令营的招生优惠政策分设A、B 两档标准： 
1. A 档优秀营员 
A+档 优秀营员取得优秀营员资格，为表现特别突出的学 生，同时学生选报专业为具有一级学科博士学位授予权（学术学 位）的学科专业，且该专业有导师具备当年学术学位博士研究生 招生资格，有机会推荐申请直博生，报名时学生先不选择导师。
A 档 优秀营员如获得所在本科学校的研究生推荐免试资 格，并申请我校相同院系所、专业（方向）及学位类型，同等条件下优先录取。在夏令营活动中被评为A+档及A档优秀营员的学生，如最 终获得所在学校的研究生推荐免试资格，须按我校要求在规定时 间内通过教育部“全国推荐应届本科毕业生免试攻读研究生信息 公开暨管理服务系统”(网址：http://yz.chsi.com.cn/tm)，完成注册 并填报学生信息，进行正式报名，完成规定流程。 
2. B 档合格营员 
如未获得所在学校的研究生推荐免试资格，但报考我校2025 级硕士研究生的合格营员，可享受B档优惠政策。 B 档合格营员，通过参加全国统考硕士研究生，报考我校 2025 级硕士研究生相同院系所、专业（方向）及学位类型，考 试成绩达到我校当年该院系所、专业（方向）复试基本分数线（含 总分、单科分数）标准的合格营员，须参加硕士复试成绩合格后， 同等条件下优先推荐。 </t>
  </si>
  <si>
    <t xml:space="preserve">1.本年度夏令营采取现场面试形式，具体安排请随时关注天津医科大学研究生院官网相关通知更新； 
2.所有申请学生需确保提供的材料真实有效，如发现提供虚 假信息或材料者将取消一切资格； 
3.本方案解释权属天津医科大学总医院教学处所有；
4.咨询方式：
电话：（022）60362351 
E-mail：zyyjiaoxuechu@126.com 
5.符合2024年度优秀大学生暑期夏令营活动申报条件学生，请于6月24日前扫描以下二维码实名进入工作群，我们将在工作群发布相关通知和安排（注：如果发现群内学生不符合申 报条件，我们保留将其移出工作群权利）。 </t>
  </si>
  <si>
    <t>学习成绩优异，科研潜力突出，对全球健康及全健康相关领域感兴趣；</t>
  </si>
  <si>
    <t>英语水平CET6≥500、TOEFL≥94或IELTS≥6.5，其他方面特别优秀者英语可以放宽。</t>
  </si>
  <si>
    <t>2024年7月11日-7月13日</t>
  </si>
  <si>
    <t>1) 《上海交通大学医学院研究生招生夏令营申请表》（报名系统生成）；
2) 身份证、学生证复印件各1份；
3) 本科期间成绩单复印件1份；
4) 其他证明材料复印件（如发表的学术论文、获奖或资格证书、国家英语四、六级等各类英语考试成绩单）各1份；
5) 两位所在学院副教授（含）以上职称的专家推荐信（见附件一模板）。</t>
  </si>
  <si>
    <t>在学期间成绩优秀；</t>
  </si>
  <si>
    <t>英语水平优秀，具备利用英语进行科研、写作以及交流的能力；</t>
  </si>
  <si>
    <t>活动内容主要包括学院总体情况介绍、学科专业介绍、科研/临床环境介绍、研究生培养情况介绍等环节。活动具体安排另行通知。</t>
  </si>
  <si>
    <t>本学院网上报名系统开放时间为6月24日00:00，网上申报截止时间为7月10日23:00，逾期不再接受申请。</t>
  </si>
  <si>
    <t>7月底</t>
  </si>
  <si>
    <t>1.夏令营申请表(申请表可于系统导出打印)，填写后由学校教务处或院系负责人签字盖章；
　　2.个人简历及个人陈述(关于个人学术背景、曾经做过的研究工作以及未来学习和研究的计划、目标等，可于系统中下载模板，须亲笔签字)；
　　3.本科历年成绩单1份，须加盖所在学校或院系教务部门公章；
　　4.英语六级水平证书或相关英语成绩证明（官方认证的纸质成绩单复印件）；
　　5.成绩排名证明(含专业成绩排名和综合成绩排名，由学校教务部门盖章或院系出具证明)；
　　6.专家推荐信2封（副教授及以上职称相关专业专家分别推荐，模板可在夏令营申请系统中下载，须专家签字确认）；
　　7.声明（可于系统中下载模板）；
　　8.其他有关能力的证明材料(如：发表论文、专利，各类获奖等)。
　　以上1-7为必须项，第8项由申请人根据自身实际情况提交。须保证所有材料真实有效，若有虚假将取消入营资格与后续活动报名资格。</t>
  </si>
  <si>
    <t>五、材料审核及夏令营资格审定
　　1、因报名同学较多，不提供电话确认。所提交的申请材料只适用于当次申请。
　　2.夏令营材料审核和夏令营入营资格审定工作由专门工作委员会负责。夏令营入营名单将在北京大学第一医院官方网站上公布，未入选者，不另行通知。更多学院通知及导师信息介绍请关注医院官网（https://www.pkufh.com/Html/News/Columns/1254/Index.html）。
　　六、其他事项
　　1.只接受网上报名，不在规定系统内上传申请材料者视为自动放弃。
　　2.咨询电话：010-66551066；咨询邮箱：bdyanban@bjmu.edu.cn。
　　3.关于夏令营各项事宜，如有变化，将会及时公告。敬请关注北京大学第一医院官方网址：https://www.pkufh.com/Html/News/Columns/1254/Index.html。
　　招生咨询/导师介绍请关注“BDYY青年”公众号</t>
  </si>
  <si>
    <t>第五临床医学院</t>
  </si>
  <si>
    <t>.在学期间成绩优秀；
；</t>
  </si>
  <si>
    <t>英语水平良好，达到国家六级或相当水平，具备利用英语进行科研、写作以及交流的能力</t>
  </si>
  <si>
    <t>活动内容主要包括学院总体情况介绍、学科专业介绍、实验室参观以及导师学生互动交流等，具体安排另行通知。</t>
  </si>
  <si>
    <t>本学院网上报名系统截止时间为:7月7日24:00。</t>
  </si>
  <si>
    <t>1.夏令营申请表(申请表可于系统导出打印)，填写后学校教务处或院系负责人签字盖章；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7.专家推荐信2封（副高及以上职称相关专业专家分别推荐）；
8.声明。
提示：个人陈述、专家推荐信、声明均可在系统中下载模板</t>
  </si>
  <si>
    <t>1.因报名同学较多，不提供电话确认。所提交的申请材料只适用于当次申请。
2.材料审核及夏令营入营资格审定：夏令营材料审核和夏令营入营资格审定工作由专门工作委员会负责。夏令营入营名单将在北京医院官网教学栏目公布，未入选者，不另行通知。</t>
  </si>
  <si>
    <t>附属儿童医院</t>
  </si>
  <si>
    <t>选拔重点高校拟获得推荐免试资格的 2024年应届本科毕业生</t>
  </si>
  <si>
    <t>申请对象外语水平须达到 CET6≥425（TOEFL≥90或IELTS≥6.0）。</t>
  </si>
  <si>
    <t>有意者可于即日起至2024年7月2日间，通过“上海交通大学医学院全国优秀大学生夏令营报名服务系统（https://yjs.shsmu.edu.cn）”进行报名。</t>
  </si>
  <si>
    <t>有意者可于即日起至2024年7月2日间，通过“上海交通大学医学院全国优秀大学生夏令营报名服务系统（https://yjs.shsmu.edu.cn）”进行报名。
报名请注册登录后，选择“727-儿童医院-上海交通大学医学院附属儿童医院2025年研究生招生优秀大学生夏令营”，填写报名表并按要求上传报名材料。</t>
  </si>
  <si>
    <t>优秀生源选拔工作小组根据学生综合素质、科研能力和学术潜质等进行考核，考核评审结束后给予相应的考核等第成绩，具体如下：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</si>
  <si>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 xml:space="preserve">本科学习成绩优秀，具有较强的专业知识和较好的科研潜质；
4. 就读本科院校为全国著名高校或就读本科院校的学科为全国优势学科，且将于2025年6月毕业；
</t>
  </si>
  <si>
    <t>5. 具有良好听、说、读、写的英语应用能力，英语六级成绩达到426分及以上。</t>
  </si>
  <si>
    <t>2. 活动方式：现场参加学术讲座与综合能力面试；
3. 活动安排：
29日（周一）上午：营员报到；
29日（周一）下午：开营仪式，医院研究生教育情况介绍，参观医院；
30日（周二）全天：参加学术讲座，上午、下午各2个专题；
31日（周三）上午：综合能力面试；
31日（周三）下午：结营仪式；</t>
  </si>
  <si>
    <t>1.申请人报名（7月10日前）
将材料1-7按序制成一份PDF文档，和夏令营申请基本信息表（附件2）一起，制成压缩包，压缩包命名“就读学校+姓名+夏令营报名材料”（如：北京大学×××夏令营报名材料），邮件发送至ningli@mail.sysu.edu.cn，（请勿用QQ邮箱或网易邮箱）。
2.寄送纸质版材料（7月10日前）
请申请人将申请材料1-7纸质版（请与电子版材料顺序保持一致，无需夏令营申请基本信息表纸质版）使用顺丰快递邮寄到广东省深圳市中山大学附属第八医院研究生科，邮寄地址：深圳市福田区福华路92号中山大学附属第八医院行政楼研究生科（414室）。
3.材料审核及录取（7月15日前）
研究生科将对报名材料进行审查，审查时以正式提交的纸质版材料为准，材料不符合要求者不予录取。
4.公布录取名单（7月15日前）
中山大学附属第八医院官网研究生教育栏目将公布中山大学附属第八医院2024年全国优秀大学生夏令营录取名单等相关信息，届时未接到入营通知的同学皆为未入选者，不另行通知。被录取人员如因特殊情况不能参加本次夏令营，请于7月19日前及时与我们联系。</t>
  </si>
  <si>
    <t>2024年7月29日-31日；</t>
  </si>
  <si>
    <t xml:space="preserve">1. 中山大学附属第八医院全国优秀大学生夏令营申请表1份原件（附件1），请帖好1寸证件照，无底色要求；
2.个人简历1份；
3.本科阶段成绩单原件或复印件（由学校教务部门或院系盖章）1份；
4.英语水平证明材料复印件（英语6级、托福、雅思、GRE等成绩）；
5.其他证明材料复印件（如代表性学术论文、其他原创性工作成果、获奖证书等）；
6.学生证第一页和第二页复印到一张A4纸的复印件；
7.二代居民身份证复印件1份（正反面复印在同一张A4纸内）。
 </t>
  </si>
  <si>
    <t>2.本次夏令营不收取任何费用，免费为学员提供食宿；
3.本单位为异地高校学生补助往返交通费用，火车票按我校规定的学生交通标准报销（普通列车票、高铁二等座），超出部分由学生自己负担；</t>
  </si>
  <si>
    <t>在招生环节，参加我院夏令营、考核成绩良好且取得所在学校推荐免试研究生资格的优秀生源可以直接录取为中山大学硕士研究生或者直博生；奖助金评定时，推荐免试生奖助金等级优先，第一志愿报读附属第八医院的生源奖助金等级优先。除给予中山大学规定的奖助金外，医院每个月还给予研究生较高的生活补助，给予优秀生源一次性优秀学子奖学金，我院研究生在学期间获得的各类奖助金可以保障在学期间生活费用。</t>
  </si>
  <si>
    <t>4.夏令营考核成绩合格者将邮寄颁发结营证书；
5.参加本次夏令营活动将作为我院2025年硕士研究生招生优先录取依据（含接收推荐免试研究生）；
6.加入“中大八院2024年夏令营”QQ群（群号954955851）。</t>
  </si>
  <si>
    <t>附属南开医院</t>
  </si>
  <si>
    <t>.在学期间学习成绩优秀，本科阶段前4(或3)年总 成绩排名在该校同年级本专业名列前茅，申请直博生的学生，须为“双一流”建设高校的 应届毕业生，且本科期间总评成绩排名在年级前20%,还 须提交至少两位报考学科领域内教授(或相当职称)专家 的推荐书。</t>
  </si>
  <si>
    <t>通过国家英语 六级考试，且成绩达到500分及以上，达到所在高校推荐免试生要求；</t>
  </si>
  <si>
    <t>截止日期：2024年 6月25日，过期不再受理申请。</t>
  </si>
  <si>
    <t>2024年7月4—5日</t>
  </si>
  <si>
    <t>1.申请人填写天津医科大学优秀大学生暑期夏令营 活动申请表.doc 及个人信息汇总表.xls ，并将电子版发 送至邮箱：cuiwei913@126.com；
2.个人陈述（关于个人学术背景、曾经做过的研究 工作以及未来学习和研究的计划、目标等）；
3.专家推荐信.doc2封，即需要2位相关或相近专业 副教授（含）及以上职称的专家分别推荐，且密封并在 封口骑缝处签字；申请直博的申请人使用直博生专用 专家推荐表；
4.本科阶段成绩单（截至目前），专业排名证明， 需加盖教务部门或学生部门公章；
5.大学英语六级成绩单或其他英语水平证明（如近 两年内TOEFL成绩或近三年内GRE成绩等）复印件；
6.其他证明材料（如体现自身学术水平的代表性学 术论文或其他原创性工作成果复印件、获奖证书复印件 等）。以上材料按照顺序左侧装订，所有材料一经提交不 再退还，邮寄材料前请再次确定是否有意向参加我院夏令营，请将材料寄至以下地址：天津市南开区长江道6 号天津市南开医院临床学院办公室，收件人：南开医院 临床学院办公室，邮编：300100，电话：（022） 27435008。电子版及纸质版材料接收截止日期：2024年 6月25日，过期不再受理申请。</t>
  </si>
  <si>
    <t xml:space="preserve">2024年度优秀大学生暑期夏令营的招生优惠政策分设A、B两档标准：
1.A档优秀营员 
A+档优秀营员取得优秀营员资格，为表现特别突出 的学生，同时学生选报专业为具有一级学科博士学位授 予权(学术学位)的学科专业，且该专业有导师具备当年 学术学位博士研究生招生资格，有机会推荐申请直博生， 报名时学生先不选择导师。
A档优秀营员如获得所在本科学校的研究生推荐免 试资格，并申请我校相同院系所、专业(方向)及学位类 型，同等条件下优先录取。在夏令营活动中被评为A+档及A档优秀营员的学生， 如最终获得所在学校的研究生推荐免试资格，须按我校 要求在规定时间内通过教育部“全国推荐应届本科毕业 生免试攻读研究生信息公开暨管理服务系统 ”
网 址 ：http://yz.chsi.com.cn/tm
完成注册并填报学生信息，进行正式报名，完成规定流程。
2.B档合格营员 
如未获得所在学校的研究生推荐免试资格，但报考我校2025级硕士研究生的合格营员，可享受B档优惠政 策。B档合格营员，通过参加全国统考硕士研究生，报 考我校2025级硕士研究生相同院系所、专业(方向)及学 位类型，考试成绩达到我校当年该院系所、专业(方向) 复试基本分数线(含总分、单科分数)标准的合格营员，须参加硕士复试成绩合格后，同等条件下优先推荐。
3.我院录取的学术学位推荐免试硕士研究生，在学 期间表现优秀者，可优先申请硕博连读、公派出国等项目。相关说明参见天津医科大学研究生院的有关规定；
</t>
  </si>
  <si>
    <t>学习成绩优秀（本科期间综合成绩年级排名前40%）；</t>
  </si>
  <si>
    <t>全国大学外语四级考试成绩460分及以上或通过外语六级考试，TOEFL、GRE等成绩优秀者优先；</t>
  </si>
  <si>
    <t>见附件</t>
  </si>
  <si>
    <t>2024年7月10日-12日</t>
  </si>
  <si>
    <t>①《兰州大学第一临床医学院2024年优秀大学生暑期夏令营申请表》（见附件）；
②本科成绩单与本专业排名证明扫描件（需加盖教务处或院系公章）；
③外语水平证明，全国大学英语四/六级成绩单或其他同类别英语考试成绩单扫描件；
④其他证明材料，如已发表论文或专利扫描件、本科期间各类获奖证书扫描件等。</t>
  </si>
  <si>
    <t>学院将为入选营员统一提供免费食宿。
2.外地学生请自行预定往返车票，我院将按普通硬座火车票价报销交通费，学生需保存并在返校后以快递形式提交相关票据。
3.学院为参营人员购买夏令营活动期间人身意外伤害保险，参与夏令营活动期间发生的医疗费用及因个人行为导致的意外事故，由学员本人或其派出单位承担。</t>
  </si>
  <si>
    <t>1.在校期间学习优秀，未受过任何处分，预计2025届按期毕业并获得学士学位的优秀本科生；重点考虑双一流建设高校和一流学科建设高校，及学科评估临床医学学科排名B+及以上的院校；
2.学习成绩优秀（本科期间综合成绩年级排名前40%）；
3.全国大学外语四级考试成绩460分及以上或通过外语六级考试，TOEFL、GRE等成绩优秀者优先；
4.本科期间参加科研训练者优先；
5.以第一作者发表CSCD论文或获得国家专利者优先；
6.预计能取得学校推荐免试硕士生资格者优先。</t>
  </si>
  <si>
    <t>珠江医院</t>
  </si>
  <si>
    <t>本科阶段总成绩排名在该校同年级本专业前30％之内（特别优秀者可酌情放宽），或平均成绩80分以上（GPA3.0以上）。</t>
  </si>
  <si>
    <t>具有良好的外语水平。满足下列条件之一者可优先：1.英语四级≥500分；2.六级≥450分；3.雅思≥6.0分；4.托福≥90分；5.全国性英语比赛三等奖以上获得者。</t>
  </si>
  <si>
    <t>活动报名从即日起至6月30日</t>
  </si>
  <si>
    <t xml:space="preserve">2024年7月（具体时间另行通知）
 </t>
  </si>
  <si>
    <t>提交资料：请将所需资料按以下排序扫描整合为一个PDF文件，发送至邮箱444959672@qq.com，邮件与附件命名示例：姓名-本科院校-二临夏令营报名。
（1）南方医科大学第二临床医学院2024年全国优秀大学生暑期夏令营申请表（必需项）；
（2）学生证（必需项）；
（3）个人简历（必需项）；
（4）本科阶段成绩单及同年级总成绩排名表（由教务部门或院系盖章，必需项）；
（5）英语水平证明（四六级或雅思托福证书等，必需项）；
（6）本科阶段重要获奖证明（有则提供，非必需项）；
（7）论文发表、科研成果、学术产出等证明（有则提供，非必需项）；
（8）其他个人业绩材料补充。</t>
  </si>
  <si>
    <t>为营员提供夏令营参营用品（精美纪念品、夏令营证书等）。
（二）通过夏令营并最终推免录取我院，符合条件的学生将享受“珠江青苗人才计划”支持，进行硕士-博士-博士后贯通式培养，开展境外学习交流。
（三）学院为营员提供夏令营期间食宿（本校、本市学生不提供住宿）。</t>
  </si>
  <si>
    <t>根据申报类别，获得相应（直博、学术型硕士、专业型硕士）的夏令营预录取通知书，且之后取得所在学校“推免”资格的优秀营员，可直接接收为我校2024年临床医学“推免生（含直博生）”。</t>
  </si>
  <si>
    <t>一、研究生导师队伍
（一）南方医科大学研究生招生网站：https://yjsxt.smu.edu.cn/Open/TutorList.aspx
（二）珠江医院网站：https://www.zjyy.com.cn/template/education/graduateStudent.html?fd_branchId=368
二、申请资格
（一）全国各高校临床医学、儿科学、医学影像学(五年)、麻醉学(五年)专业2025届本科毕业生。
（二）热爱社会主义祖国，拥护中国共产党的领导，遵纪守法；在读期间，具有良好的品行，无违法违纪行为。
（三）本科阶段总成绩排名在该校同年级本专业前30％之内（特别优秀者可酌情放宽），或平均成绩80分以上（GPA3.0以上）。
（四）积极参加临床及科研学习，具有较强动手能力和较好科研潜质，有志于从事医学领域实践及科学研究工作，满足以下条件之一者可优先：有科研相关经历、发表论文、申请专利或在科技创新研究方面有突出表现者；获得我校科研启蒙计划资助者；参加校级以上挑战杯、互联网+、临床思维类或技能类竞赛、辩论赛三等奖以上获奖者。
（五）具有良好的外语水平。满足下列条件之一者可优先：1.英语四级≥500分；2.六级≥450分；3.雅思≥6.0分；4.托福≥90分；5.全国性英语比赛三等奖以上获得者。</t>
  </si>
  <si>
    <t>儿科临床医学院</t>
  </si>
  <si>
    <t>学习成绩优秀。学位课程平均学分绩点（GPA）年级排名“双一流”高校前50%，其他高校前30%，科研能力突出者可适当放宽（需提供证明材料），具有推免保送资格的学生优先</t>
  </si>
  <si>
    <t>2024年6月25日——7月15日</t>
  </si>
  <si>
    <t>2024/7/26。（1）面试时间：暂定于8月中旬进行；
（2）优秀营员的评选注重考查学生的创新能力、专业素养、综合素质以及思想政治素质和品德考核等，既进行学业知识考核，也注重能力、素质和潜质的考查；
（3）评选考核采用网络远程方式，考核平台另行通知</t>
  </si>
  <si>
    <t>（1）填写《苏州大学苏州医学院儿科临床医学院2024年全国优秀大学生夏令营申请表》；
（2）本科成绩单和成绩专业排名证明；
（3）其他能证明能力特长的相关材料（已发论文、各类获奖证书、CET六级等各类英语考试成绩单）。
申请表及证明材料打包发送sdeklc@163.com
电子邮件文件命名格式：2024苏大儿科临床医学院夏令营-姓名</t>
  </si>
  <si>
    <t>营员遴选结果将于7月20日前在苏州大学儿科临床医学院网站公布，网址http://cps.suda.edu.cn/
（1）学院将根据申请者提交的材料，以教育背景、学业水平、科研能力、综合素质等为主要评价依据，对申请者进行资格评审；
（2）申请人必须确保提供的信息和材料真实、准确。若发现申请人在申请材料和考试中有弄虚作假行为，取消其申请资格。</t>
  </si>
  <si>
    <t>学习成绩优异，具有浓厚科研兴趣，具有一定科研能力；</t>
  </si>
  <si>
    <t>线下举办，开展五天的夏令营活动，学员们将有机会深入了解安徽中医药大学的学科专业特色和研究生培养环境，与意向导师和在读研究生们建立联系，并为未来的研究生报考奠定基础。</t>
  </si>
  <si>
    <t>2024年6月20日至7月15日。</t>
  </si>
  <si>
    <t>开营时间2024/7/24，5天</t>
  </si>
  <si>
    <r>
      <t>认真填写《安徽中医药大学优秀大学生夏令营申请表》，</t>
    </r>
    <r>
      <rPr>
        <sz val="28"/>
        <color theme="1"/>
        <rFont val="微软雅黑"/>
        <family val="2"/>
        <charset val="134"/>
      </rPr>
      <t>发至ahtcmyjs@ahtcm.edu.cn</t>
    </r>
  </si>
  <si>
    <t>优秀学员将有机会赢取一万元专项奖学金。
三、申请条件</t>
  </si>
  <si>
    <t xml:space="preserve">对医学学科领域有浓厚兴趣，有志从事相关领域的研究工作，具有良好的科研潜质，学习成绩优秀，已获得或将获得推免资格者优先考虑；
</t>
  </si>
  <si>
    <t xml:space="preserve">4、具有良好的听、说、读、写的英语应用能力；
</t>
  </si>
  <si>
    <t>1、营员报到；
2、开营仪式（医院介绍，医学科学家专题、医学教育和招生政策宣讲）；
3、学科专业介绍、科室参观、师生见面交流；
4、复试考核，优秀营员选拔；
5、医院参观（自选）；
6、离营。</t>
  </si>
  <si>
    <t>截止日期：2024年7月5日17:00</t>
  </si>
  <si>
    <t>2024年7月22日-25日</t>
  </si>
  <si>
    <t>不超过300人</t>
  </si>
  <si>
    <t>1、个人简历（限2页以内）；
2、身份证（正反面复印在一页A4纸上）；
3、学生证（含学校、专业、个人信息）；
4、本科阶段成绩单；同年级专业成绩总评排名的证明材料（加盖教务部门公章）；
5、英语水平证明材料（大学英语四六级考试成绩、IELTS、TOEFL、GRE成绩等体现自身英语水平的证明材料）；
6、已发表文章（需标注出个人姓名）；
7、负责或参与的科研项目（含项目书盖章页、参与人信息页）；
8、各类获奖证书；
9、其他辅助材料等。</t>
  </si>
  <si>
    <t xml:space="preserve">在营期间，营员必须遵守我院相关规定，医院负责提供部分时段的就餐。对成功推免至我院的外校推免生，报销夏令营活动期间学校所在城市至广州的往返火车票和一定的住宿补助，报销标准参照学校相关规定执行（火车硬卧或高铁二等座标准）。
</t>
  </si>
  <si>
    <t xml:space="preserve"> 参加夏令营复试考核合格的营员，如获得所在本科院校2025年推荐免试资格，在全国推免服务系统开放后及时填报我院，且推免填报专业与夏令营拟录取专业一致者，可被我院直接拟录取为推荐免试研究生，夏令营考核成绩作为推免复试成绩。</t>
  </si>
  <si>
    <t>2、招收专业：各专业均招生，每人限申请一个专业。</t>
  </si>
  <si>
    <t>招收五年全日制口腔医学专业英语本科生，学习成绩优秀，专业成绩和综合成绩均名列本专业前茅。</t>
  </si>
  <si>
    <t>英语水平良好，全国大学外语六级考试成绩在425分以上。</t>
  </si>
  <si>
    <t>主要活动包括学院及学科介绍、个人学术能力展示、优秀营员考核等。</t>
  </si>
  <si>
    <t>截止日期为2023年6月30日20:00。</t>
  </si>
  <si>
    <t>1）报名表（网上报名后）；
2)由教务处或所在院系开具的成绩单与总评成绩排名证明，加盖公章；
3)成绩单一份，需加盖教务部门公章；
4)个人简历一份，无特殊格式要求；
5)其它证明本人成绩及潜力的材料，如外语水平证明（英语六级证书等）、学术论文复印件、获奖证明材料等。</t>
  </si>
  <si>
    <t>我院将根据学生提交的申请材料及在夏令营期间的综合表现等进行评审，确定优秀营员名单，优秀营员享受以下待遇：
获得优秀营员，且具备所在本科学校“推荐免试资格”的2025年应届毕业生，第一志愿报考吉林大学白求恩口腔医学院，在符合我校接收推荐免试硕士研究生相关要求和学院相关政策基础上，可直接接收为吉林大学2025年“推免生”；符合条件的同学享受吉林大学白求恩口腔医学院研究生新生优秀奖学金。</t>
  </si>
  <si>
    <t>吉林大学白求恩口腔医学院将根据申请者的学业水平、科研能力等，对申请者进行入围资格审查，入围名单将于7月4日之前在吉林大学口腔医院官网公布，请同学们随时关注。未入营的同学不再另行通知。
请申请夏令营的同学于6月30日前加入QQ群“吉大口腔2024年夏令营”（群号：364351043，请注意不是微信群），验证信息为“学员姓名-学校”。后续详细通知将在群中发布。
如有未尽事宜，由学院夏令营招生领导小组负责解释。
联系人：马老师，徐老师
联系方式：0431-85579355,QQ群号：364351043</t>
  </si>
  <si>
    <t xml:space="preserve">在学期间学习成绩优秀，截止目前本科总评成绩排名需在同年级本专业排名前 30％。申请直博生的学生，须为“双一流”建设高校的应届毕业生，且本科期间总评成绩排名在同年级本专业排名前 20%，还须提交至少两位报考专业学科领域内教授（或相当职称）专家的推荐书。 
</t>
  </si>
  <si>
    <t xml:space="preserve">通过国家英语六级考试。 </t>
  </si>
  <si>
    <t>2024 年 6 月 24 日 17:00</t>
  </si>
  <si>
    <t xml:space="preserve"> 2024 年 7 月 3-8 日</t>
  </si>
  <si>
    <t xml:space="preserve">1、申请人网上下载并填写《天津医科大学优秀大学生暑期夏令营活动申请表》 
2、申请直博的学生须下载：专家推荐信 至少两封，即至少需要两位报考专业学科领域内教授（或相当职称）的专家分别填写推荐。
3、本科阶段成绩单（截至目前），专业排名证明，需加盖教务部门公章； 
4、大学英语六级成绩单复印件； 
5、其他证明材料（如体现自身学术水平的代表性学术论文或其他原创性工作成果复印件、专利、获奖证书复印件等），没有可以免交。以上所需料按照 1 至 5 的顺序扫描后，形成一个 PDF 文件，并命名为“姓名+报考专业名称+专业排名”； 
6、网上下载并填写《个人信息汇总表》，填写完成后将文件名称修改为“姓名+个人所在学校+个人信息汇总表”； 
7、个人陈述 PPT（个人学术背景、曾经做过的研究工作以及未来学习和研究的计划、目标等）。 
</t>
  </si>
  <si>
    <t>2024 年度优秀大学生暑期夏令营的招生优惠政策分设 A、B 两档： 
1、A 档优秀营员 
A+档优秀营员：取得优秀营员资格，为表现特别突出的学生，有机会推荐申请直博生，报名时学生先不选导师。 
A 档优秀营员：如获得所在本科学校的研究生推荐免试资格，并申请我校相同院系所、专业（方向）及学位类型，同等条件下优先录取。 
在夏令营活动中被评为 A+档和 A 档优秀营员的学生，如最终获得所在本科学校的研究生推荐免试资格，须按我校要求在规定时间内通过教育部“全国推荐应届本科毕业生免试攻读研究生信息公开暨管理服务系统”网址：http://yz.chsi.com.cn/tm
2、B 档合格营员 
如未获得所在本科学校的研究生推荐免试资格，但报考我校2025级硕士研究生的合格营员，可享受 B 档优惠政策。
B 档合格营员，通过参加全国统考硕士研究生，报考我校 2025级硕士研究生相同院系、专业（方向）及学位类型，考试成绩达到我校当年该院系所、专业（方向）复试基本分数线（含总分、单科分数）标准的合格营员，须参加硕士复试成绩合格后，同等条件下优先推荐。</t>
  </si>
  <si>
    <t>1、我院各招生专业方向成立优秀营员评选小组，由该专业教学经验丰富、责任心强、学术及外语水平较高的老师参与评选工作，每个小组成员不少于 5 人。 
2、评选考核内容包括所报考专业的综合知识与技能、外国语水平及思想政治素质和品德考核等； 
3、评选考核采用现场面试方式进行，每位营员的面试时间一般不少于 20 分钟，进行全程录音录像；
4、评选考核包括综合素质、外语、专业知识和实验或实践技能的考核，形式为笔试、口试和技能操作等，主要考核学生的综合素质、综合分析与解决实际问题的能力和动手能力等，按照总成绩由高到低排名。</t>
  </si>
  <si>
    <t>上海市免疫研究所</t>
  </si>
  <si>
    <t>2024年6月27日12：00</t>
  </si>
  <si>
    <t>天津中医药大学</t>
  </si>
  <si>
    <t>4.全国高校2025届应届本科毕业生，本科期间学习成绩优异，“双一流”建设高校本科生截至目前总成绩排名在本专业前30％及以内、普通类高校本科生截至目前总成绩在本专业排名前15%及以内达到所在高校推荐免试生要求。</t>
  </si>
  <si>
    <t>5.申请者英语水平应达到以下条件之一：
CET-4通过（或≥425分）；
TOEFL成绩65分以上（IBT）或250分以上（CBT）；
GRE成绩1300分以上，新GRE成绩325分以上；
IELTS≥5.5</t>
  </si>
  <si>
    <t>活动内容主要包括开营仪式、学院介绍、学术讲座、综合考核、实验室参观等。</t>
  </si>
  <si>
    <t>2024年6月20日-6月30日</t>
  </si>
  <si>
    <t>2024年7月16日-7月18日</t>
  </si>
  <si>
    <t>1.《天津中医药大学2024年全国优秀大学生夏令营申请表》；
2.有效身份证件（正反面在一页上）；
3.本人学籍认证报告，学信网上在线验证并下载；
4.学生证（照片、学号页及注册页）；
5.本科成绩单（需有院系或教务处红章），专业排名证明材料（盖章要求同前）。
6.英语水平证明材料（英语成绩证书等）；
7.个人简历（中英文均可，无格式要求）；
8.获奖证书复印件（包括本科期间能突出自己特长、社会贡献、综合素质能力等各类证书）；
9.已发表或接收的论文及专利，或其它原创性成果、有参考价值的科研实验工作证明材料等；
学院将组织专家根据学生提交的报名材料，从外语水平、所属专业、专业成绩排名、学术成果等内容进行综合考量，确定入营人员。学院将于7月5日前完成资料审核并确定接收名单，通过电子邮件通知入营同学，请注意查看并于7月7日前回复是否参加，逾期未回复将视为放弃入营资格；未收到邮件通知的同学皆为未入选者，不再另行通知。</t>
  </si>
  <si>
    <t>1.申请人须身体健康、心理素质良好，我校不承担营员学习期间发生的医疗费用及意外事故责任。</t>
  </si>
  <si>
    <t>优秀营员获得所在学校研究生推荐免试资格，并符合我校2025年接收推荐免试硕士研究生拟录取条件的，在依照我校接收推荐免试硕士研究生工作方案完成我校推免报名后，同等条件下可优先拟录取。</t>
  </si>
  <si>
    <t xml:space="preserve"> 在学期间学习成绩优秀，所在专业总成绩年级排名前30%；</t>
  </si>
  <si>
    <t>全国大学英语六级成绩426分及以上。</t>
  </si>
  <si>
    <t>夏令营主要活动包括:南京医科大学第一临床医学院、南京医科大学第一附属医院（江苏省人民医院）及相关学科介绍；参观科室、导师见面交流；参观江宁校区等。</t>
  </si>
  <si>
    <t>6月30日（周日）12：00前发送到邮箱ylygb7610@163.com。</t>
  </si>
  <si>
    <t>于2024年7月9～11日</t>
  </si>
  <si>
    <t xml:space="preserve">1. 申请人须提交材料：
（1）夏令营申请表；
（2）本科阶段成绩单及所在专业总成绩排名（由教务部门或院系盖章）1份；
（3）英语六级成绩证明；
（4）学生证复印件；
（5）所发表学术论文、获奖证书等其他相关证明材料；
（6）本人近期一寸白底彩色证件照，照片请使用JPG格式电子文件，大小在200k以内。
</t>
  </si>
  <si>
    <t xml:space="preserve">（1）食宿：我院将为入选营员提供夏令营期间的就餐补贴，家庭所在地是南京的营员原则上不安排住宿，住宿时间：7月9日下午2:00～7月11日中午12:00；
（2）交通：如营员确定录取我校，我院将参照营员本科学校所在地至南京的“高铁二等座票”、“动车二等座票”或者“普快列车硬座票”的标准及购票实际情况予以交通费补助（营员请自行预定往返车票）。
</t>
  </si>
  <si>
    <t>营员如获得所在学校推免生资格，可于2024年9月（具体时间另行通知）在南京医科大学推免生系统中进行硕士研究生预报名，可优先进入我院选拔名单，对于通过复试拟录取的考生，可优先安排其与导师双向选择。</t>
  </si>
  <si>
    <t>1. 营员报到后要求全程参与夏令营的各项活动。
2. 若发现申请材料有虚假成分，将取消申请人一切由此获得的利益，并保留追溯的权利。
3. 有关夏令营的活动可咨询李老师、马老师、任老师（025-68307610或68306434），更多相关内容请留意我院官网主页。
4. 如果申请者确认参加后又由于个人原因不能参加夏令营活动，请务必于6月28日之前电话联系第一临床医学院教学管理办公室（025-68306434）并发送邮件至电子邮箱ylygb7610@163.com告知。</t>
  </si>
  <si>
    <t>3.在学期间学习成绩优秀，截止目前本科总评成绩排名（班级或年级）前30％。
4.具有口腔医学专业背景，对生命科学和医学有浓厚的兴趣，愿 意从事口腔临床医疗工作或基础医学研究工作；
6.申请直博生的学生，须为“双一流”建设高校的应届毕业生， 且本科期间总评成绩排名在年级前20%，还须提交至少两位报考学科 领域内教授（或相当职称）专家的推荐书。</t>
  </si>
  <si>
    <t>5.通过国家英语六级考试；</t>
  </si>
  <si>
    <t>2024年6月26日前（</t>
  </si>
  <si>
    <t>1.申请人填写天津医科大学优秀大学生暑期夏令营活动申请 表.doc及个人信息汇总表.xls；
2.个人陈述（关于个人学术背景、曾经做过的研究工作以及未来 学习和研究的计划、目标等）；
3.专家推荐信2封，即需要2位相关或相近专业具有高级职称的专 家分别推荐，且密封并在封口骑缝处签字；
4.本科阶段成绩单（截至目前），专业排名证明，需加盖教务或 学生部门公章；
5.大学英语六级成绩单单、其他英语水平证明（如近两年内 TOEFL成绩或近三年内GRE成绩等）复印件； 
6.其他证明材料（如体现自身学术水平的代表性学术论文或其他 原创性工作成果复印件、获奖证书复印件等）。</t>
  </si>
  <si>
    <t xml:space="preserve">2024 年度优秀大学生暑期夏令营的招生优惠政策分设A、B两档标准：
1.A档优秀营员 
A+档优秀营员取得优秀营员资格，为表现特别突出的学生，同 时学生选报专业为具有一级学科博士学位授予权（学术学位）的学科 专业，且该专业有导师具备当年学术学位博士研究生招生资格，有机 会推荐申请直博生，报名时学生先不选择导师。
A档优秀营员如获得所在本科学校的研究生推荐免试资格，并申 请我校相同院系所、专业（方向）及学位类型，同等条件下优先录取。在夏令营活动中被评为A+档及A档优秀营员的学生，如最终获得所在学校的研究生推荐免试资格，须按我校要求在规定时间内通过教 育部“全国推荐应届本科毕业生免试攻读研究生信息公开暨管理服务系统”（网址: http://yz.chsi.com.cn/tm），完成注册并填报学生信息， 进行正式报名，完成规定流程。
2.B档合格营员 
如未获得所在学校的研究生推荐免试资格，但报考我校2025级硕 士研究生的合格营员，可享受B档优惠政策。B档合格营员，通过参加全国统考硕士研究生，报考我校2025级 硕士研究生相同院系所、专业（方向）及学位类型，考试成绩达到我 校当年该院系所、专业（方向）复试基本分数线（含总分、单科分数） 标准的合格营员，须参加硕士复试成绩合格后，同等条件下优先推荐。
</t>
  </si>
  <si>
    <t>附属第九人民医院精准医学研究院</t>
  </si>
  <si>
    <t xml:space="preserve"> 全国重点高校拟获得推荐免试资格的2025届优秀应届本科毕业生，</t>
  </si>
  <si>
    <t>且英语水平CET 6≥425或新TOEFL≥90或IELTS≥6.0。</t>
  </si>
  <si>
    <t>活动具体安排请等待后续通知。</t>
  </si>
  <si>
    <t>截止至07月07日24:00</t>
  </si>
  <si>
    <t>07月11-12日</t>
  </si>
  <si>
    <t>（1）《上海交通大学医学院研究生招生夏令营申请表》《上海精准医学研究院暑期研究生招生申请表》各一份；
      （2）身份证、学生证复印件各1份，核验原件；
      （3）本科成绩单1份（教务处盖章）；
      （4）截至目前，专业和年级排名证明，已获绩点/绩点总分证明（教务处盖章）；
      （5）其他证明材料复印件（如发表的学术论文、获奖或资格证书、国家英语六级成绩单等）各1份；
      （6）2位所在学院副教授（含）以上职称的专家推荐信（仅报考直博申请者），原件。
        请务必保证材料的真实性，虚假材料将取消申请资格。</t>
  </si>
  <si>
    <t>活动期间将组织面试，根据面试委员会的考核评审给予考核等第（等级评定经医学院研究生院统一公示后生效），评定等级说明如下：
        A等，直博生。申请者获得所在学校推荐免试直升研究生资格，且符合医学院接收优秀本科毕业生推荐免试攻读博士学位研究生招生要求，结合本人志愿和夏令营活动情况，则直接录取为当年度博士研究生；
        B等，硕士生。申请者获得所在学校推荐免试直升研究生资格，且符合医学院接收优秀本科毕业生推荐免试攻读硕士学位研究生招生要求，结合本人志愿和夏令营活动情况，可直接录取为硕士研究生；
        C等，申请者获得所在学校推荐免试直升研究生资格，且符合医学院接收优秀本科毕业生推荐免试攻读硕士学位研究生招生要求，直接获得参加我院推荐免试研究生的复试资格，通过复试后优先录取；
         D等，若申请者未获得所在学校推荐免试直升研究生资格，以全国统考的方式报考医学院硕士研究生，并达到我院公布的报考学科专业门类基本复试分数线后，可优先参加复试。
        注意：未获得本科学校推免资格的学生，若参加2025年全国研究生统一入学考试，初试成绩达到医学院复试分数线，同等条件下可获得优先录取资格。
        7. “致远荣誉计划”博士生：
        上海交通大学在2025年继续面向直博生实施博士生“致远荣誉计划”，旨在培养一批具有宽阔视野、科学精神、创新能力与社会责任感的未来科学和工程技术领军人才，推动博士生创新培养体系建设。学院将推荐优秀学生申报“致远荣誉计划”，后续资料提交时间及提交方式请随时关注：招生首页-上海交通大学医学院研究生院网站https://www.shsmu.edu.cn/yjsy/zsgz1/zssy.htm，有意向的同学可参考2024年的通知提前准备。</t>
  </si>
  <si>
    <t>具有良好的品行，身体健康，勤奋学习，积极上进，成绩优秀；本科阶段总成绩排名在该校同年级本专业前15％之内（985、211、双一流院校和部委省共建高校可排名在30%以内）或平均成绩80分以上（GPA3.0以上）</t>
  </si>
  <si>
    <t>英语水平优良，具有大学英语六级证书（425分以上）。</t>
  </si>
  <si>
    <t>即日起-2024年6月29日；</t>
  </si>
  <si>
    <t>1.教育部学籍在线验证报告：登陆“学信网”在“在线认证”一栏申请办理教育部学籍在线验证报告；
2.身份证：本人身份证正反面；
3.本科阶段成绩单 (学校教务部门或院系盖章)；
4.本科阶段本专业排名证明(学校教务部门或院系盖章)；
5.英语水平证明：CET-4/CET-6成绩单；
6.其他证明材料：包括各类获奖证书复印件、代表性学术论文、出版物或原创性工作成果等；
7.个人简历：简要简历，A4纸1页以内。
8.南方医科大学康复医学院2024年全国优秀大学生夏令营申请表签字盖章扫描版。</t>
  </si>
  <si>
    <t>3、夏令营将在线下举行，非广州本地学校学生将由我院统一安排住宿，住宿费、交通费及伙食费自理。最终录取并推免成功我院研究生者可报销夏令营期间住宿费。</t>
  </si>
  <si>
    <t>我院将根据参与者的综合表现，择优颁发优秀营员证书。优秀营员如获得推免资格并申请我院免试研究生，学院根据招生规模按夏令营综合表现依次录取，额满为止。</t>
  </si>
  <si>
    <t>在学期间学习成绩优秀，</t>
  </si>
  <si>
    <t>英语水平良好，通过英语6级；</t>
  </si>
  <si>
    <t xml:space="preserve"> 活动内容：  
 （1）学院概况介绍：介绍南京医科大学以及基础医学院的发展历程和现状，以及在人才培养、教育教学和科学研究等方面取得的成绩；
 （2）专家学术讲座：邀请学科带头人做专题讲座和学术报告，了解相关学科的科学前沿，激发科研兴趣；
 （3）科研团队宣讲会：邀请学系负责人向学生介绍导师团队、研究方向、科研平台和研究生就业等内容，促进师生交流，对学科的研究方向有所了解；
 （4）大型仪器中心和重点实验室参观。</t>
  </si>
  <si>
    <t>6月24日-7月5日</t>
  </si>
  <si>
    <t>2024年7月15-16日。</t>
  </si>
  <si>
    <t>40-60人</t>
  </si>
  <si>
    <t>身份证、学生证扫描件和教育部学籍在线验证报告（有效验证期内）；
截至目前的成绩单扫描件（请所在院系教务部门签章并注明专业排名和专业总人数）；
全国大学英语六级考试成绩单等体现自身英语水平的证明材料扫描件；
其它材料，包括：获奖证书，发表学术论文首页或证明，出版物封面及作者页，课题证明等扫描件；
个人简历；
南京医科大学夏令营报名申请表（系统内填写完成，须下载完成签字盖章）。</t>
  </si>
  <si>
    <t>食宿：我院将为入选营员提供夏令营期间在宁的食宿（注：根据网上报名系统营员申请住宿情况安排，学校或家庭所在地是南京的学生原则上不安排住宿）；
交通补助：外地院校营员请自行预定往返车票， 我院将参照营员本科学校所在地往返南京的动车二等座/火车硬座票标准一次性给予交通补助。(每位学生交通补助最高为500元，超出部分请自行承担。)</t>
  </si>
  <si>
    <t xml:space="preserve">夏令营营员若获得所在学校推免生资格，参加南京医科大学基础医学院推免生预选考核时，将予以优先考虑。
推免生第一学年可获得一等学业奖学金（10000元，奖学金金额以当年学校的奖助政策为准）和学院推免生奖学金5000元。
</t>
  </si>
  <si>
    <t xml:space="preserve">未在规定时间内确认者视为自动放弃。
入营审核工作由基础医学院组织专家小组负责。届时申请者可在申请网址查看审核结果。
入营学员需遵守南京医科大学的相关规定，全程参加夏令营各项活动，并注意安全。
如果发现材料有虚假成分，取消或者追回由此获得的权益，并保留追诉的权利。
未能参加夏令营的同学亦可关注学院后期的推免生预选拔工作。
</t>
  </si>
  <si>
    <t>孙逸仙纪念医院</t>
  </si>
  <si>
    <t>总成绩排名前列，已经获得或即将获得所在高校推荐免试生资格者优先。</t>
  </si>
  <si>
    <t>请在7月7日前填写以上链接或者扫描二维码提交报名信息，并将下列证明材料按以下顺序做成一个PDF文件上传，完成在线报名：将以上材料按顺序装订，于7月9日前寄到以下地址：广州市越秀区沿江西路107号中山大学孙逸仙纪念医院研究生科收。联系电话：020-81332468。收件人：邢老师</t>
  </si>
  <si>
    <t>7月 30日至8月2日</t>
  </si>
  <si>
    <t>所有入选人员按要求全程参加完活动后将获得神秘礼物一份。
  4、活动夏令营活动期间，我院将为学生提供在广州的食宿（广州本地学校学生不提供食宿）及异地学校学生往返高铁或动车二等座标准费用(选择其他交通工具的在不超过票面金额情况下原则上按照同等标准报销)。</t>
  </si>
  <si>
    <t xml:space="preserve">三、审核与选拔
审核和选拔工作由中山大孙逸仙纪念医院负责，选拔工作将于7月中旬结束。入选后的学生名单将在“医院网站-逸仙医学教育-研究生科”进行公布，并通过短信或电子邮件方式通知本人。
 </t>
  </si>
  <si>
    <t>（四）满足以下条件之一：
1. 大学期间无不及格课程，截至目前的成绩平均绩点≥4.0（绩点5分制）或成绩排名在专业前30%；
2. 大学期间获校级三等及以上奖学金或校级及以上荣誉称号；
3. 以团队负责人参与校级及以上学科竞赛并获三等及以上奖项；
4. 以第一负责人发表学术论著或参与市级及以上科研项目。</t>
  </si>
  <si>
    <t>2.主要活动包括：（1）开营仪式；（2）学术讲座；（3）优秀研究生代表分享会；（4）参观实验室和医院；（5）导师课题组介绍、师生见面会；（6）结营仪式。
3.颁发证书：夏令营活动结束后，营员将获得我院颁发的“优秀大学生学术夏令营”活动结业证书。</t>
  </si>
  <si>
    <t>20-30人</t>
  </si>
  <si>
    <t>1.本人第二代居民身份证和学生证；
2.学籍在线验证报告（登录中国高等教育学生信息网（www.chsi.com.cn），进入“学信档案”-“在线验证报告”，在线申请验证并下载“教育部学籍在线验证报告”）；
3. 英语CET-6成绩单或其他英语水平测试成绩单；
4. 上述申请条件（四）的佐证材料
以上材料请按顺序整理，材料原件扫描合成一个PDF文档并压缩成zip格式（以“夏令营申请-姓名-所在学校”命名)上传至夏令营报名平台。</t>
  </si>
  <si>
    <t>我校夏令营不收取任何费用，营员交通和食宿自理，根据营员本科高校所在地，按照以下标准一次性给予来校的交通食宿补贴：（1）温州市内：200元/人；（2）浙江省内（除温州市）：500元/人；（3）华东地区（除浙江省）：800元/人；（4）华南、华中、华北地区：1000元/人；（5）东北、西北、西南地区：1200元/人。
五、其他
（一）一志愿报考我校或通过推免的方式被我校录取的合格营员入学当年可享受一等学业奖学金（1.2万元/生·年）。</t>
  </si>
  <si>
    <t>（二）若发现申请材料有虚假成分，即取消申请人一切由此获得的利益，并保留追溯的权利。
（三）参加暑期夏令营的学生必须遵守温州医科大学及各培养单位的相关规定，按照统一的安排参加各项活动，并注意安全。
（四）营员报到后要求全程参加夏令营活动，擅自离营者，举办方将取消相关补助。
（五）人在异乡请务必注意人身和财务安全。
（六）请确认准确的联系方式，并保持通讯设备畅通，以便及时联系。</t>
  </si>
  <si>
    <t>本科学习成绩优秀；</t>
  </si>
  <si>
    <t>英语水平满足下列条件之一：CET-6≥425分；雅思≥5.5分。</t>
  </si>
  <si>
    <r>
      <t xml:space="preserve">7月18日上午：报到、开营仪式、专题报告；
</t>
    </r>
    <r>
      <rPr>
        <sz val="28"/>
        <color rgb="FF000000"/>
        <rFont val="宋体"/>
        <family val="3"/>
        <charset val="134"/>
      </rPr>
      <t>❖</t>
    </r>
    <r>
      <rPr>
        <sz val="28"/>
        <color rgb="FF000000"/>
        <rFont val="微软雅黑"/>
        <family val="2"/>
        <charset val="134"/>
      </rPr>
      <t>7月18日下午：参观实验室、课题组导师面对面、优秀学长学姐介绍、营员考核、闭营仪式、离营；</t>
    </r>
  </si>
  <si>
    <t>2024年6月26-7月4日</t>
  </si>
  <si>
    <t>1.申请表及汇总表（见附件）；
2.本科历年成绩单（加盖教务处公章）；
3.英语水平的证明材料：全国大学生英语六级考试成绩单或相关证书；
4.其他相关能力的证明材料（如发表论文、专利、各类获奖证书等）；
5．本人有效期内的身份证和学生证。
请申请人将上述申请材料按顺序扫描合并成一个PDF文件，命名为“夏令营+目前在读的学校名称+个人姓名”，于7月4日前发送至邮箱：ayfypyb3665@163.com，逾期不再受理。报名材料经过审核通过后将以正式邮件进行通知，并加入夏令营QQ群。入选者需邮件回复“确认参与”和“确认不参与”，未在规定时间内回复确定为自动放弃，未入选者不再另行通知。</t>
  </si>
  <si>
    <t>本次夏令营活动不收取任何费用，活动期间提供免费工作餐（合肥市外营员可提供住宿），交通费由营员自理。</t>
  </si>
  <si>
    <t>表现优异者报考我院2025年硕士研究生，且达到报考专业初试及复试相关要求，同等条件下优先拟录取。</t>
  </si>
  <si>
    <t>1.被录取的营员请带好相关材料在指定时间进行报到；
2.营员报到之后必须服从医院安排，全程参与此次夏令营活动；
3.如遇与医院重大事宜冲突，活动将做适当变更，并提前通知。</t>
  </si>
  <si>
    <t>巢湖医院</t>
  </si>
  <si>
    <t>4、预计能获得所在院校推免资格者或“5+3”一体化转段生者优先。</t>
  </si>
  <si>
    <t xml:space="preserve">英语水平良好，通过大学生英语四级；
</t>
  </si>
  <si>
    <t>即日起—2024年7月2日</t>
  </si>
  <si>
    <t>（1）身份证、学生证扫描件；
（2）《安徽医科大学附属巢湖医院2024年全国优秀大学生夏令营申请表》；
（3） 现有本科阶段成绩单（需显示截止目前所有课程成绩、且需有教务部门或学院盖章）；
（4） 其他证明材料（各种荣誉、科研经历、社会实践等）。</t>
  </si>
  <si>
    <t xml:space="preserve"> 1、本次夏令营活动不收取任何费用，活动期间的交通及住宿费用自理，医院免费提供就餐。</t>
  </si>
  <si>
    <t xml:space="preserve">4、优惠政策
 夏令营表现优异者报考2025年安徽医科大学附属巢湖医院硕士研究生，且达到报考专业初试和复试相关要求，同等条件下可优先拟录取。
</t>
  </si>
  <si>
    <t>7月9日：全天报到
7月10日：夏令营开幕式、学部情况介绍、名师讲堂、学长助力、师生交流、校园及实验室参观
7月11日：夏令营专业考核</t>
  </si>
  <si>
    <t>报名截止时间：7月1日24时。</t>
  </si>
  <si>
    <t>7月9日-7月11日</t>
  </si>
  <si>
    <t>（1）加盖教务处公章的本科成绩单；
（2）成绩排名证明材料，需要加盖教务或学生工作办公室公章；
（3）四、六级成绩单或获证证书扫描件；
（4）其他科技创新类奖项获奖证明。报名截止时间：7月1日24时。</t>
  </si>
  <si>
    <t xml:space="preserve"> 1.入选夏令营的本校凌水校区学生住宿自理（餐食及营服统一安排）；入选夏令营的外校学生及本校其他校区学生活动期间的饮食住宿、营服由组委会统一安排，费用全免。
2.对于入选夏令营的异地学生,录取为我校2025年推免生，可报销参加夏令营时的往返路费（火车硬卧（硬座）、高铁（动车）二等座、轮船三等舱等费用，其他交通工具按照火车硬卧标准折算）。报销时需提供车票原件（飞机需提供航空运输电子客票行程单原件和付款记录），具体报销办法另行通知，无法提供票据原件、不符合财务政策和要求的不予报销。
3.学部统一给营员购买短期意外保险。营员在夏令营活动期间因个人行为导致的意外事故及产生的医疗费用，由营员本人承担。</t>
  </si>
  <si>
    <t>五、考核政策
坚持“公平、公正、公开”的原则，结合学部实际情况，对夏令营营员进行选拔考核。
1.考核合格且获得所在学校推荐免试研究生资格的营员，在规定时间内通过在“全国推荐免试服务系统”中报考我学部，可录取为我学部2025年硕士研究生或直博生。
2.考核合格但未获得所在学校推荐免试研究生资格的营员，在全国硕士研究生招生考试中一志愿报考我学部时，初试成绩达到我校2025年相应学科门类进入复试的初试成绩基本要求（含总分、单科分数），可进入复试，按照排序规则，同等条件下优先录取。</t>
  </si>
  <si>
    <t>附属友谊医院</t>
  </si>
  <si>
    <t>在学期间学习成绩优秀，本科总成绩年级排名前 30%；</t>
  </si>
  <si>
    <t>全国大学英语六级 水平（成绩 500 分以上），或雅思 6.5 分以上，或托福 95 分以上；</t>
  </si>
  <si>
    <t>1．主体活动（线上）：包含医院院史与医院现状、各科室与专业概况与特色、 研究生教学及培养制度、医院总体科研情况、学术讲座、师生晤谈交流、在读研 究生交流等。夏令营具体安排另行通知。
2．结营考核（线下）：学院将采取不同方式对学生进行全面考核，并根据考 核成绩评出“优秀营员”、“合格营员”。具体考核时间、考核内容、考核方式、评 选办法等以学院后续通知为准。</t>
  </si>
  <si>
    <t xml:space="preserve">报名截止时间为 2024 年 7 月 7 日 24:00 前。 </t>
  </si>
  <si>
    <t>2024 年 7 月下旬</t>
  </si>
  <si>
    <t xml:space="preserve">1．教育部学籍在线验证报告：登陆“学信网”在“在线认证”一栏申请办理一个 教育部学籍在线验证报告（电子版），下载并打印；电子版：将生成的验证报 告电子文件，命名为：“1.学籍信息”；
2．照片：本人近期一寸白底彩色身份证版式照片。电子版：照片请使用 JPG 格式 电子文件，像素为 390*260，大小在 200k 以内，命名为：“2.照片”；
3．本科阶段成绩单及本专业排名证明(学校教务部门或院系盖章)。电子版：各生 成 PDF 格式的电子文件，命名为：“3.1 成绩单，3.2 专业排名”；
4．英语水平证明：生成 PDF 格式的电子文件，命名为：“4.英语水平”；
5．其他证明材料：包括班干部、党团组织、学生会任职证明；各类获奖证书复印 件；体现自身学术水平的代表性学术论文、出版物或原创性工作成果等。电子 版：生成 PDF 格式的电子文件，如材料较多请建立文件夹，命名为：“5.其他 证明材料”。
6．自荐信：格式不限，可包括简历、为何报考相关学院及专业、未来学习研究计 划等。电子版：生成 PDF 格式的电子文件，命名为“6.自荐信”。
</t>
  </si>
  <si>
    <t xml:space="preserve">我院为入选营员免费提供三餐，往返交通费用、住宿费用营员自理。营员必 须遵守我院的相关规定，按照统一的安排参加各项活动，并注意安全。营员在夏 令营期间发生的医疗费用及因个人行为导致的意外事故，由营员本人承担。
</t>
  </si>
  <si>
    <t>学院将从最终进入夏令营结营考核的营员中，根据考核成绩选拔优秀者授予 “优秀营员”称号。优秀营员可在 2025 年首都医科大学硕士研究生招生录取时享受以下优惠政策：如获得就读学校 2025 年推免资格，登陆“教育部推免系统”填报与夏令营结 营考核专业相同的志愿（学院、专业、学位类型、研究方向一致），将由学院优先向学校推荐录取。其余营员授予“合格营员”称号，同等条件下优先进入我校 2025 年推免生预选拔复试，同等条件下优先录取。</t>
  </si>
  <si>
    <t xml:space="preserve">申请时间截止后，医院对申请者提交的材料进行审核和筛选。最终的入选结 果将于 2024 年 7 月 19 日 17:00 前通过电话或邮件形式通知学生本人（以报名 表中填写的常用电话、邮箱为准），未获得入营资格的学生不再另行通知。确认参 加的营员要求全程参加夏令营活动。
</t>
  </si>
  <si>
    <t>附属北京世纪坛医院</t>
  </si>
  <si>
    <t>本科总成绩年级排名前30%；</t>
  </si>
  <si>
    <t>①  TOEFL≥90分（IBT）；
② 大学英语六级CET6≥425分；
③ IELTS（A类）≥6.0；
  大学英语六级成绩7年内（2017年1月1日之后）有效，其余英语成绩5年内（2019年1月1日之后）有效。</t>
  </si>
  <si>
    <t>2.4线上活动
7月12日18:30-22:00夏令营宣讲（腾讯会议号810 562 215）；
2.5材料审查
通过资格审核后、按学生提交的材料，各专业组织专家进行材料初评，按一定比例择优邀请参加线下主体活动并组织进行专业考核。
2.6线下活动、结营考核
参观世纪坛医院教学中心、国家市场监管重点实验室（肿瘤特医食品）、生物医学创新中心，开展特色学术沙龙、各专业组织结营考核等系列活动，评选优秀营员颁发证书。</t>
  </si>
  <si>
    <t>请于2024年7月7日20：00前</t>
  </si>
  <si>
    <t>7月12日线上活动，线下活动时间
2024年7月18日-19日。</t>
  </si>
  <si>
    <t>材料1：名称：本科阶段成绩单，含综合成绩排名，要求：教务部门或档案管理部门盖章，提交格式：PDF，命名方式：“1.本科阶段成绩单”。
材料2：名称：证明材料，要求：将英语水平证书、个人获奖证书等所有证明材料，存为一个PDF文件，提交格式：PDF，命名方式：“2.证明材料”。
材料3：名称：个人简历，要求：A4纸一页，包含基本信息，联系方式，本科院校，专业，主要课程，成绩体现，英语成绩，个人特长等，提交格式：PDF，命名方式：“3.个人简历”。
材料4：发表的科研论文（若有），PDF格式，文件名：“4.1论文1，4.2论文2……”
材料5：参加科研项目（若有），PDF格式，文件名：“5.1项目1，5.2项目2……”</t>
  </si>
  <si>
    <t>我院为入选营员免费提供一日三餐，往返交通费用、住宿费营员自理。</t>
  </si>
  <si>
    <t xml:space="preserve"> 如获得就读学校2025年推免资格，并登陆“教育部推免系统”填报与夏令营结营考核专业相同的志愿（学院、专业、研究方向一致），将由学院优先向学校推荐录取。
  其余营员授予“合格营员”称号，同等条件下优先进入我校2025年推免生预选拔复试。
  如有“优秀营员”放弃资格，“合格营员”可依次递补为“优秀营员”。</t>
  </si>
  <si>
    <t>在学期间学习成绩优秀，本科总成绩年级排名前20%；</t>
  </si>
  <si>
    <t>全国大学英语六级成绩550分及以上；</t>
  </si>
  <si>
    <t>线下活动与线上活动相结合。线下活动主要包括学科报告会、与导师面对面、与在读研究生交流、医院参观等。线下活动结束后，经导师评估，部分营员可进入到心仪导师研究团队，远程线上参与科学研究。同时，夏令营线下活动结束后，专业将安排部分线上活动，为学生打造优质便捷的交流平台。</t>
  </si>
  <si>
    <t>即日起-7月4日9:00，逾期视为不申报。</t>
  </si>
  <si>
    <t>2024年7月23日到京，24日、25日开展活动。</t>
  </si>
  <si>
    <t>（1）教育部学籍在线验证报告：登陆“学信网”在“在线认证”一栏申请办理一个教育部学籍在线验证报告（电子版），下载并打印；电子版：将生成的验证报告电子文件，命名为：“1. 学籍信息”；
（2）照片：本人近期一寸白底彩色身份证版式照片。电子版：照片请使用JPG格式电子文件，命名为：“2.照片”；
（3）专家推荐书：副教授及以上专家推荐书1份（附件1）。电子版生成一份PDF格式的电子文件，命名为：“3.推荐书” ；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（7）自荐信：格式不限，可包括简历、为何报考相关学院及专业、未来学习研究计划等。电子版：生成PDF或Word格式的电子文件，命名为“7.自荐信”。
特别说明：申请人提交的申请信息务必真实、准确。凡提供虚假信息的，一经查实，取消入营资格。</t>
  </si>
  <si>
    <t xml:space="preserve">1．住宿费用和交通费用自理，学院免费提供三餐。
2. 参加暑期夏令营的学生必须遵守学院相关规定，按照统一的安排参加各项活动，并注意安全，无故缺席者将被取消营员资格。
3. 入营营员需自行购买人身安全保险，营员在夏令营期间发生的医疗费用及因个人行为导致的意外事故，由营员本人或其派出单位承担。
</t>
  </si>
  <si>
    <t>学院将从最终进入夏令营结营考核的营员中，根据考核成绩选拔优秀者授予“优秀营员”称号。优秀营员可在2025年首都医科大学硕士研究生招生录取时享受以下优惠政策：
如获得就读学校2025年推免资格，并登陆“教育部推免系统”填报与夏令营结营考核专业相同的志愿（学院、专业、研究方向一致），将由学院优先向学校推荐录取。
其余营员授予“合格营员”称号，同等条件下优先进入我校2025年推免生预选拔复试。  
如有“优秀营员”放弃资格，学院将根据实际情况，决定是否依次递补“合格营员”为“优秀营员”，也可不进行递补。</t>
  </si>
  <si>
    <t>4. 入营确认方式：
入营名单公示后，各专业会建立夏令营营员微信群。取得入营资格，但由于个人原因不能参加夏令营活动者，务必于入营名单公布后的次日9:00-16:00告知专业老师，不必加入专业微信群，同时应电话联系学院负责招生工作的老师，告知放弃入营。如有放弃入营的同学，学院可根据实际情况，决定是否依次递补后续报名同学入营。</t>
  </si>
  <si>
    <t>附属北京佑安医院</t>
  </si>
  <si>
    <t xml:space="preserve">1．线下主体活动：包含医院院史与医院现状、各科室与专业概况与特色等介绍，学术讲座、师生晤谈交流、在读研究生交流、院内参观等。夏令营具体安排另行通知。
</t>
  </si>
  <si>
    <t>通过手机微信扫描二维码或电脑输入网址进行在线报名（2024年 7月 5 日 24:00 前）</t>
  </si>
  <si>
    <t>2024年7月下旬</t>
  </si>
  <si>
    <t>1．教育部学籍在线验证报告：登陆“学信网”在“在线认证”一栏申请办理一个教育部学籍在线验证报告（电子版），下载并打印；电子版：将生成的验证报告电子文件，命名为：“1. 学籍信息”；2．照片：本人近期一寸白底彩色身份证版式照片。电子版：照片请使用JPG格式电子文件，命名为：“2.照片”；3．专家推荐书：副教授及以上专家推荐书1份（附件1）。电子版生成一份PDF格式的电子文件，命名为：“3.推荐书” ；4．本科阶段成绩单及本专业排名证明(学校教务部门或院系盖章)。电子版：各生成PDF格式的电子文件，命名为：“4.1成绩单，4.2专业排名”；5．英语水平证明：生成PDF格式的电子文件，命名为：“5.英语水平”；6．其他证明材料：包括各类获奖证书复印件；体现自身学术水平的代表性学术论文、出版物或原创性工作成果等)。电子版：生成PDF格式的电子文件，如材料较多请建立文件夹，命名为：“6.其他证明材料”。7．自荐信：格式不限，可包括简历、为何申请相关学院及专业、未来学习研究计划等。电子版：生成PDF或Word格式的电子文件，命名为“7.自荐信”。</t>
  </si>
  <si>
    <t>1．交通食宿费用自理，医院给每位营员补贴800元。
2. 参加暑期夏令营的学生必须遵守学院相关规定，按照统一的安排参加各项活动，并注意安全，无故缺席者将被取消营员资格；
3. 营员在夏令营期间发生的医疗费用及因个人行为导致的意外事故，由营员本人承担。</t>
  </si>
  <si>
    <t>学院将从最终进入夏令营结营考核的营员中，根据考核成绩选拔优秀者授予“优秀营员”称号。优秀营员可在2025年首都医科大学硕士研究生招生录取时享受以下优惠政策：
如获得就读学校2025年推免资格，并登陆“教育部推免系统”填报与夏令营结营考核专业相同的志愿（学院、专业、研究方向一致），将由学院优先向学校推荐录取。
其余营员授予“合格营员”称号，同等条件下优先进入我校2025年推免生预选拔复试。
如有“优秀营员”放弃资格，“合格营员”可依次递补为“优秀营员”。</t>
  </si>
  <si>
    <t xml:space="preserve">南京医科大学
</t>
  </si>
  <si>
    <t>大学本科前三学年（学制四年）或前四学年（学制五年）总评成绩在专业名列前茅（课程平均学分绩点排名在本专业前10%将优先考虑进入营员名单）</t>
  </si>
  <si>
    <t>英语成绩按六级达到426分或四级达到497分。</t>
  </si>
  <si>
    <t>7月18日报到，7月19-20日活动；主要内容包括：医院介绍、重点科室（专业）宣讲、平台参观、导师交流等活动，具体日程另行发布。</t>
  </si>
  <si>
    <t>6月27日10:00-7月8日16:00</t>
  </si>
  <si>
    <t>2024年7月18-20日</t>
  </si>
  <si>
    <t>（1）学生证个人信息页和注册页（一页）
（2）本科阶段成绩单及所在专业总成绩排名（由教务部门盖章）
（4）英语水平证明材料（英语六级/四级证书等）
（5）所发表学术论文、获奖证书等其他相关证明材料
（6）本人近期一寸白底彩色证件照，照片请使用JPG格式电子文件，大小在200k以内</t>
  </si>
  <si>
    <t>1、入选营员活动期间住宿、用餐由学院统一安排；交通费以往返交通补贴的形式发放，具体标准如下：
医院至营员所在地火车往返票价【硬席（硬座、硬卧），高铁/动车二等座、全列软席列车二等软座】；没有通火车的地方按轮船三等舱位或普通长途公共汽车往返票价，其他交通工具（不包括出租小汽车），凭据报销；如高于此标准乘坐，按此标准额度核准。每人均给予市内交通补贴30元。</t>
  </si>
  <si>
    <t>我院将根据营员的面试成绩和综合表现，评定“优秀营员”并颁发证书。获得“优秀营员”证书者，可享受以下优惠政策：
1、“优秀营员”可获得精美纪念品一份；
2、“优秀营员”如获得所在学校推荐免试研究生资格，登陆“教育部推免系统”填报与夏令营面试专业相同的志愿（学院、专业、三级学科、学位类型、学习方式等一致），可直接被我校拟录取。</t>
  </si>
  <si>
    <t>2、入选营员按要求全程参加夏令营活动，无故缺席将取消资格并不提供相关待遇与保障。
3、若发现申请材料有虚假成分，即取消申请人一切由此获得的利益，并保留追溯的权利。
4、更多夏令营相关活动内容请实名（姓名+学校+专业）申请加入QQ群：南医大二临2024年夏令营报名交流群：QQ群号：825546022</t>
  </si>
  <si>
    <t>本科成绩优异。</t>
  </si>
  <si>
    <t>英语水平良好。英语达到国家六级水平（425分以上）或托福、雅思等成绩合格。</t>
  </si>
  <si>
    <t>本次活动拟采取线下方式进行，活动内容包括招生政策解读、学科交流、学术能力考核等内容，具体内容另行通知。</t>
  </si>
  <si>
    <t>2024年7月1日-2024年8月10日</t>
  </si>
  <si>
    <t>9月中上旬</t>
  </si>
  <si>
    <t>1.《华中科技大学同济医学院口腔医学院2024年学术夏令营申请表》，见附件。
2. 成绩单（由院系教务部门盖章），成绩排名证明。
3. 全国大学英语六级成绩单，或其他体现英语水平的证明。
4. 获奖证书及参与科研项目证明复印件等。
5. 体现自身学术水平的学术论文、出版物或原创性成果，请注明本人排名。</t>
  </si>
  <si>
    <t>本次夏令营活动不收取任何费用，所有营员食宿自理。本院将在确认优秀营员待录取为我院2025级推免硕士生后，对其在夏令营期间的部分住宿、交通费用进行资助，具体资助方案后续通知。</t>
  </si>
  <si>
    <t>根据报名人数以及申请者条件综合考量，拟录取营员名单将于9月初在华中科技大学同济医学院口腔医学院官网上公布（http://stomatology.hust.edu.cn/），也可登陆报名系统查询。</t>
  </si>
  <si>
    <t>本科学习成绩优秀，具有较强动手能力和较好科研潜质，总成绩排名原则上在所读学校同年级本专业前30%以内（在其他方面有突出表现的学生除外），获得（或者可能获得）所在高校推荐免试生资格者优先；</t>
  </si>
  <si>
    <t>具有良好听、说、读、写的英语应用能力。 </t>
  </si>
  <si>
    <t>2024年7月8日12:00截至</t>
  </si>
  <si>
    <t>1.《中山大学附属第七医院2024年全国优秀大学生夏令营申请表》（发送签字扫描版本，填写模板请下载文末附件）；
2.个人简历（限1个页面）；
3.身份证扫描件（正反面扫描在同一张A4纸内）；
4.《教育部学籍在线验证报告》，办理方式详见中国高等教育学生信息网http://www.chsi.com.cn/xlcx/bgys.jsp；
5.本科阶段成绩单、成绩总评排名的证明材料扫描件（加盖学校教务部门公章）；
6.英语水平的证明材料扫描件（大学英语四六级考试成绩、TOEFL、IELTS、GRE成绩等体现英语水平的证明材料）；
7.其他证明材料，如代表性学术论文（首页即可-即题目、摘要、作者所在页）、其他原创性工作成果、获奖证书等，学术论文以正式见刊为准。</t>
  </si>
  <si>
    <t>活动结束后，我院将为符合条件的学员颁发结业证书。</t>
  </si>
  <si>
    <t>生殖健康研究所</t>
  </si>
  <si>
    <t>来自“双一流”学校或学科，本科总评成绩排名年级前30%或其他高校特别优秀、能取得推免资格的学生。</t>
  </si>
  <si>
    <t>全国大学英语六级考试（CET-6）成绩达到425分及以上，具有良好的英语写作与表达能力。</t>
  </si>
  <si>
    <t>主要的内容包括：（1）开营仪式；（2）生殖健康研究所研究生培养情况介绍；（3）研究所各团队方向及导师情况介绍、参观研究所和实验室、与各团队导师面对面交流；（4）优秀营员选拔</t>
  </si>
  <si>
    <t>6月26日-7月5日</t>
  </si>
  <si>
    <t>7月14日-16日</t>
  </si>
  <si>
    <t>1、生殖健康研究所学术夏令营活动申请表（见附件1）；
2、加盖学校或院系公章的本科阶段成绩单和专业排名证明；
3、英语水平证明材料（包括国家英语四、六级成绩，或其他体现自身英语水平的成绩证明）；
4、获奖证书或参与科研项目证明扫描件；
5、申请人还可提交体现自身学术水平的代表性学术论文、出版物或原创性工作成果。
说明：1-3为必填写提交材料，其他材料可以根据自身情况选择性提交。</t>
  </si>
  <si>
    <t>本次夏令营活动不收取任何费用，所有营员食宿自理。在推免时确认被录取为我所2025级推免硕士生后，对其在夏令营期间的部分住宿、交通费用进行资助，具体资助方案后续通知。</t>
  </si>
  <si>
    <t>夏令营活动结束后，营员将获得研究所颁发的“生殖健康研究所优秀大学生暑期学术夏令营”活动结业证书。取得“优秀营员”资格的学生如报考研究所推荐免试研究生，在推免计划允许的情况下，同等条件优先录取。</t>
  </si>
  <si>
    <t>五、注意事项
1、申请表填写意向报考团队指的是“精子发生与男性不育研究团队”、“生殖免疫团队”、“生殖表观调控与再生医学团队”、“生殖与再生医学转化研究中心”，具体团队情况详见http://irh.hust.edu.cn/yjsgk/jgsz1.htm。
2、本次夏令营活动不收取任何费用，所有营员食宿自理。在推免时确认被录取为我所2025级推免硕士生后，对其在夏令营期间的部分住宿、交通费用进行资助，具体资助方案后续通知。
3、年级排名一项指的是本科在读截止到本学期最新的专业或年级排名，不能确定的可以填写大致排名。
4、推免资格指的是根据大学期间的专业或年级排名，以及本学院历年的推免政策所确定的是否具有保送校内或校外的免试推荐资格。
5、申请者所提供的各种信息和材料必须真实，如有弄虚作假，一经查实，将取消申请人所获得的资格。
6、关于夏令营各项事宜，如有变化，将会及时公告。敬请关注研究所官网（网址：http://irh.hust.edu.cn/）或者夏令营QQ群通知。
7、本次活动解释权归华中科技大学同济医学院生殖健康研究所。</t>
  </si>
  <si>
    <t>勤奋学习，积极上进，成绩优秀，本科阶段总成绩排名在该校同年级本专业前列，报名学生能获得所在院校推免资格者优先。</t>
  </si>
  <si>
    <t>具有良好的外语水平，满足下列条件之一：1.六级≧425分；2.雅思≧6.0分；3.托福≧90分。获国家级英语比赛三等奖以上奖项者优先。</t>
  </si>
  <si>
    <t>报到、开营仪式活动、学科一日见习生活动、学科交流面试与选拔（注：具体安排详见入营后学院通知）</t>
  </si>
  <si>
    <t>即日起至2024年7月1日18:00前。</t>
  </si>
  <si>
    <t>2024年7月中旬（具体时间另行通知）</t>
  </si>
  <si>
    <t>100-120人</t>
  </si>
  <si>
    <t>1.南方医科大学第一临床医学院2024年全国优秀大学生暑期夏令营申请表电子版（附件1）
2.本科阶段成绩单及同年级总成绩排名表扫描版（由教务部门或院系盖章）
3.英语水平证明扫描版（四六级或雅思托福证书等）
4.学生所在院校专任教师（有副高及以上职称）推荐信（附件2）
以上1-3为必须提交项，有推荐信者同等条件下优先考虑。</t>
  </si>
  <si>
    <t>（一）我院为广州市外院校营员提供夏令营期间免费食宿（本校学生及其它广州市内院校学生不提供住宿），交通费由营员自理。
（二）为营员提供夏令营参营礼品（南医文创纪念品礼包、夏令营证书等）。</t>
  </si>
  <si>
    <t>（三）根据申报类别，获得夏令营预录取证书后取得所在院校“推免”资格的营员，将直接获得我校2024年临床医学“推免生”（含直博生）录取资格，无需再次参加推免生复试。
（四）南方医科大学第一临床医学院本科生报考“南方医院星火计划”，经师生双向选择最终录取为我院推免生，将进入“硕博连读（或直博生）-选拔通过-留院工作”一站式人才培养体系。</t>
  </si>
  <si>
    <t>（一）热爱社会主义祖国，拥护中国共产党的领导，遵纪守法，具有良好的品行，无违法违纪行为。
（二）全国各高校临床医学、儿科学、医学影像学（五年）、麻醉学（五年）、精神病学专业2025年应届本科毕业生。
（三）勤奋学习，积极上进，成绩优秀，本科阶段总成绩排名在该校同年级本专业前列，报名学生能获得所在院校推免资格者优先。
（四）热爱医学，有志于从事医学领域科学研究工作，具有较强实践能力和较好科研潜质。有科研相关经历、发表论文、申请专利或在科技创新研究方面有突出表现者优先，在省级以上临床技能竞赛等重大活动中获奖者优先。
（五）具有良好的外语水平，满足下列条件之一：1.六级≧425分；2.雅思≧6.0分；3.托福≧90分。获国家级英语比赛三等奖以上奖项者优先。</t>
  </si>
  <si>
    <t>附属广东省人民医院</t>
  </si>
  <si>
    <t>具有良好的品行，身体健康，勤奋学习，积极上进，成绩优秀，本科阶段总成绩排名在该校同年级本专业前列；报名学生能获得所在院校推免资格者优先。</t>
  </si>
  <si>
    <t>1.7月2日-7月5日中午12:00：遴选并公示营员，届时在QQ群内通知。
        2.7月10日-7月11/12日：报到、开营、各项活动、纪念品发放、面试与优秀营员选拔（预录取）、证书发放。具体安排详见入营后医院通知</t>
  </si>
  <si>
    <t>即日起至7月1日18:00前</t>
  </si>
  <si>
    <t>2024年7月10-12日；</t>
  </si>
  <si>
    <t xml:space="preserve"> 1.南方医科大学省医临床医学院优秀大学生夏令营申请表（见附件）
        2.本科阶段成绩单及同年级总成绩排名表扫描件（需在读高校教务部门或院系盖章）
        3.英语水平证明（四六级或雅思托福证书等）扫描件
        4.学生证和身份证（正反面、扫描件）
        5.其他材料（如两名高级职称专家推荐信、已发表的学术论文、获奖证书等）。
        以上1-4为必要项。</t>
  </si>
  <si>
    <t>1.我院为营员提供夏令营期间免费食宿（本校学生、广州市内学生不提供住宿），交通费营员自理。
        2.我院为营员提供参营用品（入营纪念品、夏令营预录取证书等）。</t>
  </si>
  <si>
    <t>3.获得夏令营预录取通知书并在之后取得所在学校“推免”资格的优秀营员，可直接接收为南方医科大学附属广东省人民医院2024年临床医学“推免生”。</t>
  </si>
  <si>
    <t>1、线上直播宣讲环节：7月15日17:00-18:00（东南大学研招办公众号后续发布相关信息）
2、夏令营活动及推免预选拔工作形式
（1）夏令营活动及推免预选拔工作采用线下方式，请各位参加同学提前安排好时间，避免耽误夏令营行程。
（2）推免预选拔考核形式为面试。
3、夏令营活动及推免预选拔工作安排表
本次夏令营将于2024年8月4日—5日在东南大学丁家桥校区（南京市鼓楼区丁家桥87号）举行，初步日程安排如下，具体活动安排将另行通知。</t>
  </si>
  <si>
    <t>（1）报名开始时间：7月1日 中午12:00
（2）报名截止时间：7月20日 中午12:00</t>
  </si>
  <si>
    <t>2024年8月4日—5日</t>
  </si>
  <si>
    <t>1.东南大学接收推荐免试研究生申请表
1.系统生成表格，下载打印后交学校教务部门或院系签章，同时本人手写签名，再电子版上传；
2.如已有学校教务部门或院系盖章的成绩排名证明，申请表中学校教务部门或院系签章可免，须将成绩排名证明一并上传。
2.居民身份证
正反面，彩色，有效期内
3.教育部学籍在线验证报告
有效期内的《教育部学籍信息在线验证报告》
4.现有本科阶段成绩单
学校教务部门或学院盖章
5.外语成绩证明
CET-4、CET-6、TOEFL、IELTS等证书或成绩单
6.学术成果证明
论文、专利、学科竞赛证书等
7.奖励情况证明
校级以上（含）荣誉奖励证书
8.实践经历证明
科研训练、实习实践、社会工作等相关证明
9.专家推荐信
如申请本科直博，须征得你报考导师的同意，并提供相应证明材料。还须提交与申请学科相关的两位具有副教授及以上（或相当）职称的专家（拟报考导师除外）填写的专家推荐信，按系统生成的专家推荐信模板，两位专家各填一份
10.个人信息表
格式见附件。可根据填写内容适当调整空格大小，但仅限一页。承诺提交的所有信息均真实准确，否则后果自负</t>
  </si>
  <si>
    <t>学院对夏令营入选者进行全面考核和综合评价，并公布考核结果。对于本次活动中表现优秀者，如获得本科学校推荐免试资格，并在规定的时间内按照学院要求通过教育部“全国推荐免试攻读研究生（免初试、转段）信息公开管理服务系统”（http://yz.chsi.com.cn/tm)完成所有规定的流程后，优先拟录取，具体原则见后期发布的考核结果。</t>
  </si>
  <si>
    <t>1.本校跨学院申请者须报名参加8月上旬的夏令营及推免预选拔活动；本学院申请者统一参加第二批推免预选拔，具体安排请另行通知。
2.如教育部2025年招收推免生的办法有所调整，以教育部政策为准。</t>
  </si>
  <si>
    <t>在学期间学习成绩优秀，原则上本科期间学业成绩达到本专业年级排名前20%；</t>
  </si>
  <si>
    <t>英语水平优秀，全国大学英语六级成绩≥450分。</t>
  </si>
  <si>
    <t>具体形式、内容后续以邮件/电话的形式另行通知。</t>
  </si>
  <si>
    <t>6月26日9:00—7月07日12:00</t>
  </si>
  <si>
    <t>2024年7月25至26日</t>
  </si>
  <si>
    <t>50-60人</t>
  </si>
  <si>
    <t>1）身份证、学生证扫描件和教育部学籍在线验证报告（有效验证期内）；
2）截至目前的成绩单扫描件（请所在院系教务部门签章并注明专业排名和专业总人数）；
3）全国大学英语六级考试成绩单等体现自身英语水平的证明材料扫描件；
4）其它材料，包括：获奖证书，发表学术论文首页或证明，出版物封面及作者页，课题证明等扫描件；
5）个人简历（1页）和个人陈述（1页），模板见附件1；
6）南京医科大学夏令营报名申请表（系统内填写后生成，须下载完成签字盖章）。</t>
  </si>
  <si>
    <t>我院将为入选营员提供夏令营期间餐食及800元住宿交通补贴，超出部分请自行承担。（注：学校或家庭所在地是南京的学生原则上不给予补贴）</t>
  </si>
  <si>
    <t>根据申请材料、夏令营期间学生的综合表现，由专家组对营员进行综合考核，考核优秀的营员在“南京医科大学研究生报考服务系统”中予以公布。优秀营员可在2024年硕士研究生招生录取时享受以下优惠政策：
1. 若获得所在学校推免生资格，登录“教育部推免系统”填报与夏令营面试专业相同的志愿（学院、专业、三级学科、学位类型、学习方式等一致），可视同面试合格直接免试拟录取。
2. 推免生第一学年可获得一等学业奖学金（1万元）（具体额度以当年学校的奖助政策为准）。</t>
  </si>
  <si>
    <t>我院将根据报名情况和择优原则，确定入选营员名单。审核工作于7月10日截止。申请者在审核工作结束后，及时登录“南京医科大学研究生报考服务系统”，点击“申请状态查询”，查看申请信息是否通过审核。通过审核的同学，须确认是否参加暑期夏令营，点击“保存”按钮、打印申请表，并查看活动安排，登记营员服尺寸。确认工作将于7月15日截止，逾期未确认视为自动放弃资格。</t>
  </si>
  <si>
    <t>总成绩排名原则上在所读学校同年级本专业前30％之内者（在其它方面有突出表现的学生除外），已经获得或即将获得所在高校推荐免试生资格者优先；</t>
  </si>
  <si>
    <t>具有良好听、说、读、写的英语应用能力；</t>
  </si>
  <si>
    <t>内容包括入营主题讲座、相关教研室师生专题交流等，初步日程安排如下：</t>
  </si>
  <si>
    <t>2024年8月12日-15日</t>
  </si>
  <si>
    <t>80人(拟招收广东省外40人、广东省内40人</t>
  </si>
  <si>
    <t>1、《中山大学附属第六医院2024年全国优秀大学生夏令营申请表》(我院网站-教学-研究生招生栏目下载）；
2、本科阶段成绩单及同年级总成绩排名（由教务部门或院系盖章）扫描件；
3、英语四六级证书扫描件；
4、个人简历；
5、体现自身英语水平的证明以及其他证明材料，如体现自身学术水平的代表性学术论文（包括相关杂志封面、目录页及文章正文页）或其他原创性工作成果复印件、获奖证书复印件等。</t>
  </si>
  <si>
    <t>我院将为参加夏令营的正式营员购置保险及提供夏令营期间的食宿（广州本地学校学生不提供住宿），对成功推免至我院的外校推免生，报销夏令营活动期间学校所在城市至广州的往返火车票，报销标准参照学校相关规定执行（火车硬卧或高铁二等座标准）。</t>
  </si>
  <si>
    <t>全国“双一流”建设高校2025年应届毕业，本科或硕士期间成绩在本专业排名前50%者；一本以上非“双一流”建设高校2025年应届毕业，本科或硕士期间成绩在本专业排名前10%者（限医学及相关专业）</t>
  </si>
  <si>
    <t>对从事医学学术研究有浓厚兴趣，具有一定创新能力和科研潜力，全部课程无补考或重修，英语四级达450分或英语六级达425分。</t>
  </si>
  <si>
    <t>夏令营安排包括院士、著名专家教授专题讲座，科研之路经验分享会，与研究生导师座谈，参观校区、校史馆、各附属医院及陆军特色医学中心，参观红色圣地、聆听红色故事、感悟红色精神、传承红色文化，开展面试考核及联谊活动等（最终开营时间以后续发布的开营报到通知为准）</t>
  </si>
  <si>
    <t>7月9日至12日</t>
  </si>
  <si>
    <t>1.2024年优秀大学生夏令营申请表（见附件）；
2.本科或研究生阶段成绩单；
3.全国大学英语四级（六级）考试成绩报告单；
4.相关证明材料（如已发表论文、各类获奖证书或资格证书等）；
5.如参加推免面试考核，则需另外提供个人陈述PPT（主要包括个人简介、研究课题、取得成果、科研能力及个人发展方向等），按照不超过5分钟时长准备。
请将以上1-4项材料按顺序扫描成一个PDF，同个人陈述PPT，于6月30日前发送至邮箱tmmu_zhaosheng@163.com。邮件及文件名以“2024夏令营+姓名”命名。审核完成后将在大学招生就业网公布名单。</t>
  </si>
  <si>
    <t>我校将为所有营员安排在渝食宿和往返重庆的火车、机票或汽车费用（按照不超过飞机经济舱或高铁二等座标准报销往返路费），夏令营结束时，将为全体营员颁发结业证书。</t>
  </si>
  <si>
    <t>1.报考专业及导师信息参照我校2024年研究生招生专业目录。
2.报名请协调好个人时间安排，被确认接收参营后无特殊情况不得随意放弃；如遇不可抗拒因素不能参加，请第一时间与我校联系；一旦报到，无特殊情况须全程参加夏令营，否则不予报销路费；营员参加夏令营前，需告知所在学校和父母，并注意出行安全。
3.夏令营期间，所有营员须严格遵守相关管理制度，按照夏令营统一安排参加活动，不得擅自离营。因特殊情况中途退出的营员，不予报销路费。
4.申请对象必须保证填报的各项信息和材料真实准确，若发现有任何弄虚作假行为，取消申请资格。</t>
  </si>
  <si>
    <t>5．英语水平良好，具备利用英语进行科研、写作以及交流的能力；</t>
  </si>
  <si>
    <t>体验多元化护理学专业发展方向，通过专家讲座、学生分享、互动交流等环节多角度了解北大护理。通过云游校园参观北京大学学院路校区、护理学院等</t>
  </si>
  <si>
    <t>有效期限：2024-07-01 12:00）</t>
  </si>
  <si>
    <t>1.夏令营申请表，填写后学校教务处或院系负责人签字盖章；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7.两位副教授或以上专家的推荐信；
8.声明（确保资料真实有效）。
模板下载见附件</t>
  </si>
  <si>
    <t>———</t>
  </si>
  <si>
    <t>全国大学英语六级 水平（成绩 425 分以上），</t>
  </si>
  <si>
    <t>7月3日17：00前</t>
  </si>
  <si>
    <t>7月8日-10日线上</t>
  </si>
  <si>
    <t>国内外高水平大学、全国重点大学的2025届毕业生（含境外高校当年毕业学生），或所在学科为国家双一流学科，在最新一轮学科水平评估中排名靠前的2025届毕业生，个别有突出成果或特殊专业特长的其他高校2025届毕业生也可申请（占参营人数比例不超过5%）；</t>
  </si>
  <si>
    <t>本次夏令营活动以线上形式进行</t>
  </si>
  <si>
    <t>包括学院总体概览、学科专业介绍、师生交流互动等。</t>
  </si>
  <si>
    <t>即日起至2024年7月10日前</t>
  </si>
  <si>
    <t>2024年7月17 ~ 18日</t>
  </si>
  <si>
    <t>400人</t>
  </si>
  <si>
    <t>1. 武汉大学第一临床学院2024年优秀大学生线上夏令营申请表（附件1）：1份，申请表须有所在院系推荐意见和教务部门盖章。
2. 个人陈述（附件2）：1份，须有申请人签名。
3. 其他证明材料：例如本科阶段学习成绩单（加盖院系或教务部门公章），获奖证书复印件，国家英语四、六级考试成绩或TOEFL/GRE/GMAT/IELTS成绩等体现自身外语水平的证明，体现自身学术水平的代表性学术论文、专利、出版物或原创性成果，其他各类证书等。</t>
  </si>
  <si>
    <t>根据选拔考核综合成绩排名情况，确定优秀营员名单，经研究生院审核同意后上网公示，并在“夏令营系统”中记载、留存。“优秀营员”选拔计划不超过150人。获得“优秀营员”者，可自行在系统中下载、打印“武汉大学2024年优秀大学生夏令营优秀营员证书”，并可享受以下优惠政策：
取得推免资格的“优秀营员”，在规定时间内进入教育部推免系统报考我校推免生，且服从调剂，可优先接收为我校2025年推免生。
学院保持与参营人员的联系，及时发布与推免或考研的相关信息，解答学生的问题并提供相关咨询服务。</t>
  </si>
  <si>
    <t>学院按一级学科分别开展优秀营员的选拔考核工作，夏令营考核时间另行通知。
优秀营员选拔考核分两个部分进行，分别为背景评估和视频考核。
（一）背景评估（100分）
根据营员提交的申请材料进行评估，主要包括营员的学习经历、学习成绩、科研能力、外语水平等情况。
（二）视频考核（100分）
视频考核包括综合素质、英语能力、掌握本专业系统知识的情况和攻读硕士学位的目的与科研计划等。重在考查营员综合运用所学知识的能力、科研创新能力（专业能力倾向）以及对本学科前沿领域及最新研究动态的掌握情况等。
（三）心理测试
 学院统一对参营营员进行心理素质测试，心理素质测试不符合要求者，不能评为“优秀营员”。
（四）选拔考核综合成绩
选拔考核综合成绩＝背景评估×40%＋视频考核×60%</t>
  </si>
  <si>
    <t>学习成绩优异，能获得所在学校推免资格</t>
  </si>
  <si>
    <t>外语水平良好；</t>
  </si>
  <si>
    <t>学院招生宣讲、各学科专业介绍、师生交流互动等。</t>
  </si>
  <si>
    <t>6月30日至7月10日前</t>
  </si>
  <si>
    <t>7月17日-18日。</t>
  </si>
  <si>
    <t>400人左右</t>
  </si>
  <si>
    <t>1.“武汉大学第二临床学院2024年优秀大学生线上夏令营”申请表1份（附件1），申请表须有本人所在学校院系推荐意见和教务部门盖章；
2.个人陈述1份（附件2）；
3.其他证明材料（如：本科阶段学习成绩单；获奖证书；国家英语四、六级考试成绩或TOEFL/GRE/GMAT/IELTS成绩等体现自身外语水平的证明；体现自身学术水平的代表性学术论文、专利、出版物或原创性成果等；其他各类证书，等）</t>
  </si>
  <si>
    <t>学院按一级学科分别开展优秀营员的选拔考核工作，优秀营员选拔考核分两个部分进行，分别为背景评估和视频考核，具体考核时间另行通知。
（一）背景评估（100分）
根据营员提交的申请材料进行评估，主要包括营员的学习经历、学习成绩、科研能力、外语水平等情况。
（二）视频考核（100分）
视频考核包括综合素质、英语能力、掌握本专业系统知识的情况和攻读硕士学位的目的与科研计划等。重在考查营员综合运用所学知识的能力、科研创新能力（专业能力倾向）以及对本学科前沿领域及最新研究动态的掌握情况等。
（三）心理测试
 学院统一对参营营员进行心理素质测试，心理素质测试不符合要求者，不能评为“优秀营员”。
（四）选拔考核综合成绩
选拔考核综合成绩＝背景评估×40%＋视频考核×60%</t>
  </si>
  <si>
    <t>附属北京妇产医院</t>
  </si>
  <si>
    <t>1．线下主体活动：7 月 23-24 日，参观学院诊疗、科研场所，深入了解学院 学科发展现状及研究生学习工作环境。
2．线上综合活动：8 月，腾讯会议形式，开展不同专题的学术或病例分享活动。
3．结营考核：学院将采取不同方式对学生进行全面考核，并根据考核成绩评 出“优秀营员”、及“合格营员”。具体考核时间、考核内容、考核方式、评选办 法等以入营后的学院通知为准。</t>
  </si>
  <si>
    <t>全国大学英语六级水平（成绩≥425 分）或 TOEFL（iBT）≥90 分或 IELTS （A 类）≥6.0 分。</t>
  </si>
  <si>
    <t xml:space="preserve">2024 年 7 月 8 日 24:00 </t>
  </si>
  <si>
    <t>7月、8月</t>
  </si>
  <si>
    <t>1．教育部学籍在线验证报告：登陆“学信网”在“在线认证”一栏申请办理 一个教育部学籍在线验证报告（电子版），下载并打印；电子版：将生成的验证报 告电子文件，命名为：“1. 学籍信息”；
2．照片：本人近期一寸白底彩色身份证版式照片。电子版：照片请使用 JPG 格式电子文件，文件不小于 300kb，命名为：“2.姓名照片”；
3．专家推荐书：副教授及以上专家推荐书 1 份（附件 1）。电子版生成一份 PDF 格式的电子文件，命名为：“3.推荐书” ；
4．本科阶段成绩单及本专业排名证明(学校教务部门或院系盖章)。电子版：各生成 PDF 格式的电子文件，命名为：“4.1 成绩单，4.2 专业排名”；
5．英语水平证明：生成 PDF 格式的电子文件（多个证明材料者按重要程度排 序生成一个文档），命名为：“5.英语水平”；
6．其他证明材料：包括各类获奖证书复印件；体现自身学术水平的代表性学 术成果（以第一作者或主编发表/接受的论文、出版物或原创性工作成果等)。电子版：生成 PDF 格式的电子文件，如材料较多请建立文件夹，将获奖证书和学术成果 分别按重要程度排序，各生成一个 PDF 文件，存入该文件夹内。命名为：“6.其他 证明材料”。
7．自荐信：格式不限，可包括简历、为何申请我院该专业、未来学习研究计 划等。电子版：生成 PDF 或 Word 格式的电子文件，命名为“7.自荐信”。</t>
  </si>
  <si>
    <t>1．食宿：为入选营员提供夏令营期间在学院线下活动期间的食宿(本校或家庭 所在地是北京的学生不安排住宿；住宿时间：7 月 22-24 日中午 12 时止)；
2．交通：学院为外地营员报销本科学校所在地至北京的单程高铁/动车二等座 或普通列车硬座/硬卧票费用（请营员自行定票；报销交通费需提供该到京车程的 票据作为报销凭证；“高铁/动车一等座票”或“普快列车软席票”按同车次二等 4 座或硬席票的标准报销；飞机票及市内交通费不予报销)；
3. 入营礼物：营服、首都医科大学附属北京妇产医院建院 65 周年纪念徽章、 笔记本及签字笔；
4. 参加暑期夏令营的学生必须遵守学院相关规定，按照统一的安排参加各项 活动，并注意安全，无故缺席者将被取消参加结营考核的资格；
5. 营员在夏令营期间发生的医疗费用及因个人行为导致的意外事故，由营员 本人承担。</t>
  </si>
  <si>
    <t>学院将从最终进入夏令营结营考核的营员中，根据考核成绩选拔优秀者授予 “优秀营员”称号。优秀营员可在 2025 年首都医科大学硕士研究生招生录取时享 受以下优惠政策：如获得就读学校 2025 年推免资格，并登陆“教育部推免系统”填报与夏令营 结营考核专业相同的志愿（学院、专业、学位类型与研究方向一致），将由学院优 先向学校推荐录取。参加结营考核的其余营员授予“合格营员”称号，同等条件下优先进入我校 2025 年推免生预选拔复试。如有“优秀营员”放弃资格，“合格营员”可按相同志愿的结营考核成绩依次 递补为“优秀营员”。</t>
  </si>
  <si>
    <t>3．入营资格的公布与确认 申请时间截止后，我院将对申请者提交的材料进行审核和择优筛选，最终入营 的名单于 2024 年 7 月 11 日 在 我 院 官 网 公 告 栏 
网 址 ：http://www.bjogh.com.cn/xwzx/list/297.html发布。未获得入营资格的 学生不再另行通知。入营学员的确认：请入选营员于 2024 年 7 月 12 日 12:00 前回复邮件（或致电 010-52277382） 确认是否参加，逾期未回复则视为放弃。</t>
  </si>
  <si>
    <t>3.学习成绩应满足下列条件之一：
（1）五年制或四年制医学专业学习成绩排名在同专业年级排名前30%；
（2）安徽医科大学临床医学5+3专业学习成绩排名应在同专业年级前30%。</t>
  </si>
  <si>
    <t>英语水平满足下列条件之一：CET-6≥425分，CET-4≥500分，雅思≥5.5分。</t>
  </si>
  <si>
    <t>7月23日下午报到；
7月24日上午夏令营开幕式、医院介绍会；
7月24日下午学科专题讲座、学科导师面对面；
7月25日上午优秀学生代表与营员交流座谈会、离营。</t>
  </si>
  <si>
    <t>通知发布之日至2024年7月17日17:30</t>
  </si>
  <si>
    <t xml:space="preserve">本次活动预计在7月23日-25日安徽医科大学第二附属医院举行，
</t>
  </si>
  <si>
    <t>1.申请表和汇总表（见附件）；
2.本科历年成绩单（加盖教务处公章）；
3.英语水平的证明材料：全国大学生英语四、六级考试成绩单或相关证书；
4.其他相关能力的证明材料（如发表论文、专利、各类获奖证书等。如有，需提供）；
5.本人有效期内的身份证和学生证。
请申请人将上述申请材料按顺序扫描合并成一个PDF文件，命名为“夏令营+目前在读的学校名称+个人姓名”，于7月17日17:30前发送至邮箱：ay2fyjxb@163.com，逾期不再受理。报名材料经过审核通过后将以正式邮件进行通知，并加入夏令营QQ群。</t>
  </si>
  <si>
    <t>活动期间为营员提供工作餐、合肥市外营员可提供住宿，交通费自理。活动期间为营员提供工作餐、合肥市外营员可提供住宿，交通费自理。</t>
  </si>
  <si>
    <t>1.本次夏令营活动不收取任何费用，第二临床医学院（第二附属医院）不承担参加者活动期间所产生的任何法律和经济责任；
2.营员报到时需携带身份证、学生证。在营期间，营员必须遵守安徽医科大学第二附属医院的相关规定；任何弄虚作假、违反学术道德行为一经发现，我院将取消其一切录取资格；
3.医院官方网址：http://www.ay2fy.com/index.jsp</t>
  </si>
  <si>
    <t>英语熟练掌握听、说、读、写，全国大学英语六级成绩450分或同等水平以上；</t>
  </si>
  <si>
    <t>1.线下主体活动
（1）活动内容
参观交流环节：设置开营仪式、导师讲座、师生零距离对话、学长学姐及历届优秀营员交流分享、参观实验室、手术展示、前沿热点科研项目介绍等精彩课程；
结营考核环节：填报了心仪导师的营员，参加结营考核笔试和面试，通过营员-导师双向选择，颁发“优秀营员”证书，详细优先录取政策见后文“五、招生优先政策”；
全程参与的营员还将获得神外所颁发的精美文创礼品一份。
（2）时间安排
报名起止时间见后文，入营时间预计为7月底，具体时间以后续通知为准。
2.线上综合活动
夏令营主体活动结束后，将持续组织营员参加学术讲座、学术沙龙、导师组会、学长学姐交流及学校招生政策讲解和答疑活动。具体时间和内容请以后续通知为准。
3.结营考核安排
具体考核时间、考核内容等以学院后续通知为准</t>
  </si>
  <si>
    <t>报名截至2024年7月5日上午11:00前。</t>
  </si>
  <si>
    <t>15-20人</t>
  </si>
  <si>
    <t>1．教育部学籍在线验证报告：登陆“学信网”在“在线认证”一栏申请办理《教育部学籍在线验证报告（电子版）》，下载并打印。电子版：将生成的验证报告电子文件命名为：“1.学籍信息-姓名”；
2．照片：本人近期一寸白底彩色身份证版式照片。电子版：照片请使用JPG格式电子文件，命名为：“2.照片-姓名”；
3．本科阶段成绩单及本专业排名证明(学校教务部门或院系盖章)。电子版：各生成PDF格式的电子文件，命名为：“3.1成绩单-姓名，3.2专业排名-姓名”；
4．证明材料：要求将英语水平证书、获奖证书等所有证明材料，扫描为一个PDF文件，命名为：“4.证明材料-姓名”。
5．个人简历和自荐信：要求A4纸一页，包含基本信息，联系方式，本科院校，专业，主要课程，成绩体现，英语成绩，个人特长等。电子版：PDF格式，命名为“5.个人简历-姓名-联系方式”。
6.个人成果（若有）：发表的科研论文、出版的出版物或原创性工作成果等。科研论文请制作目录表格，包括文章名、作者、标注第几作者、署名单位，期刊分区和影响因子等。电子版：目录Excel格式、其他PDF格式，请单独建立文件夹，命名为：“6.个人成果-姓名”。
*注：申请材料如有虚假，将取消申请人由此获得的一切利益，并保留追究申请人责任的权利！</t>
  </si>
  <si>
    <t>1.入营营员住宿自理，我所提供午餐，并给予适当食宿和交通补贴；
2.参加暑期夏令营的学生必须遵守学院相关规定，按照统一的安排参加各项活动，并注意安全，无故缺席者将被取消营员资格；
3.营员在夏令营期间发生的医疗费用及因个人行为导致的意外事故，由营员本人承担。</t>
  </si>
  <si>
    <t>学院将从最终进入夏令营结营考核的营员中，根据考核成绩和营员-导师双向选择的结果，选拔优秀者授予“优秀营员”称号。优秀营员可在2025年首都医科大学硕士研究生招生录取时享受以下优惠政策：
如获得就读学校2025年推免资格，并登陆“教育部推免系统”填报与夏令营结营考核专业相同的志愿（学院、专业、研究方向一致），将由学院优先向学校推荐录取，同时提前参与到学院丰富的学术活动中。
其余营员授予“合格营员”称号，同等条件下优先进入首医2025年推免生预选拔复试。
*注：仅在网上报名时选择“夏令营模式二”者可享受此条招生优先政策，选择“夏令营模式一”者无法享受该政策。</t>
  </si>
  <si>
    <t>针灸推拿·养生康复学院</t>
  </si>
  <si>
    <t>全国高校2025届应届本科毕业生，本科期间学习成绩优异，“双一流”建设高校本科生截至目前总成绩排名在本专业前30％及以内、普通类高校本科生截至目前总成绩在本专业排名前20%及以内或预计可获得所在高校免试推荐资格的学生</t>
  </si>
  <si>
    <t>2024年7月11日前</t>
  </si>
  <si>
    <t>1、个人简历
2、本科阶段成绩单（截至申请之日所能提供的所有课程成绩），加盖院/系公章；
3、前7学期总评成绩排名证明一份（由所在学院/系出具证明）；
4、外语水平证明，如国家英语四、六级考试，TOEFL/IELTS/GRE等能够体现外语水平的成绩证明；
5、学生证（正面，照片页和注册页）、身份证正反面
6、其他证明材料，包括各种获奖证书、参加社会实践活动的证明等，要求能够展现自身风采与综合素质的材料。
邮件格式要求：新建1个文件夹，以“姓名-手机号-南中医针灸推拿•养生康复学院夏令营报名”命名，文件夹包含6个pdf格式文件。文件1以“个人简历”命名，文件2以“本科阶段成绩单”命名；文件3以“成绩排名证明”命名；文件4以“外语水平证明”命名；文件5以“学生证、身份证”命名。文件6以“其他证明材料”命名。文件压缩为zip或rar格式。</t>
  </si>
  <si>
    <t>1、优秀营员获得所在学校研究生推荐免试资格，并符合我校2025年接收推荐免试硕士研究生拟录取条件的，在依照我校接收推荐免试硕士研究生工作方案完成我校推免报名后，同等条件下可优先拟录取为我院2025年学术型硕士研究生，无需再参加我校推免生复试。
2、“优秀营员”资格仅在其所参加考核的同一学院同一个二级学位点内有效，特殊优质生源报学院审批同意后可在一级学位点内调剂。</t>
  </si>
  <si>
    <t>1、优秀学员面试将以网络面试形式进行考核，考核内容包括外语、专业基础知识、专业技能和综合素质，分值为专家组所有成员打分结果的算术平均值，总分为100分，高于85分为优秀学员、低于60分为不合格。
2、各考核组规范考核程序，确保各项活动开展的公平性和公正性。优秀营员比例原则上不超过各学科实际参营营员总人数的80%，且不超过2024年各学科实际招生人数的70%。生源质量好的学科可适当放宽，放宽比例须报学院核准。</t>
  </si>
  <si>
    <t>附属北京安定医院</t>
  </si>
  <si>
    <t xml:space="preserve">在学期间学习成绩优秀，本科总成绩年级排名前30%。
</t>
  </si>
  <si>
    <t>4.英语水平良好，达到全国大学英语六级水平（成绩425分以上）。</t>
  </si>
  <si>
    <t>1.线下活动：7月中下旬，具体时间以后续通知安排为准。活动内容：学校招生政策讲解及答疑、师生面对面、参观交流、营员自我展示、沉浸式体验我学院临床与科研工作等。
2.线上活动：具体时间及内容以后续通知安排为准。
3.结营考核：学院将采取不同方式对学生进行全面考核，并根据考核成绩评出“优秀营员”、及“合格营员”。具体考核时间、考核内容、考核方式、评选办法等以学院后续通知为准。</t>
  </si>
  <si>
    <t>2024年7月16日24:00之前。</t>
  </si>
  <si>
    <t>20-25人</t>
  </si>
  <si>
    <t xml:space="preserve">1.教育部学籍在线验证报告：登陆“学信网”在“在线认证”一栏申请办理 《教育部学籍在线验证报告（电子版）》，下载并打印。电子版：将生成的验证报告电子文件，命名为：“1.学籍信息”；
2.照片：本人近期一寸白底彩色身份证版式照片。电子版：照片请使用JPG格式电子文件，命名为：“2.照片”；
3.专家推荐书：副教授及以上专家推荐书1份。电子版生成一份PDF格式的电子文件，命名为：“3.推荐书”；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 术论文、出版物或原创性工作成果等)。电子版：生成 PDF 格式的电子文件，如 材料较多请建立文件夹，命名为：“6.其他证明材料”；
7.简历：生成PDF或Word格式的电子文件，命名为“7.简历-姓名-联系方式”。
8.自荐信：格式不限，可包括为何报考相关学院及专业、未来学习研究计划等。电子版：生成PDF或Word格式的电子文件，命名为“8.自荐信”。
申请材料如有虚假，一经发现将取消其参加资格并记录在案。
</t>
  </si>
  <si>
    <t>1.本次夏令营活动不收取任何费用；
2.为入选营员免费提供一日三餐及住宿。</t>
  </si>
  <si>
    <t>1.请报名营员务必在规定时间内认真准确填写并提交申请材料的所有内容，如因信息提供有误，由此导致的相关损失和责任由营员自行负责；
2.参加暑期夏令营的学生必须遵守学院相关规定，按照统一的安排参加各项活动，并注意安全，无故缺席者将被取消营员资格；
3.营员在夏令营期间发生的医疗费用及因个人行为导致的意外事故，由营员本人或其派出单位承担。</t>
  </si>
  <si>
    <t>申请对象外语水平须达到 CET6≥425或TOEFL≥90或IELTS≥6.0</t>
  </si>
  <si>
    <t>7月5日中午12:00</t>
  </si>
  <si>
    <t>2024年7月14日-16日</t>
  </si>
  <si>
    <t xml:space="preserve"> 1、《上海交通大学护理学院2025年全国优秀大学生招生夏令营报名登记表》（报名系统生成）；
       2、身份证扫描件、学生证扫描件（需包含封面、个人信息页、注册页）各1份；
       3、本科期间成绩单扫描件1份（教务处盖章）；
       4、截至目前，成绩在所学本科专业和年级的排名证明，以及已获绩点/绩点总分的证明（专业排名/排名总人数；年级排名/排名总人数；已获绩点/绩点总分）（教务处盖章）；
       5、两位所在学院副教授及以上职称的专家推荐信（请使用报名系统中的模板）；
       6、其他证明材料扫描件（获奖或资格证书、国家英语四、六级等各类英语考试成绩单、论文著作等）各1份。
       7、个人简历
       注：夏令营入围同学请准备全套纸质版材料按入营邮件通知送至指定地点（具体另行通知）</t>
  </si>
  <si>
    <t>护理学院将根据营员综合素质、科研能力和学术潜质等进行考核，考核评审结束后给予相应的考核等级（经医学院研究生院统一公示后生效），具体如下：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B等，申请者须符合医学院接收优秀本科毕业生推荐免试攻读硕士学位研究生招生0要求，且与夏令营参加的培养单位及专业一致，则可直接录取为硕士研究生；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E等，不适合本学科，建议申请其他学科。</t>
  </si>
  <si>
    <t xml:space="preserve">1、申请人按要求参加我校夏令营活动后，如欲申请我校2025年推免生，必须通过教育部中国研究生招生信息网“全国推荐优秀应届本科毕业生免试攻读研究生信息公开暨管理服务系统”（简称全国推免服务系统）注册并填报志愿，根据实际进程完成接收、确认复试、待录取通知等相应程序。届时请申请人关注上海交通大学医学院研究生院招生信息网和中国研究生招生信息网的通知；
       2、请务必确保填报信息的真实性及准确性。如提供虚假材料，一经发现：（1）立即取消申请人的入营资格；（2）若已获得入营资格，则申请人将被终止参营活动；（3）若夏令营活动已结束，则取消已获得的选拔结果；（4）拒绝接受申请人之后所有报考本学科的申请。
       3、本办法由上海交通大学护理学院负责解释。其他与本办法不一致的，以《上海交通大学招收优秀应届本科毕业生推免攻读研究生实施办法》为准。
</t>
  </si>
  <si>
    <t>申请对象外语水平须达到CET6≥425或TOEFL≥90或IELTS≥6.0；</t>
  </si>
  <si>
    <t>7月7日  线上报到
营员线上签到及材料核验
7月8日  夏令营开营
上午：开营仪式暨学院介绍
下午：夏令营学术论坛
7月9日  营员展示
上午：营员分组汇报准备
下午：营员分组汇报展示
7月10日  夏令营考核
等级考核（含专业英语、专业知识考核等）
7月11日  结营仪式</t>
  </si>
  <si>
    <t>2024年7月3日  中午12:00</t>
  </si>
  <si>
    <t>2024年7月7日-2024年7月11日</t>
  </si>
  <si>
    <t>1、请登录上海交通大学医学院全国优秀大学生夏令营报名服务系统（https://yjs.shsmu.edu.cn）进行报名，并准备相关材料。</t>
  </si>
  <si>
    <t>根据营员综合素质、科研能力和学术潜质等进行考核并给予相应的考核等级（经医学院研究生院统一公示后生效），具体如下：
A等，申请者须符合医学院接收优秀本科毕业生推荐免试攻读博士学位研究生招生要求，且与夏令营参加的培养单位及专业一致，则可直接录取为当年度博士研究生；
B等，申请者须符合医学院接收优秀本科毕业生推荐免试攻读硕士学位研究生招生要求，且与夏令营参加的培养单位及专业一致，则可直接录取为硕士研究生；
C等，申请者须符合医学院接收优秀本科毕业生推荐免试攻读硕士学位研究生招生要求，且与夏令营参加的培养单位及专业一致，可直接获得推荐免试硕士研究生的复试资格，通过复试后优先录取；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</si>
  <si>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1、博士生“致远荣誉计划”实行校内外双导师联合指导模式，注重培养过程考核，并提供了优厚的奖学金支持，资助致远荣誉计划博士生到校外导师所在单位学习1-2年，努力为国家培养具有国际一流竞争力的创新型高层次人才。
2、“致远荣誉计划”博士研究生招生对象：
① 具有远大学术志向、创新精神、科研潜质和社会责任感。
② 满足上海交通大学本科直博的基本条件、获得推荐免试资格的优秀应届本科毕业生。
③ 教育部“拔尖计划”、“强基计划”或其它一流学科建设单位的优秀毕业生，本科成绩排名前列。
④ 本科阶段有科研经历并发表学术论文者或在大学生创新竞赛中获奖者优先考虑。
3、“致远荣誉计划”博士研究生将优先从本次夏令营报名直博生的营员中推荐；
4、上海交通大学博士“致远荣誉计划”项目介绍请参考：
https://www.gs.sjtu.edu.cn/bsszyryjh/xmjs
https://www.gs.sjtu.edu.cn/post/detail/Z3MxNDc2</t>
  </si>
  <si>
    <t>主要活动包括学院及学科介绍、个人学术能力考核与展示、与导师面对面交流、参观校园和实验室等。</t>
  </si>
  <si>
    <t>2024年7月3日前</t>
  </si>
  <si>
    <t>2024年7月11日、12日</t>
  </si>
  <si>
    <t>（1）《吉林大学基础医学院2024年全国优秀大学生夏令营报名表》（系统生成）；
（2）本科成绩单和成绩排名，需加盖教务部门公章；
（3）其他证明材料—外语水平证明（英语四、六级证书等）、获奖证明材料、发表论文材料。
以上申请材料请按上述顺序排放，全部签字盖章后，彩色扫描或拍照，并形成一份pdf文档，文档命名格式为：“夏令营+姓名+本科学校+意向专业”，发送电子版至jichuyanban701@163.com，邮件主题为“夏令营+姓名+本科学校+意向专业”。
以上所有电子版材料接收的截止日期为2024年7月3日。若未在规定时间内将相关材料发至邮箱，视为放弃申请</t>
  </si>
  <si>
    <t>我院将根据学生提交的本次夏令营活动申请材料及在本次夏令营期间的综合表现等评选优秀营员。
凡获得优秀营员，且能获得所在高校推荐免试资格的2025年应届毕业生，在符合我校接收推荐免试硕士研究生相关要求和学院相关政策基础上，可直接进入我院2025年招收推荐免试研究生拟录取名单。</t>
  </si>
  <si>
    <t>我院将根据申请者的学业水平、科研能力等，对申请者进行入围资格审查，对审查通过的同学发布夏令营具体日程表，未入营的同学不再另行通知。
请申请夏令营的同学在上交电子版材料后及时加入申请QQ群“吉大基础2024夏令营”（群号：737453313，入群后修改群名片为“姓名-本科学校-意向专业”。如夏令营安排有改动，我们会及时在群中通知。</t>
  </si>
  <si>
    <t>学术讲座、专业介绍、师生交流、校园参观、营员考核</t>
  </si>
  <si>
    <t>2024年7月1日-7月7日</t>
  </si>
  <si>
    <t>2024年8月6日至8日</t>
  </si>
  <si>
    <t>(1)  《吉林大学2024年夏令营报名表》（报名系统生成）；
(2)  由教务处或所在院系开具的成绩排名证明（附件）；
(3)  成绩单一份（需加盖公章）；
(4)  个人简历一份，无特殊格式要求；
(5)  外语水平证明（英语六级证书等）及其它获奖证明材料。</t>
  </si>
  <si>
    <t>提供午餐，为非本地营员提供交通费用（高校或家庭所在城市至长春的往返普通火车硬卧、硬座车票、高铁动车二等座车票）和安排住宿。家庭住址或本科学校在长春的营员一般情况不安排住宿。</t>
  </si>
  <si>
    <t>获得优秀营员，且具备所在本科学校“推荐免试资格”的2025年应届毕业生，报考吉林大学第一医院相应专业（须与夏令营申报专业一致）在符合我校接收推荐免试硕士研究生相关要求和学院相关政策的基础上，可直接接收为吉林大学白求恩第一临床医学院“推免生”。</t>
  </si>
  <si>
    <t>上交纸质版材料：请按顺序将上述(1)-(4)项材料纸质版原件、六级复印件及其他获奖证明复印件左上角一枚钉钉在一起，入营报到时上交，同时请带第(5)项材料原件备查。</t>
  </si>
  <si>
    <t>前三年成绩总体排名在本专业25%以内，或平均成绩在85分（含）以上</t>
  </si>
  <si>
    <t>全国大学英语四六级考试成绩合格</t>
  </si>
  <si>
    <t>设置专家讲坛、与导师面对面、学生个人展示、实验室、教学基地参观等环节</t>
  </si>
  <si>
    <t>2024年6月26日~7月26日24：00</t>
  </si>
  <si>
    <t>2024年8月19-20日</t>
  </si>
  <si>
    <t>1. 照片（证件照）；
2、有效居民身份证扫描件；
3、学校主管部门开具、盖章的在读证明或有相应注册章的学生证扫描件；
4、本科历年成绩单，须加盖申请人所在学校教务部门或学院公章；
5、外语水平成绩证明件：国家英语四、六级考试成绩，或TOEFL成绩、GRE/GMAT成绩等体现自身英语水平的证明；
6、代表性获奖证书；
7、代表性科技成果（论文/著作的封面、封底、目录、正文首尾页，知识产权请提供公告书）。</t>
  </si>
  <si>
    <t>免费提供夏令营期间的食宿</t>
  </si>
  <si>
    <t>夏令营营员如被正式录取为2025级上海大学医学院研究生，我院报销夏令营往返路费（营员学校或家庭所在城市至上海火车票，高铁二等座标准），在研究生入学当年予以补偿或报销；
在本次夏令营中表现优异的学生报考2025年上海大学医学院研究生时，成绩达到我校公布的复试分数线后，同等条件下可优先录取；</t>
  </si>
  <si>
    <t>北京口腔医院</t>
  </si>
  <si>
    <t>在学期间学习成绩优秀，本科总成绩年级排名前20%。</t>
  </si>
  <si>
    <t xml:space="preserve">申请者英语水平应达到以下条件之一：
①TOEFL≥90分（IBT）。
②新GRE≥305分。
③WSK（PETS5）考试合格。
④大学英语六级CET6≥450分。
⑤IELTS≥6.0。
</t>
  </si>
  <si>
    <t>近距离亲身感受学院文化，了解学院特色及学科优势，组织开营仪式、
学科介绍、研究生教学及培养制度、导师面对面、参观交流、与优秀学长学姐交流等
活动。</t>
  </si>
  <si>
    <t>线下于2024年7月中下旬，部分专业线上</t>
  </si>
  <si>
    <t>（1）教育部学籍在线验证报告：登陆“学信网”在“在线认证”一栏申请办理
“教育部学籍在线验证报告”（电子版）。
（2）照片：本人近期彩色生活照片1-2张。请勿过度美颜。
（3）本科阶段成绩单及本专业排名证明(学校教务部门或院系盖章)电子版。
（4）英语水平证明。
（5）自荐信：格式不限，可包括简历、为何报考相关学院及专业、未来学习研究
计划等。
（6）其他证明材料（如有）：包括各类获奖证书复印件；体现自身学术水平的代
表性学术论文、出版物或原创性工作成果等。</t>
  </si>
  <si>
    <t>住宿及交通费用自理，为入选营员免费提供午、晚餐。</t>
  </si>
  <si>
    <t xml:space="preserve">优秀营员可在 2025 年首都医科大学硕士研究生招生录取时享受
以下优惠政策：如获得就读学校2025年推免资格，并登陆“教育部推免系统”填报与
夏令营结营考核专业相同的志愿（学院、专业、研究方向一致），将由学院优先向学
校推荐录取。
</t>
  </si>
  <si>
    <t>本科期间成绩年级排名原则上要求为：年级成绩排名前30%者</t>
  </si>
  <si>
    <t xml:space="preserve">8月19日 营员报到、学院和学科介绍
8月20日 开营仪式、参观活动、创新论坛
8月21日 口腔前沿论坛
8月22日 名师交流活动
8月23日 营员离营
</t>
  </si>
  <si>
    <t>2024 年7月1日-8月2日</t>
  </si>
  <si>
    <t>2024年8月19-23日</t>
  </si>
  <si>
    <t>1、本科成绩单和本专业学业成绩年级排名证明（各1份，院级或校级教务部门盖章均可）。
2、大学英语CET-4/CET-6成绩单，TOEFL、IELTS、GRE成绩单等英语成绩证明材料。
3、个人简历及相关支撑材料做成一个PDF文件，如荣誉证书、资格证明、发表论文、专利等有关能力的证明材料。</t>
  </si>
  <si>
    <t>本科阶段总成绩排名在该校同年级本专业前20％（“双一流”建设高校年级成绩排名可为前30%）之内；或平均成绩85分以上(GPA3.5以上)。报名学生能获得所在院校推免资格者优先</t>
  </si>
  <si>
    <t>具有良好的外语水平，满足下列条件之一：1.六级≧450分；2.雅思≧6.5分；3.托福≧90分。有全国英语比赛奖项者优先</t>
  </si>
  <si>
    <t>7月18日
营员报到
7月19日-7月20日
开营仪式
专家讲座
技能比赛
学院导师交流会、
各学科组面试(鼓励营员PPT展示，限3分钟以内)
宣布优秀营员，颁发证书
参观活动</t>
  </si>
  <si>
    <t>2024年7月2日-7月7日24:00</t>
  </si>
  <si>
    <t>2024年7月18日至20日</t>
  </si>
  <si>
    <t>1. 南方医科大学口腔医学2024年全国优秀大学生暑期夏令营申请表（需系统填写导出后签字盖章）（必需项）；
2. 学生证、身份证（正反面、扫描件）（必需项）；
3. 本科阶段成绩单及同年级总成绩排名表扫描版(由高校教务部门或院系盖章，必需项)；
4. 英语水平证明扫描版(六级或其他（如TOEFL/IELTS)证书等，必需项)；
5. 论文发表、专利发明等学术产出证明，省级以上临床技能竞赛获奖证明(有则提供，非必需项)；
6. 自荐信：格式不限，可包括简历、为何报考相关学院及专业、未来学习研究计划等；</t>
  </si>
  <si>
    <t>为营员提供夏令营期间免费食宿（广州本地学校学生不安排住宿），报销营员学校所在城市至广州市的往返火车票</t>
  </si>
  <si>
    <t>获得夏令营预录取通知书并之后取得所在学校“推免”资格的优秀营员，可直接接收为我校2025年口腔医学“推免生”</t>
  </si>
  <si>
    <t>英语水平满足下列条件之一：CET-6≥425分；CET-4≥500分；雅思≥5.5分</t>
  </si>
  <si>
    <t>第一天下午：报到；
                开营仪式、相关介绍；
第二天全天：学术创新及科普宣讲论坛；
第三天上午：学校、学院参观；
                课题组导师面对面、优秀学长学姐面对面；
第三天下午：营员考核、闭营仪式。</t>
  </si>
  <si>
    <t>2024 年7月2日-7月31日</t>
  </si>
  <si>
    <t>2024年8月上旬</t>
  </si>
  <si>
    <t>1．申请表（见附件）；
安徽医科大学口腔医学院2024年全国优秀大学生暑期夏令营申请表
2．本科历年成绩单（加盖教务处公章）；
3．英语水平的证明材料：全国大学生英语四、六级考试成绩单或相关证书；
4．其他相关能力的证明材料（如发表论文、专利、各类获奖证书等）；
5．本人有效期内的身份证和学生证。</t>
  </si>
  <si>
    <t>为入选营员提供夏令营期间的免费餐宿(合肥高校或家在合肥的学生不安排住宿)，并报销学校所在城市(或家庭所在城市)至合肥的长途汽车座票(正式车票)、高铁/动车二等座(卧铺、飞机票不予报销)的往返实付路费（上限500元）</t>
  </si>
  <si>
    <t>表现优异者报考2025年安徽医科大学口腔医学院硕士研究生，且达到报考专业初试和复试相关要求，同等条件下可优先拟录取</t>
  </si>
  <si>
    <t>满足以下条件之一：
1. 大学期间无不及格课程，截至目前的成绩平均绩点≥4.0（绩点5分制）或成绩排名在专业前30%；
2. 大学期间获校级三等及以上奖学金或校级及以上荣誉称号；
3. 以团队负责人参与校级及以上学科竞赛并获三等及以上奖项；
4. 以第一负责人发表学术论著或参与市级及以上科研项目。</t>
  </si>
  <si>
    <t>国家英语六级考试成绩须≥425分，或有其他证明本人外语能力的正式成绩证明（如托福总分不低于80分、雅思总分不低于5.5分）</t>
  </si>
  <si>
    <t>学术讲座、课题组介绍、师生交流、参观实验室</t>
  </si>
  <si>
    <t>2024 年7月1日-7月7日</t>
  </si>
  <si>
    <t>2024年7月14日至15日</t>
  </si>
  <si>
    <t>1. 本人第二代居民身份证和学生证；
2.学籍在线验证报告（登录中国高等教育学生信息网（www.chsi.com.cn），进入“学信档案”-“在线验证报告”，在线申请验证并下载“教育部学籍在线验证报告”）；
3. 英语CET-6成绩单或其他英语水平测试成绩单；
4. 上述申请条件（四）的佐证材料</t>
  </si>
  <si>
    <t>根据营员本科高校所在地，按照以下标准一次性给予来校的交通食宿补贴：（1）温州市内：200元/人；（2）浙江省内（除温州市）：500元/人；（3）华东地区（除浙江省）：800元/人；（4）华南、华中、华北地区：1000元/人；（5）东北、西北、西南地区：1200元/人</t>
  </si>
  <si>
    <t>儿童医学中心“致远荣誉计划”</t>
  </si>
  <si>
    <t> CET6≥440 或 TOEFL≥90 或 IELTS≥6.0</t>
  </si>
  <si>
    <t>2024年7月3日-7月7日24点</t>
  </si>
  <si>
    <t>北京积水潭医院</t>
  </si>
  <si>
    <t>在学期间学习成绩优秀，无补考或不合格记录，本科总成绩年级排名前30%</t>
  </si>
  <si>
    <t>英语水平应达到以下条件之一：①TOEFL≥90分（IBT）；②新GRE≥305分；③WSK（PETS 5）考试合格；④大学英语六级CET6≥425分；⑤国家英语专业四级（TEM-4）考试合格；⑥IELTS（A类）≥6.0；⑦在官方语言为英语的国家或地区参加过英文授课学位项目学习并获得学位。上述英语成绩5年内有效（即成绩应为2019年1月1日之后取得）</t>
  </si>
  <si>
    <t xml:space="preserve">1、线下主体活动：
时间：拟定于2024年7月底，具体时间安排另行通知。
活动内容主要包括：学院总体情况介绍、学科专业介绍、科研/临床环境介绍、研究生培养情况介绍等环节。
2、线上综合活动：
时间：2024年8月，具体时间安排另行通知。
活动内容主要包括：参与导师组会、专题学术沙龙、教学查房；参加学院招生政策咨询答疑、学术活动等。
</t>
  </si>
  <si>
    <t>2024 年7月3日-7月15日12:00</t>
  </si>
  <si>
    <t>2024年7月底</t>
  </si>
  <si>
    <t>50-100名</t>
  </si>
  <si>
    <t>申请材料要求纸质版、电子版各一份，电子版在网络报名时上传提交，纸质版报到时审查。
1、教育部学籍在线验证报告：登陆“学信网”在“在线认证”一栏申请办理一个教育部学籍在线验证报告（电子版），下载并打印。
2、照片：本人近期一寸白底彩色身份证版式照片。
3、专家推荐书：副教授及以上专家推荐书1份。下载→首都医科大学附属北京积水潭医院夏令营专家推荐信模板（电子版需专家签字后扫描生成)。
4、本科阶段成绩单及本专业排名证明(学校教务部门或院系盖章)。
5、下载→首都医科大学附属北京积水潭医院学生思想政治情况表（学校教务部门或院系盖章后扫描)。
6、英语水平证明：英语六级水平证书或托福、雅思等相关英语成绩证明（官方认证的纸质成绩单复印件）。
7、其他证明材料：包括各类获奖证书复印件；体现自身学术水平的代表性学术论文、出版物或原创性工作成果；社会实践证明材料等。
8、自荐信：格式不限，可包括简历、为何报考相关学院及专业、未来学习研究计划等。</t>
  </si>
  <si>
    <t>免费提供午餐，评为优秀营员且成功报考我院2025级研究生的京外生源，正式录取后可给予一定的食宿及交通补贴</t>
  </si>
  <si>
    <t>优秀营员可在2025年首都医科大学硕士研究生招生录取时享受以下优惠政策：
如获得就读学校2025年推免资格，并登陆“教育部推免系统”填报与夏令营结营考核专业相同的志愿（学院、专业、研究方向一致），将由学院优先向学校推荐录取。
其余营员授予“合格营员”称号，同等条件下优先进入我校2025年推免生预选拔复试。
如有“优秀营员”放弃资格，“合格营员”可依次递补为“优秀营员”。</t>
  </si>
  <si>
    <t>外语水平须达到 CET6≥425（TOEFL≥90或IELTS≥6.0）</t>
  </si>
  <si>
    <t>7月29 日
13:30-16:30
营员报到
7月30日
9:00-11:30
开营仪式、学院介绍、专题报告等
13:30-16:30
名师面对面
7月31日
8:30-16:30
名师面对面与参观、结营</t>
  </si>
  <si>
    <t>2024 年7月3日-7月15日24:00</t>
  </si>
  <si>
    <t>2024年7月29日至31日</t>
  </si>
  <si>
    <t>1. 《上海交通大学口腔医学院 2024年全国优秀大学生招生夏令营报名登记表》（报名系统生成）；
2. 身份证、学生证复印件各1份；
3. 本科期间成绩单原件1份（教务处盖章）；
4. 成绩年级排名证明1份（教务处盖章）；
5. 其他证明材料扫描件（发表论文、英语、奖项等）各1份。
注：身份证和学生证须准备原件用于报到核验；
所有材料的扫描件请按要求上传报名系统。</t>
  </si>
  <si>
    <t>提供夏令营期间餐饮和非上海高校营员住宿，报销营员高校所在城市至上海市的往返火车票（火车硬卧或动车二等座标准），需报销者请妥善保管车票待另行通知</t>
  </si>
  <si>
    <t>第三附属医院</t>
  </si>
  <si>
    <t>本科期间成绩达到本专业年级排名前10%（双一流建设高校可放宽至前30%）</t>
  </si>
  <si>
    <t>CET-6≥450</t>
  </si>
  <si>
    <t>2024 年7月3日-7月9日12:00</t>
  </si>
  <si>
    <t>（1）《2024年暑期夏令营活动申请表》（纸质版签字并扫描）；
（2）个人简历1份；
（3）本科成绩单(截至目前)，全专业成绩排名证明（加盖学校或院系教务部门公章）；
（4）英语等级考试成绩单（大学英语六级考试成绩、TOEFL成绩等）；
（5）身份证（正反）、学生证扫描件；
（6）学术科研成果（论文、专利等）和竞赛获奖证书；
（7）文体特长等级证书及其他获奖的证明材料。</t>
  </si>
  <si>
    <t>经过学院预选拔并通过研究生院审核且获得推免资格的优秀营员，可纳入直招入伍研究生或直博生候选对象</t>
  </si>
  <si>
    <t>瑞金医院“致远荣誉计划”及普通直博生</t>
  </si>
  <si>
    <t>“致远荣誉计划”直博生
1、符合上海交通大学本科直接攻读博士学位的基本条件。
2、国内高校本科毕业生需符合以下要求之一：
(1)来自本校“伯乐计划”，或教育部“拔尖计划”“强基计划”且成绩年级排名前50%的学生；
(2)C9高校学科排名B+以上且成绩排名前20%的学生；
(3)全国A类学科普通班成绩排名前15%的学生。
本科阶段有科研经历并在SCI上发表学术论文者或大学生创新竞赛获奖者优先考虑。
3、海外高校本科毕业生需同时符合以下要求：
(1)本科阶段就读高校原则上同时进入最新四大国际大学排行的前100位。
(2)国际排名前50的学科，本科阶段总绩点不低于3.5；国际排名前50-100的学科，本科阶段总绩点不低于3.7(按满分为4分核算)。</t>
  </si>
  <si>
    <t>普通直博生
重点高校拟获得推荐免试资格的2025年优秀应届本科毕业生，且外语水平达到 CET6≥425或 TOEFL≥90或 IELTS≥6.0</t>
  </si>
  <si>
    <t xml:space="preserve">普通直博生：2024年7月4日-7月15日24点
致远荣誉计划直博生：2024年7月4日-7月10日24点
</t>
  </si>
  <si>
    <t>2024年8月14-16日</t>
  </si>
  <si>
    <t>国际和平妇幼保健院“致远荣誉计划”</t>
  </si>
  <si>
    <t>国内高校本科毕业生需符合以下要求之一：
（1）来自上海交通大学“伯乐计划”，或教育部“拔尖计划”、“强基计划”且成绩年级排名前50%；
（2）C9 高校学科排名B+以上且成绩排名前20%的学生；
（3）全国A 类学科普通班成绩排名前15%的学生。</t>
  </si>
  <si>
    <t>2024 年7月4日-7月8日</t>
  </si>
  <si>
    <t>具备较强的英语听、说、读、写能力，英语六级成绩不低于425分，或雅思，托福相应成绩要求</t>
  </si>
  <si>
    <t xml:space="preserve">1.线上宣讲会：2024年7月初
2.线下多彩活动：8月初，具体时间请关注【萱小医】公众号，以后续通知安排为准
（1）活动内容：深入了解学院培养特色、学科优势、科研实力与师资力量，亲身感受学院文化、学术氛围。组织开营仪式、导师沙龙、参观交流、师生零距离对话、历届优秀营员茶话会等，更有丰富多彩的文旅活动带你一同感受古都风貌。
（2）活动费用：入营营员给予适当食宿补贴，交通费用自理。
3.丰富线上活动：8月份，具体时间及内容请关注【萱小医】公众号，以后续通知安排为准
为加强营员对医院临床、教学、科研的深入了解将组织参加丰富多彩的线上活动，包括学术沙龙、导师组会、学长深入交流及学校招生政策讲解及答疑等。
</t>
  </si>
  <si>
    <t>2024 年7月4日-7月15日</t>
  </si>
  <si>
    <t xml:space="preserve">1.线上宣讲会：2024年7月初
2.线下多彩活动：8月初
3.丰富线上活动：8月份
</t>
  </si>
  <si>
    <t>不超过100名</t>
  </si>
  <si>
    <t>1.教育部学籍在线验证报告：登陆“学信网”在“在线认证”一栏申请办理《教育部学籍在线验证报告（电子版）》，下载并打印。电子版：将生成的验证报告电子文件，命名为：“1.学籍信息-姓名”。
2.照片：本人近期一寸白底彩色身份证版式照片。电子版：照片请使用JPG格式电子文件，像素为390*260，大小在200k以内，命名为：“2.照片-姓名-联系方式”。
3.专家推荐书：副教授及以上专家推荐书1份。电子版生成一份PDF格式的电子文件，命名为：“3.推荐书-姓名”。
4.本科阶段成绩单及本专业排名证明(学校教务部门或院系盖章)。电子版：将各个生成PDF格式的电子文件，命名为：“4.1成绩单-姓名，4.2专业排名-姓名”。
5.英语水平证明：生成PDF格式的电子文件，命名为：“5.英语水平-姓名”。
6.其他证明材料：包括各类获奖证书复印件；体现自身学术水平的代表性学术论文、出版物或原创性工作成果等)。电子版：生成PDF格式的电子文件，如材料较多请建立文件夹，命名为：“6.其他证明材料-姓名”。
7.自荐信：格式不限，可包括简历、为何报考相关学院及专业、未来学习研究计划等。电子版：生成PDF或Word格式的电子文件，命名为“7.自荐信-姓名-联系方式”。</t>
  </si>
  <si>
    <t>优秀营员可在2024年首都医科大学硕士研究生招生录取时享受以下优惠政策：
     如获得就读学校2024年推免资格，并登陆“教育部推免系统”填报与夏令营结营考核专业相同的志愿（学院、专业、研究方向一致），将由学院优先向学校推荐录取。并提前参与到学院丰富的学术活动中，同时获得萱小医颁发的精美文创一份。
     其余营员授予“合格营员”称号，同等条件下优先进入我校2024年推免生预选拔复试，同等条件下优先录取。</t>
  </si>
  <si>
    <t>北京儿童医院</t>
  </si>
  <si>
    <t>在学期间学习成绩优秀，本科总成绩年级排名前 20</t>
  </si>
  <si>
    <t>申请者英语水平应达到以下条件之一：
①TOEFL≥90 分（IBT）；
②新 GRE≥305 分；
③WSK（PETS 5）考试合格；
④大学英语六级 CET6 ≥425 分；
⑤IELTS≥6.0</t>
  </si>
  <si>
    <t>深入了解学院培养特色、学科优势、科研实力与师资力量，亲
身感受学院文化、学术氛围。组织开营仪式、导师沙龙、参观交流、师生零距离
对话、与优秀学长学姐茶话会等。</t>
  </si>
  <si>
    <t>2024年7月4日-7月12日24:00</t>
  </si>
  <si>
    <t>申请材料要求(各项材料纸质版、电子版各一份)，电子版报名时提交、纸质
版报到时审查。
1．教育部学籍在线验证报告：登陆“学信网”在“在线认证”一栏申请办理
一个教育部学籍在线验证报告（电子版），下载并打印；电子版：将生成的验证
4
报告电子文件，命名为：“1. 学籍信息”；
2．照片：本人近期一寸白底彩色身份证版式照片。电子版：照片请使用 JPG
格式电子文件，命名为：“2.照片”；
3．专家推荐书：副教授及以上专家推荐书 1 份（附件 1）。电子版生成一份
PDF 格式的电子文件，命名为：“3.推荐书” ；
4．本科阶段成绩单及本专业排名证明(学校教务部门或院系盖章)。电子版：
各生成 PDF 格式的电子文件，命名为：“4.1 成绩单，4.2 专业排名”；
5．英语水平证明：生成 PDF 格式的电子文件，命名为：“5.英语水平”；
6．其他证明材料：包括各类获奖证书复印件；体现自身学术水平的代表性学
术论文、出版物或原创性工作成果等)。电子版：生成 PDF 格式的电子文件，如材
料较多请建立文件夹，命名为：“6.其他证明材料”。
7．自荐信：格式不限，可包括简历、为何报考相关学院及专业、未来学习研
究计划等。电子版：生成 PDF 或 Word 格式的电子文件，命名为“7.自荐信”</t>
  </si>
  <si>
    <t>包含入营营员食宿费</t>
  </si>
  <si>
    <t>优秀营员可在 2025 年首都医科大学硕士研究生招生录取时享
受以下优惠政策：
如获得就读学校 2025 年推免资格，并登陆“教育部推免系统”填报与夏令营
结营考核专业相同的志愿（学院、专业、研究方向一致），将由学院优先向学校
推荐录取</t>
  </si>
  <si>
    <t>北京康复医院</t>
  </si>
  <si>
    <t>在学期间学习成绩优秀，本科总成绩年级排名前 25%</t>
  </si>
  <si>
    <t>具备较强的英语听、说、读、写能力,一般需具备如下其一成绩：CET6≥450；
雅思≥6.0；托福≥90</t>
  </si>
  <si>
    <t xml:space="preserve">2024 年 7 月22 日
8:00-9:00 报到
9:00-11:00 开营仪式、医院介绍及医学院介绍
14:00-16:00 参观医院
2024 年 7 月23日
8:30-11:30 导师团队交流
13:30-16:30 导师团队交流
2024 年 7 月24 日
8:30-10:30 笔试 
14:00 开始面试 </t>
  </si>
  <si>
    <t>2024年7月4日-7月9日24:00</t>
  </si>
  <si>
    <t>2024 年 7 月 22 日-7 月 24 日</t>
  </si>
  <si>
    <t>5-10名</t>
  </si>
  <si>
    <t>1．教育部学籍在线验证报告：登陆“学信网”在“在线认证”一栏申请办
理一个教育部学籍在线验证报告（电子版），下载并打印；电子版：将生成的验
证报告电子文件（PDF 格式），命名为：“1. 学籍信息”；
2．照片：本人近期一寸白底彩色身份证版式照片。电子版：照片请使用 JPG
3
格式电子文件，命名为：“2.照片”；
3．专家推荐书：副教授及以上专家推荐书 1 份（附件 1）。电子版生成一
份 PDF 格式的电子文件，命名为：“3.推荐书” ；
4．本科阶段成绩单及本专业排名证明(学校教务部门或院系盖章)。电子版：
各生成 PDF 格式的电子文件，命名为：“4.1 成绩单，4.2 专业排名”；
5．英语水平证明：生成 PDF 格式的电子文件，命名为：“5.英语水平”；
6．其他证明材料：包括各类获奖证书复印件；体现自身学术水平的代表性
学术论文、出版物或原创性工作成果等)。电子版：生成 PDF 格式的电子文件，
如材料较多请建立文件夹，命名为：“6.其他证明材料”。
7．自荐信：格式不限，包括：简历、为何申请相关学院及专业、未来学习
研究计划等。电子版：生成 PDF 或 Word 格式的电子文件，命名为“7.自荐信”</t>
  </si>
  <si>
    <t>提供早午餐</t>
  </si>
  <si>
    <t>优秀营员可在 2025 年首都医科大学硕士研究生招生录取时
享受以下优惠政策：
如获得就读学校 2025 年推免资格，并登陆“教育部推免系统”填报与夏令
营结营考核专业相同的志愿（学院、专业、研究方向一致），将由学院优先向学
校推荐录取</t>
  </si>
  <si>
    <t>申请人所在高校必须具有教育部当年批准的推荐免试资格。申请者应为全国高校本科2025届应届毕业生，学习成绩优异</t>
  </si>
  <si>
    <t>英语四级考试成绩达425分及以上或TOEFL成绩65分以上、IELTS成绩达到5.5分以上亦可</t>
  </si>
  <si>
    <t>组织开营仪式、导师见面、附属眼科医院干眼中心体验、眼科手术零距离观摩、动物眼实操、眼科基础实验室观摩和体验等形式多样的活动</t>
  </si>
  <si>
    <t>2024年7月2日-7月20日</t>
  </si>
  <si>
    <t>2024年7月24至26日</t>
  </si>
  <si>
    <t>（一）《山东中医药大学眼科与视光医学院2024年大学生夏令营申请表》；
（二）有效身份证件（正反面须在一页上）；
（三）本人学籍认证报告，学信网上在线验证并下载；
（四）学生证（照片、学号页及注册页）；
（五）本科成绩单（需有院系或教务处公章）；
（六）英语水平证明材料（英语成绩证书等）；
（七）个人简历（中英文均可，无格式要求）；
（八）获奖证书复印件（包括本科期间能突出自己特长、社会贡献、综合素质能力等各类证书）；
（九）已发表或接收的论文及专利，或其它原创性成果、有参考价值的科研实验工作证明材料等。</t>
  </si>
  <si>
    <t>为所有学员提供食宿；所有学员请自行预订往返车票，并以纸质车票为凭证，我院将报销往返车票（仅限高铁二等座及以下）</t>
  </si>
  <si>
    <t>优秀营员获得本科所在学校的2025年优秀应届本科毕业生推荐免试攻读研究生资格，且第一志愿报考我院专业，将根据实际情况优先录取，特别优秀的营员可申报本学科的直博生。</t>
  </si>
  <si>
    <t>学习成绩优秀，具有较强动手能力和科研潜质，本科总成绩排名前列，已经获得或即将获得所在高校推荐免试生资格者优先</t>
  </si>
  <si>
    <t>提供活动期间的食宿（中山大学本校旁听生仅提供餐食，不提供住宿）；营员往返交通费自理。</t>
  </si>
  <si>
    <t>2024年7月5日-7月19日17:00</t>
  </si>
  <si>
    <t>2024年7月29日至8月1日（2024年7月29日为入营报到日）</t>
  </si>
  <si>
    <t>100名+20名中山大学本科生作为旁听营员</t>
  </si>
  <si>
    <t>1. 《中山大学肿瘤防治中心2024年全国优秀大学生夏令营申请表》
2. 个人简历（页面为A4大小，编排形式不限），内容应包括但不限于以下：本科成绩排名、英语水平、科研成果、竞赛获奖、社会服务等情况介绍；
3. 佐证材料（含清单目录1份）
①《教育部学籍在线验证报告》，办理方式详见中国高等教育学生信息网http://www.chsi.com.cn/xlcx/bgys.jsp；
②在读证明或学生证复印件；
③本科阶段成绩单（含绩点，由学院或学校教务部门盖章）；
④同年级总成绩排名原件（由学院或学校教务部门盖章，如成绩单显示排名，则无需单独提供此材料）；
⑤英语水平相关证书或成绩单复印件各1份（英语四、六级成绩单、TOEFL成绩等）；
⑥其它材料（如有可提供）：包括各项获奖证书；参加学生科研活动的证明；发表或参与发表的论文正文首页等。</t>
  </si>
  <si>
    <t>同仁医院</t>
  </si>
  <si>
    <t>具备较强的英语听、说、读、写能力，全国大学英语（CET）六级水平（成绩 425 分以上）</t>
  </si>
  <si>
    <t>组织参观交流、师生零距离对话。</t>
  </si>
  <si>
    <t>2024年7月4日-7月10日9:00</t>
  </si>
  <si>
    <t xml:space="preserve">1．教育部学籍在线验证报告：登陆“学信网”在“在线认证”一栏申请办理一个教育部学籍在线验证报告（电子版），下载并打印；电子版：将生成的验证报告电子文件，命名为：“1. 学籍信息”；
2．照片：本人近期一寸白底彩色身份证版式照片。电子版：照片请使用 JPG 格式电子文件，像素为 390*260，大小在 200k 以内，命名为：“2. 照片”；
3．本科阶段成绩单及本专业排名证明(学校教务部门或院系盖章)。电子版：各生成 PDF 格式的电子文件，命名为：“3.1 成绩单，3.2 专业排名”；
4．英语水平证明：生成 PDF 格式的电子文件，命名为：“4.英语水平”；
5．其他证明材料：包括各类获奖证书复印件；体现自身学术水平的代表性学术论文、出版物或原创性工作成果等。电子版：生成 PDF 格式的电子文件，如材料较多请建立文件夹，命名为：“5.其他证明材料”；
6．自荐信：格式不限，可包括简历、为何申请相关学院及专业、未来学习研究计划等。电子版：生成 1 页 PDF 或 1 页 Word 格式的电子文档，命名为“6.自荐信”。
</t>
  </si>
  <si>
    <t>活动费用：交通费用、食宿费用营员自理，学院对完整参加夏令营活动的营员给予适当补助。</t>
  </si>
  <si>
    <t>如获得就读学校 2025 年推免资格，并登陆“教育部推免系统”填报与夏令营结营考核专业相同的志愿（学院、专业、研究方向一致），将由学院优先向学校推荐录取。其余营员授予“合格营员”称号，同等条件下优先进入我校 2025 年推免生预选拔复试.</t>
  </si>
  <si>
    <t>所在专业最新一轮学科评估中排名B+（含）以上或“双一流”高校，综合成绩在本年级专业排名前20%；其他高校，综合成绩在本年级专业排名前10%。在科研、竞赛等方面表现优异者，如在重要学术期刊上发表论文、在国际级或国家级竞赛中获奖、获双学位等，上述排名要求可适当放宽。</t>
  </si>
  <si>
    <t>1.听取学科发展现状、科研成果、师资队伍、科研创新实验平台等介绍。
2.参观各学科、实验室（根据学科条件灵活开展）。
3.与各学科专家教授交流座谈。
4.参加第一轮综合能力考核及个人风采展示。考核内容为个人基本情况、专业知识、科研创新能力、外语能力、综合素质等。个人风采展示由各学科自行设定。</t>
  </si>
  <si>
    <t>2024年7月4日-7月21日24:00</t>
  </si>
  <si>
    <t>1.《2024年空军军医大学第一附属医院暑期夏令营活动申请表》（Word版）、《2024年暑期夏令营个人情况一览表》（Excel版）。
2.学校教务处或就读学院（系）加盖公章的本科阶段成绩单、专业排名证明（PDF版）。
3.外语水平证明，如国家英语六级考试成绩单、TOEFL成绩、GRE成绩等（PDF版）。
4.学术科研成果（发表的论文全文、科研课题、专利等）（PDF版）。
5.文体特长等级证书或各类获奖证书等证明材料（PDF版）。</t>
  </si>
  <si>
    <t>开营当天，科室将为参加线下活动的营员保障餐饮，往返车票及住宿自理。外地院校学生自行预订往返车票及安排住宿。后续如被录取，将报销一定的交通费和住宿费，请保留往返车票、住宿票据。</t>
  </si>
  <si>
    <t>在规定指标范围内，通过医院预选拔,经研究生院审核并获得推免资格的优秀营员可优先列为拟录取对象</t>
  </si>
  <si>
    <t>本科期间成绩在本专业同年级综合排名前50%以内。</t>
  </si>
  <si>
    <t>有较高的外语应用水平和能力，通过全国大学英语六级考试（考试成绩不低于425分），或全国大学英语四级成绩达560分以上，或IELTS（雅思）≥6或TOEFL（托福）≥80 或GRE≥305或TEM-4（英语专业四级考试）≥60或WSK（PETS-5）考试合格。</t>
  </si>
  <si>
    <t>7月15日15:00-17:00：营员报到。
7月16-17日：合影、开营仪式、观影、师生互动、政策宣讲、参观见学、专家授课、专题讲座、面试考核等。
7月18日上午：离营。</t>
  </si>
  <si>
    <t>2024年7月5日-7月10日17:00</t>
  </si>
  <si>
    <t>2024年7月15日至7月18日</t>
  </si>
  <si>
    <t>40名（临床医学营员总数不超过14名）</t>
  </si>
  <si>
    <t>1.海军军医大学2024年优秀大学生暑期夏令营报名表。
2.本科期间课程成绩单、学生证。
3.全国大学英语四级或六级考试成绩报告单，或其他英语考试成绩证明。
4.相关证明材料（如已发表论文、各类获奖证书或资格证书等）。
5.参加推免面试预选考核个人陈述PPT（主要包括个人简介、研究课题、取得成果、科研能力及个人发展方向等），按照5-10分钟时长准备。</t>
  </si>
  <si>
    <t>请营员保留此次往返上海的汽车票、火车票和机票等凭证，对2024年10月份推免录取为我校2025级研究生的营员，我们会逐一联系，凭票据报销此次往返上海的路费（按照不超过飞机经济舱和高铁二等座标准报销往返路费）</t>
  </si>
  <si>
    <t>学习成绩优秀，本科期间综合成绩年级排名原则上要求为：“双一流”建设高校年级成绩排名前40%者，行业特色院校成绩排名前20%者</t>
  </si>
  <si>
    <t>全国大学外语四级水平考试成绩优良（480分以上），或全国大学外语六级水平成绩合格（450分以上），或TOEFL、GRE等考试成绩优秀者</t>
  </si>
  <si>
    <t>活动内容包括：专业与学科介绍、实验室参观、科研平台与团队介绍、与导师面对面交流、复旦大学口腔医学学科研究生招生推免等政策介绍等。</t>
  </si>
  <si>
    <t>2024年7月5日-7月16日24:00</t>
  </si>
  <si>
    <t>2024年8月中上旬</t>
  </si>
  <si>
    <t xml:space="preserve">（1）申请人扫描以下二维码填写报名信息；
（2）填写《2024年度复旦大学口腔医学优秀本科生/研究生开放日申请表》，点击文末“阅读原文”下载并填写；
（3）《2024年度复旦大学口腔医学优秀本科生/研究生开放日申请表》打印盖章扫描件，连同表格下方附件材料电子版打包以“学校+姓名”的方式命名发送至邮箱：kq_wangting@fudan.edu.cn
</t>
  </si>
  <si>
    <t>市外同学住宿由医院（学院）统一安排。城际往返交通费报销标准参照医院相关规定执行（火车硬卧或高铁动车二等座标准），需报销者请妥善保管票据及支付记录截图（截图金额需与本人票价一致，切勿几人合并支付，以免报销失败），活动结束后将票据邮寄至指定地址</t>
  </si>
  <si>
    <t>经专家和活动主办方综合评估优秀的本科生，如获得所在本科院校2025年推荐免试资格，在全国推免服务系统（预计9月下旬）开放后及时响应填报复旦大学附属口腔医院，按照复旦大学相关规定完成面试后，可被我院优先录取为推荐免试研究生</t>
  </si>
  <si>
    <t>大学期间无不及格及重修课程，截至目前的成绩平均绩点≥4.0（绩点5分制）或成绩排名在专业前20%</t>
  </si>
  <si>
    <t>国家英语四级考试成绩≥450分或六级考试成绩≥425分</t>
  </si>
  <si>
    <t>活动内容包括：昆明医科大学研究生教育及第三附属医院基本情况、研究生培养介绍、肿瘤学学科优势特色介绍、学术讲座与师生学术交流、医院科研平台及临床科室参观实践。</t>
  </si>
  <si>
    <t>2024年7月5日-7月21日</t>
  </si>
  <si>
    <t>2024年7月29日-31日</t>
  </si>
  <si>
    <t>1.《昆明医科大学2024年全国优秀大学生夏令营报名申请表》（请在报名系统中下载后填写）;
2.本人第二代居民身份证正反面;
3.本人学生证（有个人信息的所有页面）；
4.学籍在线验证报告（登录中国高等教育学生信息网（www.chsi.com.cn），进入“学信档案”-“在线验证报告”，在线申请验证并下载“教育部学籍在线验证报告”）；
5.个人简历；
6.英语CET-4或CET-6成绩单；
7.本科成绩单1份（教务处或学院盖章）；
8.截至目前，专业和年级排名证明，已获绩点/绩点总分证明1份（教务处或学院盖章）；
9.其他证明材料复印件（如发表的学术论文、科研项目获奖或资格证书等）各1份，合成为1个PDF文件。</t>
  </si>
  <si>
    <t>1.活动期间为学员提供食宿。
2. 学校为学员报销来程交通费。标准：学员学校或家庭所在地至昆明的动车/高铁二等座、普通列车硬卧。后期拟录取为昆明医科大学推免硕士研究生，将按上述标准凭票报销返程费用。
3. 学校为学员购买活动期间意外保险。</t>
  </si>
  <si>
    <t>1.空军军医大学及航空航天医学系概况介绍；
2.航医系参观；
3.张华纪念馆参观；
4.学术前沿讲座；
5.结营考核，选拔优秀营员。</t>
  </si>
  <si>
    <t>2024年7月5日-7月14日</t>
  </si>
  <si>
    <t>2024年8月22日-2024年8月23日</t>
  </si>
  <si>
    <t>1.《航空航天医学系2024年暑期夏令营报名表》（word版和签字盖章PDF版）；
2.《航空航天医学系2024年暑期夏令营个人情况一览表》（Excel版）；
3.身份证复印件（PDF版）；
4.CET-4或CET-6考试成绩和其他外语水平证明（PDF版）；
5.本科成绩单（PDF版，需体现具体成绩和专业排名，学校教务处或就读院系加盖公章）；
6.学术科研成果材料（发表的论文、出版的专著等）（PDF版）；
7.文体特长等级证书或各类获奖证书等证明材料（PDF版）。</t>
  </si>
  <si>
    <t>主要日程安排包括：夏令营开幕仪式、学院及专业介绍；各专业分组开展组会、讲课、交流汇报等；夏令营考核（含专业英语、专业知识考核等）及结营仪式等。</t>
  </si>
  <si>
    <t>2024年7月5日-7月15日</t>
  </si>
  <si>
    <t>2024年8月中旬</t>
  </si>
  <si>
    <t>所有夏令营入围同学报到时须按要求递交以下材料：
（1）《上海交通大学医学院医学技术学院2025年全国优秀大学生招生夏令营报名登记表》（报名系统生成）；
（2）身份证、学生证扫描件各1份；
（3）本科期间成绩单扫描件1份（教务处盖章）；
（4）截至目前，成绩在所学本科专业和年级的排名证明，以及已获绩点/绩点总分的证明（专业排名/排名总人数；年级排名/排名总人数；已获绩点/绩点总分）（教务处盖章）；
（5）两位所在学院副教授及以上职称的专家推荐信（模板见附件）；
（6）其他证明材料扫描件（获奖或资格证书、国家英语四、六级等各类英语考试成绩单、论文著作等）各1份。
注：身份证和学生证须准备原件用于报到时核验；所有材料的电子版/扫描件请按要求上传报名系统；夏令营入围同学请准备全套纸质版材料按入营邮件通知送至指定地点（具体另行通知）。</t>
  </si>
  <si>
    <t>需两位所在学院副教授及以上职称的专家推荐信</t>
  </si>
  <si>
    <t>凡在夏令营活动中表现优秀，且能获得所在高校推荐免试资格的学生，可直接进入我院2025年招收推荐免试研究生拟录取名单。特别优秀的可录取为直博生。</t>
  </si>
  <si>
    <t>学院介绍、重点科研机构及方向介绍、专家报告会、实验室参观、导师见面会等。</t>
  </si>
  <si>
    <t>2024年7月4日-7月24日16:00</t>
  </si>
  <si>
    <t>2024年8月16-18日</t>
  </si>
  <si>
    <t>我院为所有营员购买人身意外伤害保险。
为外地营员提供免费食宿，提供餐食和其他物品。营员路费自理，如录取为我院2025年“推免生”，可按硬卧或高铁2等车厢及以下标准凭据实额报销营员高校（或家庭）所在地到长春往返路费，请务必保留好火车票或航空运输电子客票行程单原件。</t>
  </si>
  <si>
    <t>致远荣誉计划</t>
  </si>
  <si>
    <t xml:space="preserve">国内高校本科毕业生需符合以下要求之一：
（1）来自本校“伯乐计划”，或教育部“拔尖计划”、“强基计划” 且成绩年级排名前 50% 
（2）C9 高校学科排名 B+以上且成绩排名前20%的学生； 
（3）全国 A 类学科普通班成绩排名前 15%的学生。 
本科阶段有科研经历并在SCI上发表学术论文者或大学生创新竞赛获奖者优先考虑。 
海外高校本科毕业生需同时符合以下要求： 
（1）本科阶段就读高校原则上同时进入最新四大国际大学排行的前 100 位。 
（2）国际排名前 50 的学科，本科阶段总绩点不低于 3.5；国际排名前 50-100 的学科，本科阶段总绩点不低于 3.7（按满分为 4 分核算）。 </t>
  </si>
  <si>
    <t>见各附属医院报名通知</t>
  </si>
  <si>
    <t>2024年8月初</t>
  </si>
  <si>
    <t xml:space="preserve">填写并提交《上海交通大学 致远荣誉计划申请表》（附件 2），同时提交材料包括：①个人陈述；② 本科成绩单；③成绩排名证明；④发表论文；⑤拟攻读博士学位科学研 究计划；⑥两封专家推荐信；⑦校外联合培养导师的支撑材料。 </t>
  </si>
  <si>
    <t>第一人民医院“致远荣誉计划”</t>
  </si>
  <si>
    <t>直博生：外语水平达到 CET6≥425或 TOEFL≥90或IELTS≥6.0</t>
  </si>
  <si>
    <t>2024年7月8日-7月12日24:00</t>
  </si>
  <si>
    <t>2024年7月15日-16日</t>
  </si>
  <si>
    <t>第六人民医院“致远荣誉计划”</t>
  </si>
  <si>
    <t>2024年7月4日-7月9日12:00</t>
  </si>
  <si>
    <t>2024年7月16日-18日</t>
  </si>
  <si>
    <t>新华医院“致远荣誉计划”</t>
  </si>
  <si>
    <t xml:space="preserve">国内高校本科毕业生需符合以下要求之一：
（1）来自本校“伯乐计划”，或教育部“拔尖计划”、“强基计划” 且成绩年级排名前 50% 
（2）C9 高校学科排名 B+以上且成绩排名前20%的学生； 
（3）全国 A 类学科普通班成绩排名前 15%的学生。 
本科阶段有科研经历并在SCI上发表学术论文者或大学生创新竞赛获奖者优先考虑。 
海外高校本科毕业生需同时符合以下要求： 
（1）本科阶段就读高校原则上同时进入最新四大国际大学排行的前 100 位。 
（2）国际排名前 50 的学科，本科阶段总绩点不低于 3.5；国际排名前 50-100 的学科，本科阶段总绩点不低于 3.7（按满分为 5 分核算）。 </t>
  </si>
  <si>
    <t>科研交流+夏令营面试考核</t>
  </si>
  <si>
    <t>2024年7月8日-7月11日12:00</t>
  </si>
  <si>
    <t>2024年7月16日-22日</t>
  </si>
  <si>
    <t>①《上海交通大学致远荣誉计划申请表》；
②个人陈述；
③本科成绩单；
④成绩排名证明；
⑤发表论文；
⑥拟攻读博士学位科学研究计划；
⑦两位副高（含）以上职称的专家推荐信（无固定模板，可视个人情况提交）；
⑧校外联合培养导师的支撑材料（与拟录取导师沟通后填报）。
详细说明可见上海交大医学院通知链接
https://www.shsmu.edu.cn/yjsy/info/1059/6977.htm</t>
  </si>
  <si>
    <t>提供夏令营期间营员餐饮和非上海高校营员住宿，报销营员本科高校所在城市至上海市的往返火车票（火车硬卧或动车二等座标准）</t>
  </si>
  <si>
    <t>阜外医院（线上宣讲会+报名开启）</t>
  </si>
  <si>
    <t>同济医院</t>
  </si>
  <si>
    <t>非“优质生源”高校学生，综合成绩排名前15%。“优质生源”高校学生，综合成绩排名前30%</t>
  </si>
  <si>
    <t>英语达到国家六级水平（425分以上）或托福、雅思等成绩合格者</t>
  </si>
  <si>
    <t>2024年7月20日—8月20日</t>
  </si>
  <si>
    <t>2024年9月中旬</t>
  </si>
  <si>
    <t>1、同济医院2024年学术夏令营申请表（见附件）；
2、本科阶段成绩单及同年级总成绩排名1份（由教务部门或院系盖章）；
3、外语水平的证明（如国家英语四六级考试成绩、TOEFL成绩或GRE成绩等）；
4、其他证明材料（如体现自身学术水平的代表性学术论文或其他原创性工作成果复印件、获奖证书复印件等）；
5、个人陈述1份（格式不限），此材料请上传至系统中的“学术成果、申请表及推荐信”一栏。</t>
  </si>
  <si>
    <t>1、武汉市外高校的学员，凡拟录取为我院推免生，夏令营期间的住宿费和交通费由我院负责；
2、由我院指定宾馆住宿，全额报销交通费（软卧、动车一等座及飞机票不予报销），请妥善保管票据作为报销凭据。</t>
  </si>
  <si>
    <t>本次夏令营学员将作为我院2025年推荐免试研究生的重要生源部分，部分学员将授予“优秀学员”称号</t>
  </si>
  <si>
    <t>务必加QQ群</t>
  </si>
  <si>
    <t>北京朝阳医院</t>
  </si>
  <si>
    <t>在学期间学习成绩优秀，无补考或不合格记录，本科总成绩年级排名前 30%</t>
  </si>
  <si>
    <t>英语水平应达到以下条件之一：①TOEFL≥90 分（IBT）；②新 GRE≥305 分； ③WSK（PETS 5）考试合格；④大学英语六级 CET6≥425 分；⑤国家英语专业四级 （TEM-4）考试合格；⑥IELTS（A 类）≥6.0；⑦在官方语言为英语的国家或地区参 加过英文授课学位项目学习并获得学位。上述英语成绩 5 年内有效（即成绩应为 2019 年 1 月 1 日之后取得）</t>
  </si>
  <si>
    <t>2024 年7月8日-7 月15日12:00</t>
  </si>
  <si>
    <t xml:space="preserve"> 线下：2024年7月底8月初，线上：2024年8月</t>
  </si>
  <si>
    <t>1．教育部学籍在线验证报告：登陆“学信网”在“在线认证”一栏申请办理一
个教育部学籍在线验证报告（电子版），下载并打印；
2．照片：本人近期一寸白底彩色身份证版式照片。电子版：照片请使用 JPG 格
式电子文件，像素为 390*260，大小在 200k 以内；
3．专家推荐书：副教授及以上专家推荐书 1 份（附件 1）。生成一份 PDF 格式
的电子文件；
4．本科阶段成绩单及本专业排名证明(学校教务部门或院系盖章)。生成一份 PDF
格式的电子文件；
5．英语水平证明：生成一份 PDF 格式的电子文件；
6．自荐信：格式不限，可包括简历、为何报考相关学院及专业、未来学习研究
计划等。生成一份 PDF 格式的电子文件。
7．思想政治情况表（附件 2）：学校或学院盖章。生成一份 PDF 格式的电子文
件。
8．其他证明材料：包括各类获奖证书复印件；体现自身学术水平的代表性学术
论文、出版物或原创性工作成果等)。生成一份 PDF 格式的电子文件。</t>
  </si>
  <si>
    <t>免费提供午餐和晚餐，其他食宿及交通费用营员自理</t>
  </si>
  <si>
    <t>学院将从最终进入夏令营结营考核的营员中，根据考核成绩选拔优秀者授予“优
秀营员”称号。优秀营员可在 2025 年首都医科大学硕士研究生招生录取时享受以下
优惠政策：
如获得就读学校 2025 年推免资格，并登陆“教育部推免系统”填报与夏令营结
营考核专业相同的志愿（学院、专业、研究方向一致），将由学院优先向学校推荐
录取。
其余营员授予“合格营员”称号，同等条件下优先进入我校 2025 年推免生预选
拔复试。学院将从最终进入夏令营结营考核的营员中，根据考核成绩选拔优秀者授予“优
秀营员”称号。优秀营员可在 2025 年首都医科大学硕士研究生招生录取时享受以下
优惠政策：
如获得就读学校 2025 年推免资格，并登陆“教育部推免系统”填报与夏令营结
营考核专业相同的志愿（学院、专业、研究方向一致），将由学院优先向学校推荐
录取。
其余营员授予“合格营员”称号，同等条件下优先进入我校 2025 年推免生预选
拔复试。</t>
  </si>
  <si>
    <t>所在高校为“双一流”建设高校，专业成绩排名在年级前20%，并预计可获得推荐免试资格的</t>
  </si>
  <si>
    <t>英语水平良好，CET-6≥460或IELTS≥6或TOEFL≥80或GRE≥305（传统GRE≥1200）或WSK（PETS 5）考试合格</t>
  </si>
  <si>
    <t>（一）开营典礼。研究生院介绍解放军医学院概况，研究生院机关相关处、办进行政策宣讲。
（二）学术讲座。拟邀请院士和优秀硕士博士生导师开展学术讲座，与营员开展现场互动交流活动。
（三）参观见学。组织参观国家重点学科、国家重点实验室、国家临床医学研究中心等，向营员介绍我院优势学科和雄厚办学实力。
（四）学术沙龙。邀请优秀在校硕士博士研究生开展学术沙龙活动，分享工作学习经验。
（五）体格检查。报考无军籍推免生的考生，体格检查由研究生院在夏令营期间统一组织，费用自理。报考直招入伍攻读硕士研究生的考生，体格检查由考生就读高校所在省级征兵办公室统一组织，后续待具体通知。考生如未达到入伍要求，但符合当年无军籍推免生录取条件的，结合我院推免生录取空额实际，可择优录取为我院无军籍推免生。
（六）面试考核。组织开展面试考核，选拔优秀营员。</t>
  </si>
  <si>
    <t>2024 年7月8日-7 月14日</t>
  </si>
  <si>
    <t>1.《解放军医学院2024年优秀大学生夏令营申请表》；
2.本科学习成绩单（加盖学校教务部门公章）；
3.全国大学英语等级考试六级成绩单或通过相应的英语水平能力考试证明（如：IELTS、TOEFL等）；
4.各类获奖证书和公开发表的学术论文复印件；
5.解放军医学院2024年全国优秀大学生夏令营报名情况一览表；
6.个人陈述（PPT），主要内容包括政治表现、外语水平、专业和科研能力、研究计划和预期成果等，按照5分钟时长准备。
以上第1-4项材料按照顺序扫描成一个PDF同第5项材料电子版（XLS文件）发送至官网邮箱jfjyxy@163.com，邮件主题和文件名以“2024年夏令营+姓名”命名。第6项材料个人陈述（PPT）不用发送电子版，入营后提交电子版即可。</t>
  </si>
  <si>
    <t>为入选营员统一提供免费食宿，并按不超过飞机经济舱或高铁二等座标准报销往返路费，往返地限出发地至北京两个城市，时间限本次活动时间前后3天。</t>
  </si>
  <si>
    <t>取得所在学校推免资格的营员，报考直招入伍攻读硕士研究生的，根据面试考核、体检结果等情况择优录取前20名；报考无军籍推免生的营员，将优先录取为我院2024级硕士研究生。表现特别优秀的学术学位推免生可确定为硕博连读对象，硕博连读人数不超过年度博士研究生招生计划的10%（约8人）。
08
其他</t>
  </si>
  <si>
    <t>在学期间学习成绩优秀，在学期间专业排名前30%，无不及格科目</t>
  </si>
  <si>
    <t>7月22日上午：开营仪式、医院教学情况介绍、各专业介绍等
7月22日下午：参观院史馆、省重实验室、质子中心等
7月23日上午：与导师面对面座谈；跟随意向导师门诊、查房、手术等
7月23日下午：闭营仪式，颁发证书、营员代表发言</t>
  </si>
  <si>
    <t>2024 年7月9日-7月14日</t>
  </si>
  <si>
    <t>2024 年 7 月 22 日-7 月 23 日</t>
  </si>
  <si>
    <t>1. 个人简历 2.推免资格证明 3.成绩单及专业排名 4.英语六级成绩证明</t>
  </si>
  <si>
    <t>1.医院为最终被电子科技大学推免录取的学员报销参加夏令营的二等座车票，提供免费住宿和餐饮
2.医院为入选夏令营者统一购买意外保险</t>
  </si>
  <si>
    <t>眼视光学与视觉科学国家重点实验室</t>
  </si>
  <si>
    <t>满足以下条件之一：
1. 大学期间无不及格课程，且截至目前的成绩平均绩点≥4.0（绩点5分制）或成绩排名在专业前30%；
2. 大学期间获校级三等及以上奖学金、或校级及以上荣誉称号；
3. 以团队第一负责人参与校级及以上学科竞赛并获三等及以上奖项；
4. 以第一负责人发表学术论著或参与市级及以上科研项目。</t>
  </si>
  <si>
    <t>国家大学英语六级考试成绩须≥425分，或托福总分≥80分、或雅思总分≥5.5分</t>
  </si>
  <si>
    <t>2024 年7月8日-7月14日</t>
  </si>
  <si>
    <t>1.本人第二代居民身份证和学生证；
2.学籍在线验证报告（登录中国高等教育学生信息网（www.chsi.com.cn），进入“学信档案”-“在线验证报告”，在线申请验证并下载“教育部学籍在线验证报告”）；
3. 英语CET-6成绩单或其他英语水平测试成绩单；
4. 上述申请条件（四）的佐证材料</t>
  </si>
  <si>
    <t>夏令营不收取任何费用，营员交通和食宿自理，根据营员本科高校所在地，按照以下标准一次性给予来校的交通食宿补贴：（1）温州市内：200元/人；（2）浙江省内（除温州市）：500元/人；（3）华东地区（除浙江省）：800元/人；（4）华南、华中、华北地区：1000元/人；（5）东北、西北、西南地区：1200元/人。</t>
  </si>
  <si>
    <t>学习成绩优秀，在学期间无不及格科目，提供教务部门审核的成绩单</t>
  </si>
  <si>
    <t>英语水平优良，CET6≥500分或托福≥90分或雅思≥6.5分</t>
  </si>
  <si>
    <t>2024年7月17-23日</t>
  </si>
  <si>
    <t>1. 个人简历； 
2. 推免资格证明；
3. 大学期间成绩单和专业排名（截至2024年6月30日），须由教务部门盖章；
4. 专家推荐信（点击链接下载模板：https://docs.qq.com/document/DVVBOTVRzY2VZdFFB），要求副高及以上职称，须由推荐专家本人签字；
5.  英语相关考试成绩证明；
6．其他证明材料（如体现自身学术水平的代表性学术论文或其他原创性工作成果复印件、获奖证书复印件等）。</t>
  </si>
  <si>
    <t>北京脑科学与类脑研究所（第二轮）</t>
  </si>
  <si>
    <t>协和、首医</t>
  </si>
  <si>
    <t>学习成绩优秀，本科期间总评成绩排名在年级前20%（非必要条件），预计能取得本校推荐免试资格即可</t>
  </si>
  <si>
    <t>英语要求：英语六级450分，如有冲突，以各学校的要求为准</t>
  </si>
  <si>
    <t>2024 年7月8日-7月17日16:00</t>
  </si>
  <si>
    <t>2024 年 7 月 21 日-7 月 23 日</t>
  </si>
  <si>
    <t>北京脑科学与类脑研究所2024年夏令营申请表1份（附件一）。
个人陈述（关于个人学术背景、曾经做过的研究工作以及未来学习和研究的计划、目标等）1份（附件二）。
专家推荐信2封，需要2位副教授（含）以上职称的专家分别推荐，且密封并在封口骑缝处签字（附件三）。
应届本科生需提供本科阶段成绩单（由教务部门盖章）1份，前两年半总评成绩排名证明（由教务部门盖章）1份（附件四）。
身份证复印件。
体现自身英语水平的证明，如国家英语四、六级考试、或TOEFL、雅思与GRE考试等成绩的复印件。
应届本科毕业生提交所在学校在学证明。
其他证明材料（如体现自身学术水平的代表性学术论文或其他原创性工作成果的首页复印件、获奖证书复印件等）。</t>
  </si>
  <si>
    <t>英语水平优良：CET6≥480分或雅思成绩不低于6.0分，托福成绩不低于90分</t>
  </si>
  <si>
    <t>2024 年7月10日-7月21日24时</t>
  </si>
  <si>
    <t>1、填写问卷星报名
2、本科历年成绩单1份，须加盖所在学校教务部门公章；
3、成绩排名证明(含专业成绩排名和综合成绩排名，由学校教务部门盖章或院系出具证明)；
4、英语六级水平证书或相关英语成绩证明；
5、两位副教授（或相当职称）或以上专家的专家推荐信；
6、其他材料（如：发表论文、专利、获奖证书复印件等）。</t>
  </si>
  <si>
    <t>审核工作将于2024年7月25日16时之前完成;获夏令营资格名单将在我院教育教学平台上公布，未入选者，不另行通知。公布网址：https://www.zryhyy.com.cn/zryhyy/index.shtml</t>
  </si>
  <si>
    <t>大学本科成绩优秀，课程考试成绩合格及以上，达到该院校推免资格</t>
  </si>
  <si>
    <t>线上或线下</t>
  </si>
  <si>
    <t>2024 年7月9日-7月31日</t>
  </si>
  <si>
    <t>1.申请者填报附件1《2024年暑期夏令营活动个人情况一览表》（Excel版）。
2.申请者将下列材料按顺序扫描合并为一个PDF文件后发送至邮箱1281688953@qq.com，文件命名方式为“姓名－本科院校”。
（1）身份证（正反面）；
（2）附件2《2024年暑期夏令营活动申请表》；
（3）本科成绩单、专业排名证明（加盖学校教务部门公章）；
（4）全国大学英语等级考试或GRE、托福成绩单；
（5）学术科研成果（论文、课题及专利等）；
（6）文体特长等级证书或各类获奖证书等证明材料。</t>
  </si>
  <si>
    <t>在规定指标范围内，通过医院面试考核，经研究生院审核并获得推免资格的优秀营员可优先列为拟录取对象；直招入伍攻读研究生报名不受指标限制；后期获得推免资格但未参加夏令营的学生，可在研招网“推免服务系统”报名，学校根据教育部下达的招生计划视情补录。如教育部2025年招收推免生的办法有所调整，以教育部政策为准</t>
  </si>
  <si>
    <t xml:space="preserve"> 学习成绩优秀，在学期间无不及格科目</t>
  </si>
  <si>
    <t>英语水平优良，并可提供相关证明</t>
  </si>
  <si>
    <t>2024 年7月12日-8月1日12时</t>
  </si>
  <si>
    <t>2024年8月中下旬</t>
  </si>
  <si>
    <t>（1）个人简历
（2）对报考学科的认识及未来职业规划；
（3）推免资格证明（如有）；
（4）大学期间成绩单和专业排名，须由教务部门盖章；
（5）英语水平相关证明（英语四、六级考试、托福、雅思、GRE等英语水平证书）；
（6）其他证明材料（如获奖证书、发表文章、其他原创性学术成果等）</t>
  </si>
  <si>
    <t>第五医院</t>
  </si>
  <si>
    <t>学习成绩优异（已经获得或有望获得所在高校推荐免试生资格者，综合成绩在年级或专业排名居前30%者优先考虑）</t>
  </si>
  <si>
    <t xml:space="preserve">8月7日 下午报道
8月8日
上午
8:00-12:00
开营仪式
招生政策、培养模式介绍
参观医院
下午
15:00-17:30
报到
科研平台介绍
体验临床技能模拟操作
8月9日
上午
8:00-12:00
学科推介与互动
推免面试
下午
15:00-17:30
推免面试
结营仪式
</t>
  </si>
  <si>
    <t>2024 年7月12日-7月17日12点</t>
  </si>
  <si>
    <t>2024年8月7日-9日</t>
  </si>
  <si>
    <t>（1）个人简历；
（2）身份证、学生证；
（3）本科阶段成绩证明（包括加盖学校教务部门公章的成绩单及成绩总评排名的证明材料）；
（4）英语四六级证书或成绩单；
（5）其他：已发表论文（包括杂志封面、目录页及论文正文页）、各项获奖证书等。</t>
  </si>
  <si>
    <t xml:space="preserve">本夏令营对所有正式营员不收取住宿及餐饮费用，并予以资助。医院将为成功推免至我院的外校推免生，报销夏令营活动期间学校所在城市至珠海的往返火车票等交通费用，报销标准参照学校相关规定执行（火车硬座标准）。报销需提交票据，我院按照硬座火车票标准（所在学校至广州或珠海）予以补贴，乘坐其他交通工具的超额部分自行承担。广州至珠海的轻轨车票或汽车票可据实报销。返程车费请营员返回所在学校后将车票（背面签名）邮寄至我院教育处研究生科。
</t>
  </si>
  <si>
    <t>参加夏令营复试考核合格的营员，如获得所在本科院校2025年推荐免试资格，在全国推免服务系统开放后及时填报我院，且推免填报专业与夏令营拟录取专业一致者，可被我院直接拟录取为推荐免试研究生，夏令营考核成绩作为推免复试成绩。</t>
  </si>
  <si>
    <t>正式营员报到时请提交纸质版申请材料，并提交申请材料原件进行审核。</t>
  </si>
  <si>
    <t>在学期间学习成绩优秀，综合素质高，能取得所在院校的推荐免试资格</t>
  </si>
  <si>
    <t>介绍学院总体情况、学科专业，以及进行师生交流等。</t>
  </si>
  <si>
    <t>2024 年7月11日-7月28日</t>
  </si>
  <si>
    <t>申请同学须填写下列问卷：https://bdkqyxyjyc.wjx.cn/vm/PEqPMm5.aspx#，同时上传“北京大学口腔医学院2024年全国优秀大学生夏令营申请表”（详见附件，须本人亲笔签字、学校教务处或院系负责人签字盖章）。</t>
  </si>
  <si>
    <t>学习成绩排名前列，能够获得所在学校推荐免试资格；或有志参加山东第一医科大学研究生招生考试的学生（原则上本科阶段的学业成绩排名在本专业前30%）</t>
  </si>
  <si>
    <t>英语水平优秀。满足以下之一：CET4≥425分；或托福≥85分；或雅思≥6.0</t>
  </si>
  <si>
    <t>将全面介绍我校各招生单位实验室及科研平台、招生政策、导师队伍等情况，举办学科前沿讲座、名师交流等活动。</t>
  </si>
  <si>
    <t>报名自2024年7月15日开始，具体报名时间和活动安排以各单位发布的通知为准。</t>
  </si>
  <si>
    <t>学生证、身份证扫描件；
个人电子照片：近期拍摄，正面免冠彩色照片；
夏令营申请表（需签字盖章，上传扫描件）；
本科成绩单（需加盖教务处公章）；
英语成绩证明：英语六级成绩单、TOEFL成绩、GRE成绩等证明材料扫描件；
科研成果相关证明材料：申请人可提交体现自身学术水平的代表性学术论文、出版物或原创性工作成果及获奖证书。无科研成果者可不提交本项材料；
招生单位要求提供的其他材料。</t>
  </si>
  <si>
    <t>1、获得推荐免试资格的营员，在我校开展2025级推免研究生招生时可优先考虑；
2、统考报考的营员，在2025年的硕士研究生招生考试中报考我校对应学院对应专业的考生，同等条件下优先录取；
3、录取后，上学期间享受科研津贴、奖助学金待遇等。</t>
  </si>
  <si>
    <t>学习成绩排名前列，能够获得所在学校推荐免试资格；或有志参加山东第一医科大学研究生招生考试的学生（原则上本科阶段的学业成绩排名在本专业前31%）</t>
  </si>
  <si>
    <t>英语水平优秀。满足以下之一：CET4≥425分；或托福≥85分；或雅思≥6.1</t>
  </si>
  <si>
    <t>活动举办期间，将全面介绍我院医院情况及研究生教育的情况、实验室及科研平台、招生政策、优势学科团队、导师队伍等，根据学生需求参观院内优势专业、实验室平台、质子中心，举办名师交流等活动。</t>
  </si>
  <si>
    <t>2024年7月15日—25日</t>
  </si>
  <si>
    <t xml:space="preserve">（1）学生证、身份证扫描件；
（2）个人电子照片：近期拍摄、150*200像素、大小100K以内，正面免冠彩色照片；
（3）夏令营申请表（需签字盖章，上传扫描件）；
（4）本科成绩单（需加盖教务处公章）；
（5）英语成绩证明：英语四级、六级成绩单、TOEFL成绩、GRE成绩等证明材料扫描件；
（6）科研成果相关证明材料：申请人可提交体现自身学术水平的代表性学术论文、出版物或原创性工作成果及获奖证书。无科研成果者可不提交本项材料。
</t>
  </si>
  <si>
    <t xml:space="preserve">1.获得推荐免试资格的营员，在我院开展推免研究生招生时可优先考虑；
2.统考报考的营员，在硕士研究生招生考试中报考我院相关专业的考生，同等条件下优先录取。
3.录取后，上学期间享受科研津贴、奖助学金、研究生生活补助等待遇。
</t>
  </si>
  <si>
    <t>大学本科成绩优秀，前3年（或4年）在本专业同年级排名均在前40%以内</t>
  </si>
  <si>
    <t>1.中心介绍：观看中心宣传片，介绍中心发展历史、学科特色以及在医疗、教学和科研等方面取得的成绩；
2.学科宣讲：由各学科带头人向学生介绍系所导师团队、研究方向、科研基础设施和研究生就业方向等，使学生对各学科及研究方向有更加深入的了解；
3.参观见学：带领学生参观离心机楼与文体活动中心，皮肤科、中西医结合正骨科、口腔科等特色科室；
4.夏令营期间，中心将组织相关考核。</t>
  </si>
  <si>
    <t>2024年7月13日-7月28日17:00</t>
  </si>
  <si>
    <t xml:space="preserve">1.申请人下载并填写《空军特色医学中心优秀大学生暑期夏令营活动申请表》；
2.本科阶段成绩单（截至目前），专业排名证明，需加盖教务部门公章；
3.大学英语四、六级成绩单复印件或其它英语水平证明TOEFL/GRE 等；
4.其他证明材料（如体现自身学术水平的代表性学术论文或其他原创性工作成果复印件、专利、获奖证书复印件等），如无可不提供；
以上所需材料按照1-4的顺序扫描为一个PDF文件，命名为“姓名+报考专业名称+2024 夏令营申报资格材料”；
5.下载并填写《个人信息汇总表》，命名为“姓名+个人所在学校+个人信息汇总表”；
6.个人陈述幻灯片（关于个人学术背景、既往研究工作以及未来学习和研究计划、目标等）。
</t>
  </si>
  <si>
    <t>夏令营期间，中心统一为京外学生提供宿舍</t>
  </si>
  <si>
    <t xml:space="preserve">1.经过中心选拔并通过学校研究生院审核且获得推免资格的优秀学员，可纳入直招入伍研究生或直博生候选对象；
2.在考核中表现优秀，且获得所在高校推免资格的同学，正式招收推免生期间，第一志愿申报我中心，同等条件下可优先录取。
</t>
  </si>
  <si>
    <t>临床医学院临床医学专业学位研究生专场（补充通知）</t>
  </si>
  <si>
    <t>7月15日12点-7月28日24点</t>
  </si>
  <si>
    <t>2024年8月5-6日</t>
  </si>
  <si>
    <t>1. 申请表（在夏令营报名服务系统中填写并提交）；
2. 个人陈述（1000字左右，提交本人签字的扫描件）；
3. 身份证（需在有效期内，需把身份证正反面编辑在一页pdf文件中上传）；
4. 学生证（需把个人照片页、个人信息页、注册页扫描件编辑在一个pdf文档内上传）；
5. 成绩单1份，并加盖院系教务部门公章（提交扫描件）；
6. 院系教务部门出具的成绩综合排名证明（需使用系统中模板，签字盖章后提交扫描件）；
7. 相关获奖证书和外语水平证书（提交扫描件）；
8. 在学术期刊上发表的文章、出版物或其他学术作品也可作为申请材料提交。</t>
  </si>
  <si>
    <t>临床医学院医工交叉人才培养硕士学位专场（补充通知）</t>
  </si>
  <si>
    <t>7月15日12点-7月28日24点，</t>
  </si>
  <si>
    <t>2024年8月8-9日</t>
  </si>
  <si>
    <t>1. 申请表（在夏令营报名服务系统中填写并提交）；
2. 个人陈述（1000字左右，提交本人签字的扫描件）；
3. 身份证（需在有效期内，需把身份证正反面编辑在一页pdf文件中上传）；
4. 学生证（需把个人照片页、个人信息页、注册页扫描件编辑在一个pdf文档内上传）
5. 成绩单1份，并加盖院系教务部门公章（提交扫描件）；
6. 院系教务部门出具的成绩综合排名证明（需使用系统中模板，签字盖章后提交扫描件）；
7. 相关获奖证书和外语水平证书（提交扫描件）；
8. 在学术期刊上发表的文章、出版物或其他学术作品也可作为申请材料提交。</t>
  </si>
  <si>
    <t>附属上海儿童医学中心（补充通知）</t>
  </si>
  <si>
    <t>学习成绩优秀；</t>
  </si>
  <si>
    <t>CET6≥440或TOFEL≥90或IELTS≥6.0；</t>
  </si>
  <si>
    <t>8 月 10日-8 月 14日中午 12 点前</t>
  </si>
  <si>
    <t>1. 《上海儿童医学中心2024年全国优秀大学生夏令营报名登记表》（报名系统生成，本人签字）；
2. 身份证、学生证的复印件各1份，原件备查；
3. 本科期间成绩单复印件1份（教务处盖章）；
4. 截至目前，成绩在所学专业和年级的排名证明，已获绩点/绩点总分的证明（教务处盖章）；
5. 两位副高（含）以上职称的专家推荐信（无固定模板，学生可根据个人情况提交）；
6. 其他证明材料复印件（国家英语四、六级等各类英语考试成绩单、获奖或资格证书、论文著作等）各1份。</t>
  </si>
  <si>
    <t>A等，申请者须符合上海交通大学医学院接收优秀本科毕业生推荐免试攻读博士学位研究生招生要求，且与夏令营参加的培养单位及专业一致，则可直接录取为当年度博士研究生；
  B等，申请者须符合上海交通大学医学院接收优秀本科毕业生推荐免试攻读硕士学位研究生招生要求，且与夏令营参加的培养单位及专业一致，则可直接录取为硕士研究生；
  C等，申请者须符合上海交通大学医学院接收优秀本科毕业生推荐免试攻读硕士学位研究生招生要求，且与夏令营参加的培养单位及专业一致，可直接获得推荐免试硕士研究生的复试资格，通过复试后优先录取；
  D等，申请者以全国统考方式报考医学院硕士研究生，达到我院报考学科专业门类基本复试分数线后，可优先参加复试；
  E等，不适合申请学科的研究工作，建议申请其他学科。</t>
  </si>
  <si>
    <t>2025年_x000D_推送顺序</t>
  </si>
  <si>
    <t>01</t>
  </si>
  <si>
    <t>于2025年5月30日17:00前通过邮件将以上文件电子版申请材料发送至昌平实验室材料接收邮箱，纸质材料接收的截止时间为：2025年5月30日17:00（以申请材料到达时间为准）</t>
  </si>
  <si>
    <t>2025年6月28日-29日</t>
  </si>
  <si>
    <t>夏令营拟招收80人左右</t>
  </si>
  <si>
    <t>02</t>
  </si>
  <si>
    <t>学习成绩优秀，按本校历年标准符合推免生条件（2026年本科毕业生），本科期间总评成绩排名在本年级前20%之内（2027年本科毕业生）。科研成果出色者，学习成绩标准可适当放宽</t>
  </si>
  <si>
    <t>英语达到国家四/六级水平</t>
  </si>
  <si>
    <t>暑期学校通过开设课程，讲述和介绍脑科学与智能技术基本知识和学科发展。通过深入实验室及技术平台等方式，感受脑科学与智能技术的魅力所在。同学们将与研究生和导师座谈、联欢，听取他们对科学事业的理解和不懈追求，了解科学前沿的最新动态，同时将参观上海地标性景观，感受上海国际大都市的精彩生活。</t>
  </si>
  <si>
    <t>2025年3月27日 — 2025年6月25日</t>
  </si>
  <si>
    <t>2025年7月7日 - 7月15日</t>
  </si>
  <si>
    <t>请将推荐信（推荐信需要有推荐教师的签名）上传至申请表中指定位置，并将学生证复印件、身份证正反面复印件、本科成绩单、四六级成绩单、各类证书、奖状扫描件、其他材料的顺序进行扫描排列，制作生成一个PDF文件，文件按照如下方式命名：附件 – XX大学 – 姓名，上传至申请表最后一栏附件栏。</t>
  </si>
  <si>
    <t>03</t>
  </si>
  <si>
    <t>学习成绩优秀，按本校历年标准符合推免生条件。</t>
  </si>
  <si>
    <t>英语达到国家六级/四级水平（425分及以上）</t>
  </si>
  <si>
    <t>为热爱生命科学的优秀本科生提供熟悉中科院科研环境，与导师和研究生面对面交流的机会，增加本科生对生命科学前沿研究领域的了解，激发本科生的科研热情和兴趣。</t>
  </si>
  <si>
    <t>2025.3.19-6.20</t>
  </si>
  <si>
    <t>预计营员规模300人左右</t>
  </si>
  <si>
    <t>1)身份证正反面复印件（必须）。2)成绩单，需要盖教务处公章，如学校暂时无法为学生开具成绩单，可自己先从学校教务系统中下载打印一份，补交原件时间另行通知（必须）。3)英语等级证书。4)获奖证书。5)其他自愿提供材料：成绩排名证明；推荐信；已发表的论文、专利；其他原创性工作成果等有参考价值的证明材料。整合成一个PDF文件，命名为“高校名+姓名+手机号”，上传到系统中“其他”一栏。</t>
  </si>
  <si>
    <t>提供营员在沪期间的食宿和来程路费（以高铁二等座价格为上限，按实际票据实报实销，乘机需提供电子客票和登机牌），详细报销规则以邮件通知为准。</t>
  </si>
  <si>
    <t>04</t>
  </si>
  <si>
    <t>符合所在学校的推免生条件：根据所在高校关于推荐免试攻读研究生的相关规定，与本系往年的推免生比较下来，确信自己能得到学校的推免生名额。</t>
  </si>
  <si>
    <t>3月26日—6月20日</t>
  </si>
  <si>
    <t>1. 夏令营与线下推免活动：
2025年7月7日—11日
                 2. 线上推免活动：
预计2025年6月12日（线上，以后续实际通知为准）</t>
  </si>
  <si>
    <t>150-180人（视报名情况而定）</t>
  </si>
  <si>
    <t>上传材料时，除身份证复印件和成绩单单独上传外，如还有多份材料要上传，请整合成一个多页的PDF文件上传。</t>
  </si>
  <si>
    <t>上海营养与健康研究所将为入选线下活动的营员发放就餐餐券和一定的住宿补贴。</t>
  </si>
  <si>
    <t>05</t>
  </si>
  <si>
    <t>接收营员约140名</t>
  </si>
  <si>
    <t>1.《生物与化学交叉研究中心2024年暑期夏令营申请表》点击下载：
2. 本科成绩单（需加盖教务处或院系公章）
3. 专业排名证明或其他证明材料（需加盖公章或辅导员签字）
4. 英语四/六级成绩单复印件
5. 身份证复印件
6. 学生证复印件
7. 其他等级证书或校级以上获奖证书复印件
8. 副教授以上职称专家推荐信（需有推荐教师签名）
9. 已发表论文或出版物复印件</t>
  </si>
  <si>
    <t>06</t>
  </si>
  <si>
    <t>2025.4.7-6.13</t>
  </si>
  <si>
    <t>2025.7.2-7.4</t>
  </si>
  <si>
    <t>07</t>
  </si>
  <si>
    <t xml:space="preserve"> 1、北京大学前沿交叉学科研究院2025年夏令营申请表1份（北大模板中填写，见附件一）2、个人陈述（关于个人学术背景、曾经做过的研究工作以及未来学习和研究的计划、目标等）1份（北大模板中填写，见附件二）3、专家推荐信3封，专家须为所报学科专业领域内的副教授（含）以上或具有相当专业技术职称。推荐信须由专家亲笔签字，且密封并在封口骑缝处签字（北大模板中填写，见附件三）4、应届本科生需提供前两年半本科阶段成绩单（由教务部门盖章）1份，前两年半总评成绩排名证明（由教务部门盖章）1份（北大模板中填写，见附件四；5、体现自身英语水平的证明，如国家英语四、六级考试、或TOEFL、雅思与GRE考试等成绩的复印件。6、应届本科毕业生提交所在学校在学证明。7、其他证明材料（如体现自身学术水平的代表性学术论文或其他原创性工作成果的首页复印件、获奖证书复印件等）。8、承诺书（附件五）。</t>
  </si>
  <si>
    <t>08</t>
  </si>
  <si>
    <t>学习成绩优秀，本科阶段总成绩排名在就读专业同年级学生中名列前茅（或在其它方面有突出表现）。</t>
  </si>
  <si>
    <t>英语水平良好，通过全国大学英语六级考试（CET-6），或全国大学英语四级考试（CET-4）成绩≥560分。</t>
  </si>
  <si>
    <t>1、初来实验室：初来乍到，营员相识了解实验室。
2、院士面对面：听钟南山院士授课，悟人生理想与方向。
3、名师话科研：基础与临床研究大咖的学术讲座，启发研究思路。
4、院士大查房：观摩国家呼吸医学中心疑难病会诊。
5、招生与读研：实验室研究生招生、培养政策解读；学长共话成长之路。
6、基地观摩行：实验室基础实验部、临床实验部（国家呼吸医学中心）、产学研基地、广州医科大学校园行、实验室共建单位。 
7、走进课题组：研究生导师面对面，了解感兴趣研究方向、交流报考意向。
8、体验大广州：参观黄埔军校、中山纪念堂、珠江夜游等。
9、其他活动：待定。（具体活动安排以报到时公布为准）</t>
  </si>
  <si>
    <t>2025.4.9-6.15</t>
  </si>
  <si>
    <t>七月中下旬</t>
  </si>
  <si>
    <t>1.呼吸疾病全国重点实验室2025年暑期大学生夏令营申请表（点击下方阅读原文）。
2.专家推荐信1封（副高及以上职称教师签名、教师联系方式）。
3.本科阶段成绩单1份（由教务部门或院系盖章）。
4.总评成绩排名证明文件1份（由教务部门或院系盖章）。
5.学生证复印件（将个人信息页和注册信息页复印在1张A4纸上）。
6.身份证复印件1份（将正反面复印在1张A4纸上）。
7.其他相关证明材料：英语水平及获奖证书复印件等。</t>
  </si>
  <si>
    <t>本次夏令营活动不收取任何费用，实验室将为营员提供食宿，并报销往返路费（限火车硬座、硬卧，高铁二等座），如有特殊情况，请提前联系沟通。</t>
  </si>
  <si>
    <t>09</t>
  </si>
  <si>
    <t>网上申报截止日期为2025年6月6日12点。</t>
  </si>
  <si>
    <t>2025.6.27-6.30</t>
  </si>
  <si>
    <t>180人</t>
  </si>
  <si>
    <t>邀请北京脑所的PI进行系统授课、展示北京脑所的实体实验室、以及多种交流形式。</t>
  </si>
  <si>
    <t>2025.4.15-6.12</t>
  </si>
  <si>
    <t>北京脑科学与类脑研究所2025年夏令营申请表1份（附件一）；个人陈述（关于个人学术背景、曾经做过的研究工作以及未来学习和研究的计划、目标等）1份（附件二）；专家推荐信2封，需要副教授（含）以上职称的专家分别推荐，且密封并在封口骑缝处签字（附件三）；本科阶段成绩单（由教务部门盖章）1份，前两年半总评成绩排名证明（由教务部门盖章）1份（附件四）；身份证复印件；英语水平证明，如国家英语四、六级考试、或TOEFL、雅思与GRE考试等成绩的复印件；所在学校在学证明；其他证明材料（如体现自身学术水平的代表性学术论文或其他原创性工作成果的首页复印件、获奖证书复印件等）。</t>
  </si>
  <si>
    <t>通过复试并同意接收的推荐免试研究生，请在规定的时间登录教育部的推荐免试研究生招生网，完成报名和同意拟录取程序，未办理网上报名的同学不能录取。</t>
  </si>
  <si>
    <t>科技前沿讲座、专题报告、趣味科普、师生面对面、实验室深度游、学长学姐交流会、优秀营员面试等</t>
  </si>
  <si>
    <t>2025.4.18-6.15</t>
  </si>
  <si>
    <t>2025.7.7-7.11</t>
  </si>
  <si>
    <t>（1）本科成绩单和专业排名证明，需加盖教务处公章；（2）相关英文能力证明（大学英语四、六级，雅思，托福或GRE等）；（3）学生证+身份证复印件；（4）推免资格证明（如有请提供）；（5）专家推荐信（如有请提供，可提前联系2位副教授及以上职称专家提交推荐信）；（6）其他证明材料（如已发表论文或出版物首页、各类证书奖状等）；（7）声明（为保证材料真实性，点击文末“阅读原文”下载填写并上传）（以上材料请按顺序整合进一个PDF文件内，命名为：姓名-XX大学-XX专业，并将电子文件压缩至最小）</t>
  </si>
  <si>
    <t>夏令营期间将组织优秀营员面试，获得夏令营优秀营员资格的同学将优先被推荐为脑所2026级推免硕士研究生（学籍为中国科学院大学）。</t>
  </si>
  <si>
    <t>华大专项</t>
  </si>
  <si>
    <t>优秀本科生</t>
  </si>
  <si>
    <t>具有较强的英语听、说、读、写能力。一般应通过全国大学英语六级考试，对专业成绩优异的考生可放宽到全国大学英语四级</t>
  </si>
  <si>
    <t>含开营仪式、实验室参观、研究所及研究方向介绍、学科前沿学术报告与导师面对面交流，以及推免生面试考核。</t>
  </si>
  <si>
    <t>2025.4.18-6.10</t>
  </si>
  <si>
    <t>深圳：2025年7月1日-2025年7月4日；杭州：2025年6月30日-2025年7月3日；北京：2025年7月7日-2025年7月10日</t>
  </si>
  <si>
    <t>深圳100名；杭州60名；北京60名</t>
  </si>
  <si>
    <t>1.  《中国科学院大学华大专项2025年大学生暑期夏令营申请表》（请通过下方链接获取模板）；2.  个人简历（请通过下方链接获取模板）；3.  本科现阶段成绩单（加盖教务处公章）；4.  专业排名证明（加盖院系公章）；5.  英语水平证明（英语四、六级等）；6.  个人身份证明（扫描身份证正/反面合并一页、学生证里/外面合并一页）；7.  其他能力证明材料：个人获奖证书、代表性的学术论文首页、专利授权证明等；请于6月10日前，将上述材料每项以单个PDF文件，在报名时进行线上提交，单个文件命名方式“材料序号-姓名-材料名称”，请注意文件命名时的标点符号。</t>
  </si>
  <si>
    <t>夏令营期间：1. 为营员提供免费住宿；2. 为营员购买人身意外伤害保险；3. 为全程参与夏令营活动的营员按照一定标准额度提供交通补贴；4. 为完成夏令营所有活动项目的营员发放结营证书和优秀营员证书。</t>
  </si>
  <si>
    <t>英语六级不低于425分</t>
  </si>
  <si>
    <t>2025年4月22日-6月15日</t>
  </si>
  <si>
    <t>2025年7月中旬</t>
  </si>
  <si>
    <t>专业排名需在前30%（创新型、荣誉型特色学院，以及基地班、卓越班、创新班等除外；有科研成果或潜力的同学以及能达到所在高校推免资格的同学除外）</t>
  </si>
  <si>
    <t>夏令营活动举办2期，每期3-4天（暂定第一期6月30日-7月3日；第二期7月7-10日，已包含第一天报到与最后一天离营）</t>
  </si>
  <si>
    <t>2025年4月22日-6月12日</t>
  </si>
  <si>
    <t>①本科成绩单（院系或教务处盖章；可提供学校网络截图）
②英语水平证明材料（四六级证书等）
③个人简历（中英文均可，无格式要求）
⑤学生证（照片、学号页即可）</t>
  </si>
  <si>
    <t>学院将为营员提供活动期间在沪的食宿</t>
  </si>
  <si>
    <t>有效力</t>
  </si>
  <si>
    <t>英语水平优秀，原则上须符合以下条件之一：
   （1）大学英语六级成绩达到460分及以上；
   （2）托福（TOEFL）成绩达到90分及以上；
   （3）雅思（IELTS）成绩达到6.0及以上；
   （4）入学前参加境外全英文授课学位项目学习并获得学位（指本科阶段）。</t>
  </si>
  <si>
    <t>学院招生委员会将组织学科专家小组对营员进行面试考核。学生就个人的学术背景及攻读博士阶段科研计划以PPT的方式进行介绍（PPT制作须使用英文，汇报可选择中文或英文）。此外，还有专家问答环节及英语口试环节。</t>
  </si>
  <si>
    <t>2025年4月23日上午10时至2025年6月9日上午10时</t>
  </si>
  <si>
    <t>2025年7月2日-2025年7月5日</t>
  </si>
  <si>
    <t>申请材料主要包括：
    1.个人陈述
    2.在读证明
    3.成绩排名
    4.成绩单
    5.英语水平证明
    6.学术科研成果
    7.获奖证明
    8.教育部学籍在线验证报告
    9.专家推荐信</t>
  </si>
  <si>
    <t>西湖大学提供食宿，为来校学生购买保险</t>
  </si>
  <si>
    <t>在本次夏令营活动中您将走进实验室，了解各专业发展历程，聆听专题报告，参与学术交流。同时向有志于将来免试推荐或报考我单位研究生的优秀本科生提供深入了解本单位的机会。</t>
  </si>
  <si>
    <t>2025年4月24日-2025年6月25日</t>
  </si>
  <si>
    <t>扫面二维码进行网上报名，报名后提交附照片的个人简历一份，成绩单及佐证材料一份，所有材料合成一个PDF文件，文件命名：姓名+学校，发送至邮箱fengziou@irm-cams.ac.cn。</t>
  </si>
  <si>
    <t>第一天：下午(14:00-18:00) 学员报到登记，安排住宿，熟悉校园
第二天：开营仪式，教授讲座，导师自由交流
第三天：面试及优秀学员选拔，颁发证书，离校</t>
  </si>
  <si>
    <t>2025年4月17日-2025年5月21日17：00</t>
  </si>
  <si>
    <t>2025年6月底7月初</t>
  </si>
  <si>
    <t>1、“浙江大学脑科学与脑医学学院全国优秀大学生暑期夏令营申请表”。
2、本人身份证，学生证。
3、本科阶段成绩单。
4、相关证明材料1份（英语成绩单、已发表论文、各类获奖证书等可体现自身学术水平和工作能力的材料）。
5、两位与申请学科有关的教授（或相当职称）及以上专家的专家推荐信。</t>
  </si>
  <si>
    <t>参加夏令营的营员统一由我院安排食宿，费用由我院承担。外地学生来校交通费可由我院部分报销（上限不超过500元，限汽车或火车硬席、动车/高铁二等座、飞机经济舱）</t>
  </si>
  <si>
    <t>开营仪式、师生见面会、实验室参观、前沿领域讲座、营员展示、面试、闭营仪式等；</t>
  </si>
  <si>
    <t>2025年4月25日-2025年6月30日</t>
  </si>
  <si>
    <t>2025年7月中上旬</t>
  </si>
  <si>
    <t>（1）夏令营申请表；
（2）身份证正反面扫描件；
（3）学生证扫描件；
（4）截止申请时的成绩单，须加盖院系或教务公章；
（5）个人简历，须涵盖个人基本信息、学校、专业、英文能力、年级排名（示例：1/100）、GPA、科研和获奖情况，社会工作等；
（6）副教授以上专家书面推荐信2份；
（7）其他能够体现本人学习及科研能力的证明材料（包括但不限于英语证明材料、代表性学术论文首页、专利及各类获奖证书等）</t>
  </si>
  <si>
    <t>我研究院将为异地学校营员按照我校财务规定标准报销食宿，并给予部分路费补贴。</t>
  </si>
  <si>
    <t>2025年4月25日-2025年6月20日17:00</t>
  </si>
  <si>
    <t>具体时间待定</t>
  </si>
  <si>
    <t>1) NIBS报名登记表（网上注册时生成的文件，请打印后签名）。
2）有效身份证明。申请人须提供有效中华人民共和国居民身份证，正反页复印在一页上。
3）本人自述（中文）。
4）本科学业成绩单原件。
5）学生证（需提供每学期注册章）或在学证明。
6）前两年半或前三年成绩排名证明原件，需由学校教务部门出具并加盖公章。
7）英语4级和6级通过证书或成绩单（6级需要430分以上），或其它英语成绩证明。
8）两封与报考专业相关的职称为副教授(或相当职称)或以上的专家的推荐信（单独链接提交）。
9）如果有在核心刊物或会议上发表学术论文、出版物或取得具有学术水平的工作成果，请提交接收函或证明文件，发表文章仅需提供首页。
10）如果在学期间从事课外科技活动中有获奖或突出表现，请提交由学校教务部门出具并加盖公章的证明材料。
11）其它可证明科研水平和能力的材料。</t>
  </si>
  <si>
    <t>中国科学院大学</t>
  </si>
  <si>
    <t>本科前阶段总评成绩排名在本年级（专业）前30%之内，预计能在现就读学校取得推荐免试研究生资格。985、211等重点高校学生学习成绩标准可适当放宽排名标准。</t>
  </si>
  <si>
    <t>线下或线上</t>
  </si>
  <si>
    <t>开营仪式、学术报告讲席教授等PI面对面交流、在读博士生学长学姐交流会、科研平台参观和优秀营员选拔等。</t>
  </si>
  <si>
    <t>2025年4月24日-2025年8月1日</t>
  </si>
  <si>
    <t>500名</t>
  </si>
  <si>
    <t xml:space="preserve">
（1）身份证（正、反面）；
（2）英语等级证书；
（3）成绩单（需加盖公章）；
（4）辅导员推荐信；
（5）其它附件，包括奖励证明、等级证书、已发表论文首页等。</t>
  </si>
  <si>
    <t>遗传发育所</t>
  </si>
  <si>
    <t>专业综合排名前30%</t>
  </si>
  <si>
    <t>大学英语四级≥500分或英语六级≥450分者优先</t>
  </si>
  <si>
    <t>遗传发育所概况及研究生培养情况介绍、学术报告、实验室和科研平台参观、师生交流、推免生面试等活动</t>
  </si>
  <si>
    <t>2025年4月25日-2025年6月25日</t>
  </si>
  <si>
    <t>2025年7月14日-2025年7月18日</t>
  </si>
  <si>
    <t>——（登录“科教结合协同育人行动计划”网站http://kjxt.ucas.ac.cn/报名）</t>
  </si>
  <si>
    <t>已通过 CET4 级</t>
  </si>
  <si>
    <t>开营仪式、师生互动、实验室参观、推免生面试、前沿讲座等，具体安排入营后通知；</t>
  </si>
  <si>
    <t>2025年4月27日-2025年6月30日</t>
  </si>
  <si>
    <t>2025年7月3日-2025年7月5日</t>
  </si>
  <si>
    <t>（1）夏令营申请表；（2）身份证、学生证扫描件；（3）个人简历，必须涵盖个人基本信息、学校、专业、英文能力、年级排名、GPA、科研和获奖情况，社会工作等，语言不限；（4）截止申请时的成绩单；（5）其他展现个人学术水平、综合能力的证明材料（包括但不限于英语水平证书、论文首页及奖状证书等）；（6）两位副教授及以上专家的推荐信（申请直博生必须提供，申请推免硕士生不强制要求，格式不限）。</t>
  </si>
  <si>
    <t>学院将为异地学校营员提供夏令营期间在深住宿，并给予来程高铁二等座标准的路费补贴</t>
  </si>
  <si>
    <t>开营仪式、院系介绍、课题组宣讲、专业讲座、营员个人展示等</t>
  </si>
  <si>
    <t>2025年4月28日-2025年6月18日</t>
  </si>
  <si>
    <t>2025年6月底7月上旬</t>
  </si>
  <si>
    <t>（1）身份证正反面复印件或照片；（2）学生证复印件或照片；（3）包含所修全部课程的正式成绩单（院系或教务处加盖公章）；成绩单上所标注所在专业的成绩排名；（4）个人陈述（介绍学术背景、曾经做过的研究工作、以及将来攻读研究生阶段的学习和研究计划、研究生毕业后的就业目标等，1000字以内）；（5）其他能够体现本人学习及科研能力的证明材料（其他体现个人学术水平、综合能力的证明材料（包括但不限于英语水平证书、论文首页及奖状证书等））（6）夏令营报名申请表（签字版）（7）个人英文简历（1页）</t>
  </si>
  <si>
    <t>全国大学英语六级考试（CET-6）430分及以上，全国大学英语四级考试（CET-4）450分及以上的学生优先接收。</t>
  </si>
  <si>
    <t>开营仪式、参观研究所、研究生招生与培养介绍、招生学科、导师团队介绍、与导师面对面交流、与在校生交流、营员团体活动等</t>
  </si>
  <si>
    <t>2025年4月29日-2025年6月15日</t>
  </si>
  <si>
    <t>身份证（原件）、学生证（原件、盖章清晰可见）、本科成绩单原件（教务部门盖章）、专业排名证明（教务部门盖章）、英语水平证明（六级、四级证书）、其他证明材料。</t>
  </si>
  <si>
    <t>食宿等费用由我所承担，并为营员报销学校/家庭所在地至昆明的往返高铁二等座/火车硬座费用（昆明本地学生除外），若营员乘坐飞机，不超过高铁二等座/火车硬座费用标准的实报，若超过高铁二等座/火车硬座费用标准的，按高铁二等座/火车硬座费用标准报销，超过部分由本人承担，报销以提供的票据为准。</t>
  </si>
  <si>
    <t>第一天：下午(13:00-18:00) 学员报到登记，安排住宿，熟悉校园。
第二天：开营仪式，教授讲座，实验室参观，导师交流。
第三天：面试及优秀营员选拔，颁发证书，闭营离校。</t>
  </si>
  <si>
    <t>2025年4月30日-2025年6月3日</t>
  </si>
  <si>
    <t>2025年7月上旬</t>
  </si>
  <si>
    <t>（1）个人身份证（正反面）；
（2）本科成绩单（须加盖学校教务处或院系公章）;
（3）成绩排名：含专业及综合排名证明（教务部门盖章）；
（4）外语水平证明材料：CET-6、雅思、托福、专业外语成绩等；
（5）其他材料：如个人简历、已发表论文、各类获奖或资格证书等。</t>
  </si>
  <si>
    <t>参加夏令营的营员统一由我院安排紫金港校区校内食宿，费用由我院承担。如自行校外住宿，需提前报备，校外住宿可凭住宿发票报销校内住宿标准的等额费用。营员请自行预定往返车票，外地学生来校交通费可由我院部分报销（单程上限不超过500元，限汽车或火车硬席、动车/高铁二等座、飞机经济舱）</t>
  </si>
  <si>
    <t>医学科学创新中心</t>
  </si>
  <si>
    <t>本科总评成绩排名前20%，预计获得推荐免试资格</t>
  </si>
  <si>
    <t>CET-6 ≥450分</t>
  </si>
  <si>
    <t>顶尖导师零距离：一对一交流，自由探索心仪课题！
学术盛宴：参与国际前沿学术报告，与学霸同侪碰撞思维火花！
推免直通车：优秀营员享推免优先录取权，锁定首都医科大学博士生席位！</t>
  </si>
  <si>
    <t>2025年4月28日-2025年6月18日16：00</t>
  </si>
  <si>
    <t>2025年7月7日-2025年7月11日</t>
  </si>
  <si>
    <t>①成绩单+排名
②英语六级成绩单
③自荐信（含研究兴趣与规划）
④其他加分项：论文/竞赛/专利</t>
  </si>
  <si>
    <t>全额资助：协助解决食宿，交通补贴！意外保障：统一购买人身意外险！</t>
  </si>
  <si>
    <t>天津工业生物技术研究所</t>
  </si>
  <si>
    <t>学习成绩优异（一般应是班级前三年综合排名前30%），在学期间无重修科目或补考记录，无违法违纪受处分记录。</t>
  </si>
  <si>
    <t>1. 学术讲座与报告包括研究所及国家合成生物技术创新中心整体介绍、各研究组简介、专家学术报告、导师访谈、学生交流等。2. 研究所技术支撑中心演示实验（1）高通量筛选平台：全自动样品处理系统的演示和操作。（2）系统生物技术平台：全自动基因合成仪的演示和操作。（3）发酵中试平台：工业菌种的生产性能的验证和工艺考察。3. 专业实验室体验实验包括低碳合成工程生物学全国重点实验室、工业酶国家工程研究中心及天津市重点实验室在内的专业实验室向学生开放，涉及研究所三大领域方向。开放期间，学生可以跟随实验室工作人员和所内研究生进行短期科研实践。4. 文化活动参观国家合成生物技术创新中心、国家专业化众创空间等国家级创新平台，参观二氧化碳人工合成淀粉实验室等。5. 夏令营营员面试考核。</t>
  </si>
  <si>
    <t>2025年4月24日-2025年6月15日</t>
  </si>
  <si>
    <t>2025年7月14日-2025年7月17日</t>
  </si>
  <si>
    <t>1.夏令营申请表（系统中下载）2.身份证（正、反面扫描在一页A4纸）3.学生证（扫描件须有姓名、专业、入学日期的页面）4.教育部学籍在线验证报告5.本科成绩单和专业排名证明（需加盖教务处公章）6.英语水平证明材料7.其他证明材料（包括专家推荐信、已发表论文或出版物、各类奖励证书等）注：证明类文件须提供PDF扫描件，其中1-6文件须按顺序扫描成一个PDF文件，文件名：姓名+2025夏令营。</t>
  </si>
  <si>
    <t>夏令营期间由天津工业生物技术研究所统一安排住宿和就餐，报销部分往返火车车票或长途汽车车票。</t>
  </si>
  <si>
    <t>国家纳米科学中心</t>
  </si>
  <si>
    <t>2025年4月30日-2025年6月15日</t>
  </si>
  <si>
    <t>2025年7月上中旬</t>
  </si>
  <si>
    <t>1. 网上申请表；2. 本科成绩单和专业排名证明（需加盖教务处公章）；3. 其他证明材料（包括已发表论文或出版物复印件、英语四/六级成绩单、各类奖励证书复印件、其他相关材料等）。</t>
  </si>
  <si>
    <t>预计能获得本科推免资格</t>
  </si>
  <si>
    <t>英语达到国家四级水平</t>
  </si>
  <si>
    <t>为增加优秀本科生对新药研发和脑科学的兴趣，搭建良好的交流平台</t>
  </si>
  <si>
    <t>2025年4月30日-2025年6月30日</t>
  </si>
  <si>
    <t>（1）个人简历（中英文均可，无格式要求）（2）本科成绩单（院系或教务处盖章）（3）英语水平证明材料（四六级证书等）（4）推荐信1封（授课老师或辅导员）（5）证书、论文、专利等学术成果的署名页（提供最重要的3项）（6）学籍在线验证报告（学信网获取）（7）身份证正面报名材料请按上述顺序，合并成一份清晰的PDF文件（文件大小不超过15M），文件命名规则：“姓名+本科高校”，上传至报名系统“报名材料”栏。</t>
  </si>
  <si>
    <t>2025年7月21日至7月25日。</t>
  </si>
  <si>
    <t>①英文CV（无固定模板）。
②“中国科学院上海免疫与感染研究所大学生夏令营申请表” （可以用夏令营申请系统下载表格，也可以单独在本网页下载申请表填写）。
③两封推荐信，推荐人须具有副教授以上职称（非必要，可以不提供）。
④本科学校教务部门（或院系）出具并加盖公章的大学本科成绩单以及成绩排名证明。
⑤获奖证明材料（体现自身学术水平的代表性学术论文的复印件、获奖证书复印件、英语四、六级证书复印件等）。</t>
  </si>
  <si>
    <t xml:space="preserve">免费提供在上海夏令营期间的食宿。
</t>
  </si>
  <si>
    <t>开放日：7月1日，面向所有有意报考药植所的学生（下午分组评审选拔营员）。
夏令营：7月9-11日，面向有意申请我校推荐免试研究生的2026年应届本科毕业生。</t>
  </si>
  <si>
    <t>2025年5月7日-6月6日</t>
  </si>
  <si>
    <t>2025年7月9-11日</t>
  </si>
  <si>
    <t>申请夏令营活动的同学除填写上述问卷星外，请按以下要求提交材料：
1. 填写《药用植物研究所2025年全国优秀大学生夏令营申请表》（见附件1）；
2. 学生证扫描件。成绩单1份，并加盖院系教务部门公章；
3. 提供相关获奖证书和英语水平证书；
4. 提供院系教务部门出具的成绩综合排名或绩点排名（提供本人排名/专业总人数），证明需加盖教务部门公章（综合和绩点证明，至少提供一个）；
5. 其他材料（自愿提交）：专家推荐信1-2封（推荐人需充分了解申请人的学术成就和工作业绩等情况，具有副教授及以上职称或相当职称）；在学术期刊上发表的文章、出版物或其他学术作品等。</t>
  </si>
  <si>
    <t>开放日活动：费用自理
夏令营活动：营员可报销来京车费（仅限硬座、硬卧、高铁二等座）及在营期间食宿费。</t>
  </si>
  <si>
    <t>在符合北京协和医学院推免生要求前提下，全程参加我所暑期夏令营，且学科组考核被评为优秀营员的学生，若获得所在学校推荐免试研究生资格，同等条件优先拟录取为我校2026年推免研究生</t>
  </si>
  <si>
    <t>QQ群：628363345（2026年药植所保研考研QQ群1）或757561298（2026年药植所保研考研QQ群2）</t>
  </si>
  <si>
    <t>生命科学与生物医学工程</t>
  </si>
  <si>
    <t>博士项目宣讲、一对一面试、校园游览、实验室参观等</t>
  </si>
  <si>
    <t>2025年7月1日 至 7月3日</t>
  </si>
  <si>
    <t>必要材料：
在读证明/ 学历证明
最新成绩证明（成绩单、成绩排名证明）
学术简历（英文）
身份证明（身份证、护照）
其他材料：
英语语言证明（CET 4/6，IELTS，TOEFL等）
研究计划
获奖证书、发表的论文或著作、获批专利等其他材料</t>
  </si>
  <si>
    <t>此次活动免申请费，活动期内为入营学生提供免费校内住宿和餐食（至7月3日中午）。为广东省外的入营学生提供上限为300元的来程交通报销。</t>
  </si>
  <si>
    <t>英语成绩可上传雅思、托福成绩单，也可上传四六级成绩单，本次英语成绩证明仅用于夏令营选拔，如正式申请生命科学与生物医学工程学域博士项目，仅接受雅思及托福成绩。</t>
  </si>
  <si>
    <t>（1）开营式，介绍学校与学部基本情况；
（2）专家学术报告；
（3）实验室介绍、参观；
（4）营员与专家交流学术心得。</t>
  </si>
  <si>
    <t>2025年5月07日-2025年6月7日22:00</t>
  </si>
  <si>
    <t>2025年6月29日-7月1日</t>
  </si>
  <si>
    <t xml:space="preserve">
（1）个人简历、学生证；
（2）所在院（系）或学校教务处盖章的成绩排名证明PDF扫描件；
（3）所在院（系）或学校教务处盖章的成绩单原件的PDF扫描件；
（4）体现英语水平的证明材料（国家英语四六级，TOEFL成绩，GRE成绩等）；
（5）其他证明材料，包括：已发表论文中代表性论文1篇，应提供全文，其他已发表论文提供期刊目录、论文首页复印件；本科期间各类获奖证书复印件。</t>
  </si>
  <si>
    <t>接收专业包括生命科学、食品、生物医学工程相关专业，如：生物学、生物工程、医学、生物信息学、计算机、数学、物理、化学、材料、食品科学与工程、食品质量与安全、化学工程与技术、葡萄与葡萄酒工程等。</t>
  </si>
  <si>
    <t xml:space="preserve">
开营仪式、学科专业介绍、师生互动、优秀营员选拔（优秀营员将按报名学科分组评选）、参观交流等。（具体日程安排后续会在“钉钉”群里通知，敬请关注）</t>
  </si>
  <si>
    <t>即日起至2025年6月5日24:00</t>
  </si>
  <si>
    <t>2025年7月7日-7月9日</t>
  </si>
  <si>
    <t>⑴.个人身份证（正反面）。
⑵.本科阶段成绩单及本专业年级排名证明（注明专业总人数和排名）各一份，需加盖教务处或院系公章。
⑶.外语水平证明材料（CET6、托福、雅思等）。
⑷.其他材料：如个人简历、已发表论文、各类获奖或资格证书等。</t>
  </si>
  <si>
    <t>将为营员提供免费食宿（暂定为校内住宿，洗漱用品需自备，杭州高校学生不提供住宿），营员请提前自行预订往返车票，良渚实验室可报销来杭交通费（上限不超过800元，限火车硬座/卧铺席、动车/高铁二等座、飞机经济舱），入营报到时须提供纸质票据（飞机提供订单记录或登机牌+发票或航空运输电子客票行程单）进行报销。本次夏令营返程交通费（标准同来杭交通费）可在9月份参加良渚实验室推免复试时提供纸质票据进行报销。夏令营不收取注册费。</t>
  </si>
  <si>
    <t>营员报到后要求全程参加夏令营活动，擅自离营者，将被取消资格，本单位将不承担其任何费用</t>
  </si>
  <si>
    <t>报名截止时间：2025年6月30日 (含)</t>
  </si>
  <si>
    <t>2025年7月举办 (具体日程随入营通知另行发布)</t>
  </si>
  <si>
    <t xml:space="preserve">A：必须提供的材料
有效身份证件正反面；
学生证 (照片、学号页即可)；
本科成绩单 (院系或教务处盖章，可提供学校网络截图)；
个人陈述与简历 (中英文均可，字数不限)；
英语水平证明材料 (四六级证书等)。
B：自愿提供的材料
获奖证书扫描件；
其他能证明自身潜力的材料 (如已发表的论文、专利或其他原创性工作成果)。
</t>
  </si>
  <si>
    <t xml:space="preserve">若优秀营员获得推免资格，且通过教育部推免服务系统申请我院推免生，同时符合我院推免生招生要求，经学院招生委员会审核、依据招生规模从高分到低分拟录取为2026级入学研究生，额满为止。
</t>
  </si>
  <si>
    <t xml:space="preserve">参观广州健康院科学城园区及生物岛园区、学术集市、科学家讲座、师生交流活动、研究生学术论坛与学术墙报展体验广府文化活动等。具体安排另行通知。
</t>
  </si>
  <si>
    <t>即日起至2025年6月20日24:00</t>
  </si>
  <si>
    <t>2025年7月中下旬（具体日程另行通知）</t>
  </si>
  <si>
    <t>(1) 《大学生夏令营申请表》（须本人签名）； 　　
(2) 加盖公章的本科成绩单； 　　
(3) 英语水平证明（大学英语四、六级等相关英文能力证明）； 　　
(4) 加盖公章的专业排名证明； 　　
(5) 身份证和学生证复印件（身份证正/反面、学生证封面及个人信息页）； 　　
(6)科研成果及获奖证明材料（如已发表的论文、奖状及证书、推荐信等）； 　　
(7) 加盖公章的推免资格证明（如有）</t>
  </si>
  <si>
    <t>凭票报销高校所在地至广州高铁二等座单程路费（其他交通方式凭票按同等标准报销，票面金额未达同等标准按票面金额报销，市内车费不予报销），夏令营活动期间食宿免费。</t>
  </si>
  <si>
    <t>广州国家实验室</t>
  </si>
  <si>
    <t>院士面对面、导师面对面、了解实验室、营员风采展示、研究生交流会、广府文化体验</t>
  </si>
  <si>
    <t>即日起至2025年6月30日</t>
  </si>
  <si>
    <t>2025年7月21日至7月24日</t>
  </si>
  <si>
    <t>(一)夏令营申请表
(二)身份证明材料:
身份证正反面扫描件。
(三)教育经历材料:应届毕业生提供学生证扫描件:往届毕业生提供毕业证、学位证扫描件，获得国(境)外高校学位证书的还应当提供教育部留学服务中心出具的《国(境)外学历学位认证书》扫描件。
(四)学习成绩材料:
应届本科生提供由学校教务部门盖章的本科阶段成绩单扫描件和前两年半总评成绩排名证明扫描件(模板可参考右图);应往届硕士研究生提供由学校教务部门盖章的历年在校期间(本科和硕士阶段)学习成绩单扫描件。
(五)英语水平证明材料:
如国家英语四、六级考试成绩、TOEFL成绩、GRE成绩、雅思成绩等扫描件。
(六)业绩成果证明材料:
如代表性学术论文或者其他原创性工作成果、获奖证书等扫描件。
(七)安全责任协议书(附件3)
(八)保密承诺书(附件4)</t>
  </si>
  <si>
    <t>夏令营期间免费为营员提供统一食宿安排。
营员凭票报销国内出发地至广州的双程交通费用(报销总额不超过1500元，其中飞机仅报销普通经济舱、高铁仅报销二等座)，市内交通费不予报销。乘坐飞机请提交行程单和登机牌，乘坐高铁需打印报销凭证。</t>
  </si>
  <si>
    <t>本科生营员如获得所在高校2026年推荐免试资格，满足合作高校2026年推荐免试直博生招生简章的报考条件，将获得优先推荐;硕士研究生营员可参加2026年实验室与合作高校联合开展的招生考核。</t>
  </si>
  <si>
    <t>夏令营拟安排综合考核及学术交流环节:本科生营员参加综合考核;硕士研究生营员参加学术交流环节，可选择学术报告会和Poster展(Poster打印像素为1800x900)，至少参加其中一项。
夏令营期间营员应当按照安排全程参加活动，中途退出者需自行承担相关费用</t>
  </si>
  <si>
    <t>7月8日全天：暑期学校报到，参观实验室和校园
7月9日上午：开营仪式、学术讲座
7月9日下午：综合面试
7月10日全天：笔试考核、闭营</t>
  </si>
  <si>
    <t>即日起至2025年6月13日下午5点</t>
  </si>
  <si>
    <t>2025年7月8日--7月10日</t>
  </si>
  <si>
    <t>（1）《同济大学优秀学生暑期学校申请表》（报名表请至报考系统下载，并附上近期正面免冠彩色证件照片，JPG格式）；
（2）本科成绩单（前两年半或前三年成绩单，JPG或PDF格式）与学籍专业排名证明；
（3）有效居民身份证正反面和学信网近期下载的《教育部学籍在线验证报告》；
（4）个人陈述；
（5）外语水平证明（英语四、六级考试成绩，托福成绩或GRE/GMAT成绩等）；
（6）如申请直接攻博需提交两封专家推荐信（推荐信可在报考系统中按系统提示步骤完成）；
（7）其他材料（如有）：
① 已发表论文证明材料（论文应包括正文第一页（包含作者信息页，并在正文第一页右上角标注本人排名和影响因子））；
② 本科期间获奖证书或资格证书（校级及以上获奖，不超过5项）。
（8）生命科学与技术学院暑期学校报名情况汇总表</t>
  </si>
  <si>
    <t>免费提供参加我院暑期学校学员在沪活动期间的食宿、保险及相关户外活动，同时提供录取我院2026年推免生的优秀学员往返路费（仅限在暑期学校活动期间非上海高校大学生乘坐的长途汽车、高铁二等座及以下，凭票报销）。</t>
  </si>
  <si>
    <t>1.优秀学员取得所在高校2026年推荐免试资格，学院根据招生规模和暑期学校考核成绩排名依次录取，额满为止，推免阶段复试成绩可参考暑期学校考核成绩。
2.对未获得推免资格的优秀学员参加全国统考并进入复试，复试成绩以统考阶段复试结果为准，在同等条件下学院可优先录取。</t>
  </si>
  <si>
    <t xml:space="preserve">若发现入营者申请材料弄虚作假，或报到后未全程参加夏令营活动，则立即取消入营者一切由此享受的优惠政策，并保留追诉的权利。
</t>
  </si>
  <si>
    <t>研究所及三大重点实验室情况介绍、科研仪器及研究平台参观、师生交流会、学术海报与实验方案展示交流、优秀研究生经验分享、优秀营员评选等</t>
  </si>
  <si>
    <t>即日起至2025年6月15日</t>
  </si>
  <si>
    <t>2025年7月7日—11日</t>
  </si>
  <si>
    <t>（1）《中国科学院生物物理研究所生命科学希望之星夏令营申请表》，见附件。申请表需本人手写签名。（注：申请人所学专业的同年级总人数及申请人三学年总评成绩在本专业年级排名处必须由学校（或院系）教务管理部门填写并盖章）；
（2）所在学校（或院系）教务部门出具并加盖公章的大学本科前三年所修课程成绩单（五年制的提供前四年课程成绩单）；
（3）第二代居民身份证；
（4）英语等级证书；
（5）大学期间的获奖证书；
（6）在公开发行的学术刊物或全国性学术会议上发表的学术论文、所获专利或其他原创性工作成果或证明，及对申请有参考价值的其他材料；
（7）《专家推荐信》两封，由副教授或相当职称以上专家推荐。</t>
  </si>
  <si>
    <t>（1）报名参加夏令营的同学默认参加优秀营员评选（亦可选择仅参加优秀营员评选）；
（2）夏令营活动期间，研究所将为全程参加夏令营的京外营员统一安排住宿（京内营员及仅参加优秀营员评选的同学不提供住宿）；
（3）夏令营期间请遵守研究所相关规定，根据安排参加各项活动，注意自身安全，研究所将为全程参加夏令营的营员购买人身意外保险，并签署安全协议；
（4）研究所会根据实际情况为所有营员发放一定的补贴。</t>
  </si>
  <si>
    <t>2025年7月中下旬</t>
  </si>
  <si>
    <t>夏令营活动期间研究所提供免费食宿，外地高校营员报销单程路费（实报实销，高校所在城市至武汉的动车二等座或相当于动车二等座票价，如乘坐飞机前往武汉，请提交行程单和登机牌作为报销凭证，如乘坐火车，请务必领取纸质票作为报销凭证，市内车费不予报销）</t>
  </si>
  <si>
    <t>本专业综合排名前30%</t>
  </si>
  <si>
    <t xml:space="preserve"> 英语水平良好，国家大学英语四、六级考试（CET-4、CET-6）通过者优先</t>
  </si>
  <si>
    <t>即日起~6月23日00:00:00</t>
  </si>
  <si>
    <t>2025年7月15-16日</t>
  </si>
  <si>
    <t xml:space="preserve">1. 照片（证件照、自行上传）；
2. 本科阶段历年成绩单及同年级总评成绩的排名证明（须加盖教务处或院系公章）；
3. 外语水平证明，如CET-4、CET-6、雅思、托福、专业外语成绩等；
4. 个人联系方式请务必确认准确无误、尤其是联系邮箱；
5. 有关获奖证书和学术科研成果，如发表论文、出版物或其它原创性工作等；
6. 申请直博生的同学还需两份相关学科正高级职称专家推荐信（含专家签字、加盖院系公章），推荐信扫描件上传至报名系统、原件在参加夏令营时线下提交；推荐信模板请到我校研究生院网站下载https://yjszs.shu.edu.cn/info/1042/3781.htm；
7. 除照片、成绩单外，其它所有相关材料合并为一个pdf文档，上传至报名系统“其它材料”里。
</t>
  </si>
  <si>
    <t>我院为正式入选并参加本次夏令营的全部营员免费提供夏令营期间的食宿（活动结束当天仍需住宿的营员请在7月10日早8:00至7月14日中午12:00之间凭已预定的返程车票申请，17日起仍在上海逗留的同学住宿费用营员自理）；
2. 我院为所有夏令营营员购买7月14日至7月17日四天的综合意外险，收到入营通知的同学如放弃入营资格，请于7月10日中午12时之前联系确认；
3. 夏令营营员如正式录取为我院2026级推免研究生，我院报销夏令营往返路费（营员学校或家庭所在城市至上海，高铁二等座标准，请营员自行保留相关报销凭证）</t>
  </si>
  <si>
    <t>有望获得推荐免试研究生资格并获本期夏令营优秀学员者，如选报上海大学生命科学学院推荐免试硕士研究生，将无需再次参加面试；如未获得所就读学校推荐免试研究生资格，考研复试成绩相同条件下优先录取；
营员通过推荐免试录取者，入学后第一年优先享受一等研究生学业奖学金</t>
  </si>
  <si>
    <t>推免直博生的招生条件为达到全国大学英语六级考试（CET-6）430分及以上。推免硕士生的招生条件为达到全国大学英语四级考试（CET-4）450分及以上</t>
  </si>
  <si>
    <t>2025年5月6日至6月10日</t>
  </si>
  <si>
    <t>1、在线填写报名表；
2、学生证扫描件；
3、成绩单1份，并加盖院系教务部门公章（提交扫描件）；
4、相关获奖证书和英语水平证书（提交扫描件）；
5、院系教务部门出具的成绩综合排名证明（提供本人排名/专业总人数）和绩点排名证明，需签字加盖教务部门公章（提交扫描件）；
6、专家推荐信2封：推荐人需充分了解申请人的学术成就和工作业绩等情况，具有副教授及以上职称或相当职称。（自愿提供）
7、在学术期刊上发表的文章、出版物或其他学术作品也可作为申请材料提交（提交扫描件）</t>
  </si>
  <si>
    <t>优秀营员在符合北京协和医学院推免生要求前提下，全程参加我所暑期夏令营，若获得所在学校推荐免试研究生资格，同等条件双向选择后优先拟录取为2026年推免研究生</t>
  </si>
  <si>
    <t>英语达到国家四级425分以上</t>
  </si>
  <si>
    <t xml:space="preserve">开营仪式，学院介绍，专题讲座，参观校园，优秀营员选拔工作等。
</t>
  </si>
  <si>
    <t>预计7月初</t>
  </si>
  <si>
    <t xml:space="preserve">（1）《国科大杭州高等研究院2025年大学生暑期夏令营优秀营员申请表》（见附件1，文件末尾的签名需为手写签名）
（2）本科成绩单扫描件（需加盖教务处或院系公章）
（3）英语四级/六级成绩单扫描件
（4）身份证扫描件
（5）学生证扫描件
（6）专业排名证明扫描件
（7）其他等级证书及校级以上获奖证书扫描件
（8）副教授以上职称专家推荐信（需有推荐教师签名）
（9）已发表论文或出版物扫描件
</t>
  </si>
  <si>
    <t>院将为营员提供单程路费（仅面向按规定全程参与所有活动并顺利结营的营员，凭票实报实销高校所在城市至杭州的火车硬座/硬卧/动车二等座/高铁二等），请将车票妥善保管，夏令营期间食宿由我院统一安排。提前到达或延迟离开期间的食宿费用自行承担。</t>
  </si>
  <si>
    <t>夏令营活动期间，我院将开展优秀营员的选拔考核工作，取得所在学校“推免资格”的优秀营员，在符合国科大相关政策基础上，可拟录取为杭高院分子医学院2026年“推免生”</t>
  </si>
  <si>
    <t>开营仪式、师生互动、实验室参观、推免生面试、公共卫生前沿讲座等。具体安排入营后通知</t>
  </si>
  <si>
    <t>即日起至2025年6月30日晚上23:55</t>
  </si>
  <si>
    <t>1. 夏令营申请表（可通过报名系统生成）；
2. 身份证正反面复印件；
3. 学生证扫描件（包含注册页）；
4. 个人简历，必须涵盖个人基本信息、学校、专业、英文能力（四六级/雅思/托福等）、年级排名（示例：1/100）、GPA、科研和获奖情况、学术论文发表情况、社会工作、自我评价等，中英文均可，一页为宜；
5. 个人陈述，介绍学术背景、曾经做过的研究工作、以及将来攻读研究生阶段的学习和研究计划、研究生毕业后的就业目标等，1000字以内；
6. 截止申请时的成绩单（院系或者教务公章），成绩单上注明所在专业成绩排名；
7. 其他展现个人学术水平、综合能力的证明材料（包括但不限于英语水平证书、计算机水平证书、代表性学术论文首页、专利及各类奖状证书等）；
8. 副高以上职称的教授（或相当专业技术职称的专家）的推荐信2封（申请直博生必须提供，申请推免硕士生不强制要求，格式不限）</t>
  </si>
  <si>
    <t>届时学院将为全程并准时参与活动的异地学校营员提供夏令营期间在深圳的住宿，优先提供至家庭经济困难的营员（凭证为高校贫困生认定表）；并将为最终国家推免系统确定录取的营员提供往返路费，最高不超过往返路程的高铁二等座票价，具体遵照我校财务部报销规定执行。深圳地区高校学生原则上不提供住宿</t>
  </si>
  <si>
    <t>英语水平须达到大学英语四级425分以上或相当水平，同等条件下优先考虑达到大学英语六级430分以上或相当水平者</t>
  </si>
  <si>
    <t>即日起至2025年6月10日23:59分</t>
  </si>
  <si>
    <t>60人左右</t>
  </si>
  <si>
    <t>1.个人简历；
2.截止报名时的本科历年成绩单１份（加盖教务部门公章）；
3.专业总评成绩排名证明材料（加盖教务部门公章）；
4.大学英语四六级考试成绩或TOEFL、IELTS、GRE成绩等体现自身英语水平的证明；
5.其他有关能力的证明材料（如发表论文、专利，各类获奖证书等）；
6.专家推荐信2封，需副教授及以上职称专家亲笔签字。</t>
  </si>
  <si>
    <t xml:space="preserve">被评为“优秀营员”者，在符合报考条件和相关要求前提下，报考我所推荐免试研究生或参加统一考试进入复试录取阶段时，同等条件下予以优先考虑。
</t>
  </si>
  <si>
    <t>开幕式，研究生学术论坛，学院参观，学术讲座，上海观光，联欢会，口腔形态技能大赛，闭幕式</t>
  </si>
  <si>
    <t>2025年8月3日-8月7日</t>
  </si>
  <si>
    <t xml:space="preserve">（1）本科成绩单（需院系盖章证明）
（2）本科成绩排名证明（需院系盖章证明）
（3）外语水平证明（如：英语四、六级考试成绩，托福成绩或GRE/GMAT成绩等）
（4）其他材料 （如:发表论文、专利，各类获奖或资格证书等）
</t>
  </si>
  <si>
    <t>在口腔暑期夏令营期间的食宿由口腔医学院统一安排提供，学生食宿免费，集体活动交通由暑期夏令营负责，并提供每位学生的往返路费（按不高于高铁／动车二等座位票的标准实额报销）。同时，为了保证每一位学生的安全，我们将统一为学生购买保险。</t>
  </si>
  <si>
    <t>参加暑期夏令营的学生，综合技能大赛参与情况，排名前8名的学生视为优秀学员，可获得同济大学口腔医学院颁发的 2025年暑期夏令营优秀学员证书，在2026年口腔医学院研究生招生复试中享受以下优惠政策。
（1）暑期夏令营的综合考核成绩在研究生推免招生复试面试的“专业和综合素质”中予以认定为“专业基础能力”成绩。
（2）在研究生统考招生复试面试时，在同等条件下给予优先录取机会。复试成绩以统考阶段复试结果为准。</t>
  </si>
  <si>
    <t>广东省智能科学与技术研究院</t>
  </si>
  <si>
    <t>英语水平须符合以下条件之一：
（1）大学英语六级成绩达到430分及以上；
（2）托福（TOEFL）成绩达到80分（网上考试）/550分（笔试）及以上； 
（3）雅思（IELTS）成绩达到6.0及以上，且单科不低于5.5</t>
  </si>
  <si>
    <t>城市参观、开营仪式、学术前沿讲座、科研平台参观、课题组宣讲与交流、课题组实习、综合面试、结业仪式等</t>
  </si>
  <si>
    <t xml:space="preserve">2025年6月20日截止
</t>
  </si>
  <si>
    <t>2025年7月14日（周一）-17日（周四）</t>
  </si>
  <si>
    <t>1. 报名表（模版为广东省智能院夏令营活动申请表-申请者姓名-申请导师姓名.docx）；
2. 有效身份证明：申请人须提供有效中华人民共和国居民身份证，正反面复印在一页；
3. 在读证明（应届生）：须加盖学校教学管理部门或院系公章及《教育部学籍在线验证报告》；境外在读的学生需提供就读学校出具的在读证明（写明预计获得学位时间）；
4. 学历学位证明（往届生）：学位证书，学历证书和学信网《教育部学历证书电子注册备案表》。持国（境）外教育机构学历者，须提交由教育部留学服务中心出具的《国（境）外学历学位认证书》；
5. 成绩单：提供历年在校学习成绩单（本科及硕士阶段，由学校教学管理部门或院系盖章）；
6. 英语水平证明：全国大学英语六级、托福或雅思等成绩单；以攻读全英文授课学位作为英语水平条件者，若就读学校所在国家的官方语言或母语不是英语，须提供全英文授课证明（注：中外合作办学项目须另外提交英语成绩证明）；
7. 学术科研成果：如有在核心刊物或会议上发表学术论文、出版物或取得具有学术水平的工作成果，请提交接收函或证明文件，发表文章仅需提供首页，如要提供学位论文仅需提供题目和中文摘要；
8. 其他获奖证明：如在学期间参加课外科技活动中有获奖或突出表现，请提交由学校教学管理部门出具并加盖公章的证明材料</t>
  </si>
  <si>
    <t>1.此次夏令营活动的往返交通、活动期间的食宿费用由广东省智能院承担。学生如活动开始前抵达或活动结束后推迟离开，期间的食宿费用自理。
2. 广东省智能院将统一购买在本院活动期间的团体意外保险。参加夏令营的学生需自购覆盖夏令营期间的旅游意外保险，并于出发前提供给广东省智能院。
3. 参加夏令营的学生必须遵守广东省智能院的相关管理规定，按照统一安排全程线下参加各项活动。擅自离营者，需自行负责食宿、交通费用及安全保障。</t>
  </si>
  <si>
    <t>报名截止日期：2025年6月7日</t>
  </si>
  <si>
    <t>哈尔滨工业大学（深圳）</t>
  </si>
  <si>
    <t>前沿学部医工学院</t>
  </si>
  <si>
    <t>外语水平优良（大学外语六级考试成绩达到合格线或雅思成绩达到6.0或托福达到90分等）</t>
  </si>
  <si>
    <t>线上和线下同步开展</t>
  </si>
  <si>
    <t>开营仪式、学院介绍、学术前沿讲座、师生交流、学长经验分享等。</t>
  </si>
  <si>
    <t>1、个人简历；
2、所在院（系）或学校教务处盖章的截至报名时的成绩单；
3、所在院（系）或学校教务处盖章的成绩排名证明；
4、英语水平证明材料（国家英语六级考试成绩，TOEFL/IELTS成绩等体现自身英语水平的证明）；
5、学术成果发表情况（发表/录用学术论文（如有），其中代表性论文1篇，应提供全文，其他已发表论文提供期刊目录、论文首页复印件；若未正式发表，需附录用通知）；
6、其他证明材料（本科期间各类获奖证书等）。</t>
  </si>
  <si>
    <t>人类表型组研究院（宣讲会）</t>
  </si>
  <si>
    <t>宣讲形式：腾讯会议</t>
  </si>
  <si>
    <t>5月21日 18:00-20:30</t>
  </si>
  <si>
    <t>开营仪式、院系介绍、师生交流、实验室参观、推免生面试等</t>
  </si>
  <si>
    <t>截止日期：2025年6月8日23:59</t>
  </si>
  <si>
    <t>（1）身份证正反面复印件（1份）；
（2）学生证复印件（在校生提供）；
（3）本科成绩单，请上传包含所修全部课程的正式成绩单（院系或教务公章）；成绩单上需注明所在专业的成绩排名，示例：1/50；
（4）个人陈述（介绍学术背景、曾经做过的研究工作、以及将来攻读研究生阶段的学习和研究计划、研究生毕业后的就业目标等，1000字以内）；
（5）其他能够体现本人学习及科研能力的证明材料（其他体现个人学术水平、综合能力的证明材料（包括但不限于英语水平证书、论文首页及奖状证书等），非必传项
（6）夏令营报名申请表（签字版），请先在系统完成报名申请，提交后下载打印夏令营报名申请表，按要求签字后提交至系统。
（7）专家推荐信2封，申请推免直博研究生的同学，必须提交专家推荐信2封，专家应具有副教授及以上职称（或相当专业技术职称）或博导资格，报考导师不撰写推荐信。申请推免硕士研究生同学可自愿提交。
（8）个人英文简历（1页），（涵盖个人基本信息、学校、专业、英文能力、年级/专业排名，示例：1/50、科研和获奖情况，社会工作，简洁明晰）；
注意：以上材料的纸质版请自行做好留档，于入营报到当天现场提交，同时核验相关原件，具体等待进一步通知。</t>
  </si>
  <si>
    <t>届时生命科学学院将为异地学校营员给予部分夏令营期间在深住宿，及部分境内抵深路费补贴。深圳地区高校学生原则上不提供住宿。</t>
  </si>
  <si>
    <t>申请人后续如通过夏令营预选拔获得拟录取后，必须通过中国研究生招生信息网“全国推荐优秀应届本科毕业生免试攻读研究生信息公开暨管理服务系统”（简称全国推免服务系统）注册并填报志愿，根据实际进程完成待录取通知等相应程序</t>
  </si>
  <si>
    <t>分子细胞科学卓越创新中心（宣讲会）</t>
  </si>
  <si>
    <t>宣讲时间：2025年5月20日15:30-16：30</t>
  </si>
  <si>
    <t>全国大学英语六级≥460(成绩有效期5年，计算到入学当年9月1日，下同)或托福&gt;80(成绩有效期2年)或雅思≥5.5(成绩有效期2年)</t>
  </si>
  <si>
    <t>活动安排方案由药学院6个研究所和安评中心具体负责实施。活动形式:
(1)研究所及各学科、实验室介绍;
(2)学术讲座;
(3)师生交流，了解课题内容、学科发展前沿，咨询推免及考研政策。</t>
  </si>
  <si>
    <t>2025.5.20-6.16 16：00</t>
  </si>
  <si>
    <t>(1)本科成绩单(须加盖院系或学校教务处公章);</t>
  </si>
  <si>
    <t>四级考试达到425分及以上</t>
  </si>
  <si>
    <t>2025.5.19开始</t>
  </si>
  <si>
    <t>2025年7月上旬到8月下旬</t>
  </si>
  <si>
    <t>将为集中参营的营员提供活动期间在厦的食宿费用(统一安排入住校内学生公寓，并提供蚊帐、草席线毯、枕头、床垫等5件套寝室用具)。分散参营的营员需与课题组协商确定食宿安排。</t>
  </si>
  <si>
    <t>北京华大</t>
  </si>
  <si>
    <t>2025.5.20-6.10</t>
  </si>
  <si>
    <t>英语水平满足下列条件之一者优2、先:全国大学英语四级&gt;450分、全国大学英语六级&gt;430分，雅思6.0分、托福80分及以上。</t>
  </si>
  <si>
    <t>2025.5.20-6.22</t>
  </si>
  <si>
    <t>(1)《北京协和医学院生物医学工程研究所第八届全国优秀大学生夏令营报名表》2)本人有效期内的身份证与学生证;((3)本科或硕土历年成绩单一份，需加盖教务部门公章;(4)全国大学生英语四、六级考试成绩单或雅思、托福等能够体现自身英语水平的证明材料;(5)其他相关能力的证明材料(发表论文、专利、各类获奖证书等);</t>
  </si>
  <si>
    <t>2025.5.21-6.25 17：00（报名生物与医药的学生，报名截止时间为6.6 11：00）</t>
  </si>
  <si>
    <t>2025.7.7-7.13</t>
  </si>
  <si>
    <t>1.本科成绩单(由教务处或院系盖章)与总评成绩排名证明;
2.外语水平证明，如CET四级、CET六级、雅思、托福、专业外语成绩等;
3.如申请直接攻博需提交两封专家推荐信(推荐信可在报考系统中按系统提示步骤完成);
4.近期正面免冠彩色证件照片，电子版JPG格式(大小不超过500K);
5.其他材料(如:发表论文、授权专利、各类获奖或资格证书等)。</t>
  </si>
  <si>
    <t>免费提供参加我院暑期学校学员在沪活动
期间的食宿、保险及相关户外活动，同时提供录取
我院2026年推免生的优秀学员往返路费(仅限在暑期学校活动期间非上海高校大学生乘坐的长途汽车、高铁二等座及以下，凭票报销)。</t>
  </si>
  <si>
    <t>国科大</t>
  </si>
  <si>
    <t>杭高院药学院</t>
  </si>
  <si>
    <t>本科期间总评成绩排名在本年级(专业)前20%之内，双一流重点高校学生学习成绩标准可再适当放宽;</t>
  </si>
  <si>
    <t>四级达到合格水平</t>
  </si>
  <si>
    <t>2025.22-2025.6.25</t>
  </si>
  <si>
    <t>(1)身份证(含正反面)
(2)英语等级证书;
(3)成绩单(需要盖公章)
(4)辅导员推荐信(没有辅导员的学校，可由做学生工作的老师来写推荐信);
(5)其它附件，包括各类“奖励证明”、“等级证书”“已发表论文首页”等。</t>
  </si>
  <si>
    <t>杭高院将为夏令营营员提供来程路费(凭高校或家庭所在城市至杭州的火车硬座或高铁动车二等座车票报销交通补贴)及夏令营期间的食宿，住宿由我院统一安排。提前到达或延迟离开期间的食宿费用自行承担;</t>
  </si>
  <si>
    <t>辽宁师范大学</t>
  </si>
  <si>
    <t>脑与认知神经科学研究中心</t>
  </si>
  <si>
    <t>学业成绩优秀。本科前三年学习成绩在同专业同届学生中排名在前20％，预期可获得本科在读院校推免资格；对有出色学术成果者，学习成绩标准可适当放宽。</t>
  </si>
  <si>
    <t>英语水平良好。大学英语六级425及以上或WSK（PETS 5）合格或英语专业八级合格或英语国家获得过学士及以上学位，成绩有效期五年（指考试时间在2021年5月及以后）；或雅思5.5及以上或托福80及以上，有效期参照证书的有效期。</t>
  </si>
  <si>
    <t>file:///C:/Users/小诺/Documents/WeChat Files/wxid_j8dfirc4cbhp22/FileStorage/Temp/2cddc86badc9ade06f4baa413317d4f.jpg</t>
  </si>
  <si>
    <t>2025.5.23-6.5 24:00</t>
  </si>
  <si>
    <t>2025.7.7-7.10</t>
  </si>
  <si>
    <t>50名优秀本科生</t>
  </si>
  <si>
    <t>1.报名表（官网下载填写）；
2.个人简历（含科研成果、获奖情况等）；
3.本科成绩单及排名证明（加盖教务处公章）；
4.英语水平证明（扫描件）；
5.其他证明材料：包括已发表论文首页，能体现自身学术水平的学术论文、出版物或原创性工作成果、获奖证书等材料。</t>
  </si>
  <si>
    <t>活动期间食宿免费，往返交通费自理，优秀营员可申请交通补贴。中心会统一购买在辽宁师范大学活动期间的团体意外保险，建议各位营员自购旅途意外保险。</t>
  </si>
  <si>
    <t>生物医学工程与仪器科学学院</t>
  </si>
  <si>
    <t>2025.5.24-6.20 12：00</t>
  </si>
  <si>
    <t>2025.7.6-7.8</t>
  </si>
  <si>
    <t>①个人简介（1页）
 ②本科成绩单和本专业年级排名（注明专业总人数和排名）各1份，须加盖教务处或院系公章；
 ③其它材料（如：英语等级证书、发表论文首页、各类获奖或资格证书等材料，不超过5个）；
 ④至少一位任课老师的推荐信，须有推荐人手写签字或电子签名；（直博研究生必须两位正高职专家的推荐信）
 ⑤自我陈述（感兴趣的研究方向/研究目标，1000字以内）。
申请者应保证所有信息及提交材料的真实性、有效性和完整性，由材料不实造成的后果由本人自负。</t>
  </si>
  <si>
    <t>营员食宿由学院承担并统一安排，其他费用营员自理。被取消入选资格的非营员，学院将不承担其任何费用。
保险：学院统一购买在浙大活动期间的团体意外保险，建议各位营员自购旅途意外保险。</t>
  </si>
  <si>
    <t>英语水平良好，大学英语六级考试460分及以上，托福机考≥80或雅思≥5.5（六级成绩有效期5年，托福和雅思成绩有效期2年，2025年7月推免申请前取得相应成绩）</t>
  </si>
  <si>
    <t xml:space="preserve">1）开营仪式：走进浙大首个学术特区，深入了解LSI
  （2）走近实验室：自由参观实验室，感受科研现场
  （3）师兄师姐交流会：研究生分享科研生活，指点迷津
  （4）PI面对面：师生对话，聚焦科学前沿话题
</t>
  </si>
  <si>
    <t>2025.5.21-6.18</t>
  </si>
  <si>
    <t>2夏令营时间分两期，第一期时间为2025年7月1日-4日，第二期时间为7月8日-11日。</t>
  </si>
  <si>
    <t>a.《浙江大学生命科学研究院2025年学术夏令营申请表》1份（附件）；
b.身份证正反扫描件1份；
c.本科成绩单1份（须加盖院系或学校教务处公章）；
d.总成绩排名1份（须加盖院系或学校教务处公章）；
e.英语四、六级证书或其他英语考试的成绩证明1份；
f.夏令营邀请函扫描件（若已获得夏令营邀请函）；
g.其他获奖证明材料。</t>
  </si>
  <si>
    <t>医学院(招生宣传）</t>
  </si>
  <si>
    <t>详看原文https://mp.weixin.qq.com/s/U2LI5pyq0cv5RH---NNGQ</t>
  </si>
  <si>
    <t>无效力</t>
  </si>
  <si>
    <t>北京协和医学院输血研究所</t>
  </si>
  <si>
    <t>CET4&gt;450分;CET6&gt;430分</t>
  </si>
  <si>
    <t>2025.5.26-6.20</t>
  </si>
  <si>
    <t>1.个人简历;2.截止目前大学期间成绩单和专业排名，须由教务部门盖章;3.有效的英语证明复印件(英语四级及六级考试成绩证明;(同上))4.其他证明材料(如体现自身学术水平的代表性学术论文或其他原创性工作成果复印件、获奖证书复印件等);5.身份证正反面复印件、学生证复印件(含学校名称、个人信息);6.网报信息真实承诺书1份(附件模板1)7.夏令营专家推荐信2封,需要2位副教授(含)以上职称的专家分别推荐(格式不限)。</t>
  </si>
  <si>
    <t>提供食宿</t>
  </si>
  <si>
    <t>2025.6.1.6.30</t>
  </si>
  <si>
    <t>北京师范大学</t>
  </si>
  <si>
    <t>2025.5.27-6.12 23：59</t>
  </si>
  <si>
    <t>2025.7.1-2025.7.3</t>
  </si>
  <si>
    <t>1.《北京师范大学全国优秀大学生暑期夏令营申请表》1份，在申请系统中填写后下载，签字、盖章；
2.通过附件上传个人自述1份（关于个人学术背景、曾经做过的研究工作以及未来学习和研究的计划、目标等）；
3.通过附件上传成绩单和成绩排名（需加盖院系或教务处公章）；
4.通过附件上传推荐信1份；
5.国家英语四、六级考试成绩或TOEFL/GRE/GMAT/雅思成绩英语水平证明的扫描件1份（JPG或PDF格式）；
6.体现自身学术水平的代表性学术论文或课题报告1篇；
7.其他证明材料扫描件(如已发表论文、各类获奖或资格证书等)各1份。</t>
  </si>
  <si>
    <t>2025.5.29开始</t>
  </si>
  <si>
    <t>2025.7.1-7.10</t>
  </si>
  <si>
    <t xml:space="preserve">    （1）个人身份证（正反面）；
    （2）本科成绩单（须加盖学校教务处或院系公章）;
    （3）总评成绩排名证明（应包含所学专业同年级人数，须加盖学校教务处或院系公章）；
    （4）外语水平证明材料：CET-6、雅思、托福、专业外语成绩等；
    （5）其他材料：如已发表论文、各类获奖或资格证书等。</t>
  </si>
  <si>
    <t>本科综合成绩排名全年级同专业前30%</t>
  </si>
  <si>
    <t>1. 7月4 日：广州市外营员可以入住酒店；
2. 7月5 日：9:00前全体营员报到，举办开营仪式、学术报告；
3. 7月5-6日：参观导师科研平台、师生学术交流等；
4. 7月6日：17:00闭幕、离营。</t>
  </si>
  <si>
    <t>2025.5.29-6.16</t>
  </si>
  <si>
    <t>2025.7.4-7.6</t>
  </si>
  <si>
    <t>1. 中山大学中山医学院2025年优秀大学生夏令营申请表（附件2）；
2. 本科阶段成绩单及同年级总成绩排名原件（由教务部门或院系盖章）；
3. 学生证复印件；
4. 二代居民身份证复印件，正反面复印在同一张A4纸内；
5. 代表性获奖证书及学术成果。</t>
  </si>
  <si>
    <t>将为营员提供伙食、住宿（广州本地高校营员只提供伙食）；交通费用由营员自理。</t>
  </si>
  <si>
    <t>全国重点高校，综合成绩排名前20%。有突出表现者排名要求可适当放宽</t>
  </si>
  <si>
    <t>2025.6.5 8：00-6.20 22：00</t>
  </si>
  <si>
    <t>2025.7.10-7.11</t>
  </si>
  <si>
    <t>1.个人简历(按A4排版不超过一页);
2.学生证及身份证复印件;
3.截至目前本科阶段成绩单，须由学校教务部门加盖公章;
4.校级及以上竞赛获奖证书，发表的学术论文，在科研、社会实践及组织才能等方面取得的优异成果相关证明材料复印件;
5.外语水平证明材料(如大学英语四、六级成绩、TOEFL、IELTS、GRE成绩等)。</t>
  </si>
  <si>
    <t>本科期间学习成绩排名在专业前25%，科研特别优秀的可适当放宽；</t>
  </si>
  <si>
    <t>通过四六级考试</t>
  </si>
  <si>
    <t>1. 学院负责人及各研究所（中心）负责人介绍学科发展现状、科学研究成果，师资队伍、科研创新实验平台等；
2. 进行各研究所（中心）实验室参观；
3. 与生命学院各研究所（中心）专家、教授进行交流、座谈；
4. 学院组织专家对参加夏令营营员进行综合能力考核；
考核内容：个人基本情况、专业知识、科研创新能力、外语能力、综合素质等，专家们将用英文提问，同学们可提前做好充分准备。
5. 具体活动内容、面试时间、地点入营后通知</t>
  </si>
  <si>
    <t>2025.6.3-6.17</t>
  </si>
  <si>
    <t>2025.7.5-7.6</t>
  </si>
  <si>
    <t>（1） 《西安交通大学生命科学与技术学院研究生优才夏令营申请表》（需签字盖章）；
（2） 大学期间成绩单备注专业排名（需教务部门盖章）；
（3） 英语四、六级成绩单（扫描件）或其他英语考试成绩证明：如托福，雅思，中、高级口译证书等（扫描件）；
（4） 学生证、身份证（正反面，扫描件）；
（5） 其他证明材料（如已发表论文的复印件、奖状复印件、各类证书等）。</t>
  </si>
  <si>
    <t>（1）药学院各学科、实验室介绍；（2）学术讲座；（3）师生交流，课题内容、学科发展前沿。</t>
  </si>
  <si>
    <t>2025.5.29-6.16 17：00</t>
  </si>
  <si>
    <t>2025.7.12-7.13</t>
  </si>
  <si>
    <t>（一）《青岛大学药学院2025年暑期优秀大学生夏令营申请表》1份（见附件1）；
（二）个人简历1份；
（三）本科阶段成绩单1份，须加盖院系或学校教务处公章；
（四）国家英语四、六级考试成绩或体现相当英语水平的证明1份；
（五）有条件的可提供获奖及各类证书扫描文件各1份；
（六）有条件的可提供体现自身学术水平的代表性论文、出版物或原创性工作成果(如专利、发明、制作、软件等)；
（七）有条件的可提供院系或导师推荐意见（见附件2）</t>
  </si>
  <si>
    <t>本次夏令营不收取任何费用，往返交通和住宿费由学员承担，学院为营员提供活动期间的餐券。如果一志愿报考药学院被成功录取，入学报到后学院将给予每人2000元的补助奖励。</t>
  </si>
  <si>
    <t>第一天（7月4日）：下午(13:00-18:00) 学员报到登记，安排住宿（校区待定），熟悉校园。第二天（7月5日）：开营仪式，教授讲座，面试及导师交流。第三天（7月6日）上午：参观实验室，颁发优秀学员证书，闭营离校。第三天（7月6日）下午及第四天（7月7日）：如参加浙江大学与军事科学院的联培项目，7月6日午餐后统一乘坐大巴前往军科院嘉兴南湖实验室，7月7日全天参加军科院嘉兴南湖实验室夏令营活动，活动结束后自行离开。</t>
  </si>
  <si>
    <t>2025.5.29 15:00-6.19 15:00</t>
  </si>
  <si>
    <t>（1）个人身份证（正反面）；（2）本科成绩单（须加盖学校教务处或院系公章）;（3）总评成绩排名证明（应包含所学专业同年级人数，须加盖学校教务处或院系公章）；（4）外语水平证明材料：CET-6、雅思、托福、专业外语成绩等；（5）其他材料：如已发表论文、各类获奖或资格证书等。</t>
  </si>
  <si>
    <t>1．参加夏令营的营员统一由我院安排食宿，包括7月4、5日两晚住宿（暂定为校内住宿，洗漱用品需自备），费用由我院承担。2．营员请自行预定往返车票，外地学生来校交通费可由我院部分报销（上限不超过500元，限汽车或火车硬席、动车/高铁二等座），入营报到时须提供纸质车票进行报销。本次夏令营返程车票（标准同来校车票）可在9月份参加我院推免复试时提供纸质车票进行报销。3.  如报名参加7月6下午-7月7日的军科院联培项目夏令营，去嘉兴的大巴及食宿统一由军科院安排，包括7月6日一晚住宿，费用由军科院承担。</t>
  </si>
  <si>
    <t>北京医院国家老年医学中心</t>
  </si>
  <si>
    <t>2025.5.31-6.15</t>
  </si>
  <si>
    <t>学业成绩优秀，前三年成绩总体排名在本专业25%以内，或平均成绩在85分（含）以上；在科研创新方面有突出表现的学生优先入营；</t>
  </si>
  <si>
    <t>2025.6.3-6.25</t>
  </si>
  <si>
    <t>2025.7.8-7.9</t>
  </si>
  <si>
    <t>1.照片（证件照）；
2.有效居民身份证扫描件；
3.学校主管部门开具、盖章的在读证明或有相应注册章的学生证扫描件；
4.本科历年成绩单，须加盖申请人所在学校教务部门或学院公章；
5.外语水平成绩证明件：国家英语四、六级考试成绩，或TOEFL成绩、GRE/GMAT成绩等体现自身英语水平的证明；
6.代表性获奖证书；
7.代表性科技成果（论文/著作的封面、封底、目录、正文首尾页，知识产权请提供公告书）。</t>
  </si>
  <si>
    <t>本次夏令营活动不收取任何费用；我院为正式入选并参加本次夏令营的全部营员免费提供夏令营期间的食宿（7月8日上午报到，下午开营，住8日晚一天，9日下午结营离校）。</t>
  </si>
  <si>
    <t>学习成绩优异，本科前三年（或前五学期）总评成绩排名在专业前30%。</t>
  </si>
  <si>
    <t>英语水平良好，全国大学英语六级成绩≥425分或TOEFL≥90分或IELTS≥6.0分。</t>
  </si>
  <si>
    <t>2025.5.30-6.20</t>
  </si>
  <si>
    <t>1.上海交通大学药学院研究生优才夏令营活动申请表（点击下载：上海交通大学药学院研究生优才夏令营申请表；打印后需签字盖章扫描上传）
2.居民二代身份证（正反面扫描件）
3.学生证（扫描件）
4.教育部学籍在线验证报告（登录学信网：http://www.chsi.com.cn/进入“学信档案”在线申请学籍验证）
5.本科阶段成绩单并加盖所在学校或学院教务部门公章，成绩单上应标明专业排名，若排名证明单独开具，请加盖学校或学院公章（扫描件）
6.外语水平证明材料（如英语六级、托福、雅思等成绩单原件扫描件）
7.个人简历
8.其他材料（如已发表的论文或专利、与科研相关的获奖证书等原件扫描件，请合并成一个PDF文件上传，非必须项）
9.博士阶段研究计划书（仅申请推免直博生需填写）。</t>
  </si>
  <si>
    <t>本科阶段总成绩排名原则上在所读学校同年级本专业前20%，能获得推免资格的学生</t>
  </si>
  <si>
    <t>2025.5.30-2025.。6.18</t>
  </si>
  <si>
    <t>2025.7.3-7.6</t>
  </si>
  <si>
    <t>1.中山大学护理学院优秀大学生夏令营申请表（见附件）请帖好1寸证件照，无底色要求，签名并加盖公章；
2.本科阶段成绩单及同年级总成绩排名原件（如成绩单无显示排名，须另附专业排名证明，加盖学校教务部门盖章）；
3.英语水平证明材料原件，如CET四级、CET六级、雅思、托福、专业外语成绩等；
4.其他证明材料原件：如代表性学术论文（首页-即题目、摘要、作者所在页）、其他原创性工作成果、获奖证书等；
5.身份证正反面复印到一张A4纸的复印件；</t>
  </si>
  <si>
    <t>负责所有营员在营期间的早午餐及住宿费用（不安排广州本地学校学生的住宿）。往返交通费用由营员自理。</t>
  </si>
  <si>
    <t>六级成绩≥425分或新TOEFL≥90分或IELTS≥6.0）</t>
  </si>
  <si>
    <t>2025.5.30-7.3上午10：00</t>
  </si>
  <si>
    <t>2025.7.15-2025.7.17</t>
  </si>
  <si>
    <t>1.  在我校研究生院招生网----管理信息系统登录----考生登录---- 点击：“夏令营考生登录”，进入报名系统。 报名时间为即日起-2025年7月3日上午10:00，（网址：http://ga.sjtu.edu.cn/zsgl/xlygl/default.aspx）
2.  通过上海交通大学研究生招生报考系统，提交以下材料（不需要邮寄纸质材料或发送电子版材料）。
（1）《上海交通大学生物医学工程学院（含Med-X研究院）研究生优才夏令营申请表》（需签字盖章）；
（2）大学期间成绩单（需教务部门盖章）；
（3）英语六级成绩单（扫描件）或其他英语考试成绩证明：如托福，雅思，中、高级口译证书等（扫描件）；
（4）学生证、身份证（正反面、扫描件）；
（5）其他证明材料（如已发表论文的扫描件、奖状扫描件、各类证书等）。</t>
  </si>
  <si>
    <t>统一安排住宿</t>
  </si>
  <si>
    <t>“优秀营员”若获得推免资格并申请我院，学院将根据接受规模从高分到低分录取，额满为止，申请直博生优先。</t>
  </si>
  <si>
    <t>直博生:CET6≥430；硕士生：CET4≥450</t>
  </si>
  <si>
    <t>2025.5.29-2025.6.12</t>
  </si>
  <si>
    <t>1、扫描二维码填写《报名信息表》；
2、填写《药生所2025年优秀大学生意向报考申请表》（附件1：药生所2025年优秀大学生意向报考申请表）；
3、学生证、成绩单（须加盖院系教务部门公章）；
4、相关获奖证书和英语水平证书；
5、院系教务部门出具的成绩综合排名证明（提供本人排名/专业总人数）和绩点排名证明（需签字加盖院系教务部门公章）；
6、代表性论文、出版物或其他学术成果可作为申请材料提交（自愿提供）；
7、专家推荐信1-2封，需副教授及以上职称专家推荐（自愿提供）；</t>
  </si>
  <si>
    <t>医学院神经科学（宣讲会）</t>
  </si>
  <si>
    <t>预计6月上旬</t>
  </si>
  <si>
    <t>就读普通班前三年总评成绩专业排名前30%，或就读拔尖人才班</t>
  </si>
  <si>
    <t>详看各分营通知</t>
  </si>
  <si>
    <t>1. 两封推荐信（推荐信格式请见报名网站下载），并且至少一封推荐信的推荐人职称为副高或副高以上（副高指副教授和副研究员）（必须提供）
2. 本科成绩单（教务部门盖章）（必须提供）
3. 本科成绩排名证明（教务部门盖章）（必须提供）
4．英语六级成绩单或其他英语考试成绩证明：如托福，雅思，中、高级口译证书等（必须提供）
5．学生证（必须提供）
6. 身份证（必须提供）
7. 学籍认证报告（必须提供）
申请人需登录高等教育学生信息咨询网www.chsi.com.cn，进入“学籍查询--学信档案”在线申请学籍验证，打印下载本人的学籍认证报告。如不成功可根据要求申请书面认证，获得“学籍认证报告”。
8. 所获奖励证书 （非必须）
9. 参与科研课题材料或发表文章（非必须）
10. 其他申请人想提供的材料（非必须）</t>
  </si>
  <si>
    <t>深圳湾实验室</t>
  </si>
  <si>
    <t>英语水平优秀，原则上须符合以4、下条件之一:
(1)大学英语六级成绩达到460分及以上;
(2)托福(TOEFL)成绩达到90分及以上;
(3)雅思(IELTS)成绩达到6.0及以上;
(4)入学前参加境外全英文授课学位项目学习并获得学位;
注:获中外合作办学项目兼得的境外高校学位的须另外提供英语成绩(托福/雅思等)</t>
  </si>
  <si>
    <t>2025.5.29-7.10上午12时</t>
  </si>
  <si>
    <t>预计2025.7.24-7.26</t>
  </si>
  <si>
    <t>约150人</t>
  </si>
  <si>
    <t>线上报名表：https://www.wjx.cn/vm/moT23qi.aspx请扫描二维码报名2、个人陈述：中英文均可（须用模板填写）；请扫描二维码下载模板（中文）请扫描二维码下载模板（英文）3、有效身份证明：申请人须提供有效中华人民共和国居民身份证，正反面复印在一页；4、在读证明（应届生）：须加盖学校教学管理部门或院系公章及《教育部学籍在线验证报告》；境外在读的学生需提供就读学校出具的在读证明（写明预计获得学位时间）；5、学历学位证明（往届生）：学位证书，学历证书和学信网《教育部学历证书电子注册备案表》。持国（境）外教育机构学历者，须提交由教育部留学服务中心出具的《国（境）外学历学位认证书》；6、成绩单：应届本科生提供本科阶段在校学习成绩单、前两年半或前三年的成绩排名证明（由学校教学管理部门或院系盖章）；往届本科生，应届/往届硕士生提供历年在校学习成绩单（本科及硕士阶段，由学校教学管理部门或院系盖章）；7、英语水平证明：全国大学英语六级、托福或雅思等成绩单；以攻读全英文授课学位作为英语水平条件者，若就读学校所在国家的官方语言或母语不是英语，须提供全英文授课证明（注：中外合作办学项目须另外提交英语成绩证明）；8、专家推荐信：至少2位与申请方向相关的职称为教授（或相当专业技术职称的专家）或博士生导师出具的推荐信；9、学术科研成果：如有在核心刊物或会议上发表学术论文、出版物或取得具有学术水平的工作成果，请提交接收函或证明文件，发表文章仅需提供首页，如要提供学位论文仅需提供题目和中文摘要；10、其他获奖证明：如在学期间参加课外科技活动中有获奖或突出表现，请提交由学校教学管理部门出具并加盖公章的证明材料。</t>
  </si>
  <si>
    <t>此次夏令营活动不收取任何费用，活动期间提供免费食宿。营员请自行预定往返车票，外地(非深圳本地)学生来深交通费可部分报销(上限不超过800元，限汽车或火车硬席、动车/高铁二等座、飞机经济舱)。入营报到时须提供纸质车票进行报销，夏令营期间中途退出者需自行承担相关费用。</t>
  </si>
  <si>
    <t>合成生物学研究所</t>
  </si>
  <si>
    <t>2025.5.30-2025.6.25</t>
  </si>
  <si>
    <t>2025.7.14-7.18</t>
  </si>
  <si>
    <t>请提前准备好以下材料PDF电子版:
1.中国科学院2025年大学生夏令营申请表(系统报名提交申请后下载打印并签字);
2.本科前三年(五年制为本科前四年)成绩单和专业排名证明(需加盖教务处公章);
3.相关英文能力证明(大学英语四、六级，雅思，托福与GRE等相关英文能力证明);
4.学生证和身份证(彩色扫描件);
5.其他证明材料(高亮本人姓名。如已发表论文、市级以上证书奖状，较厚的论文或出版物提供论文首页或出版物摘要即可)
以上材料请按顺序整合成一个PDF文件内，命名为:姓名+专业+学校+合成所，并发送至：hcs.edu@siat.ac.cn。PDF大小不超过100MB)</t>
  </si>
  <si>
    <t>主办方将承担夏令营期间营员的食宿、保险及文化衫等有关开销，不会对营员收取任何费用。营员报到当天可出示相关凭证，主办方将提供一定额度的交通补助(凭票报销，具体说明待后续通知)</t>
  </si>
  <si>
    <t>SIGS生物医药与健康工程研究所</t>
  </si>
  <si>
    <t>2025年6月1日8：00-2025年6月20日17：00</t>
  </si>
  <si>
    <t>2025年7月1日-7月2日</t>
  </si>
  <si>
    <t>1、报名问卷在线填写;
2、有效身份证明(二代居民身份证)
3、在学证明(学生证);
4、外语水平证明(不限于雅思、托福英语四六级等成绩单证明材料);
5、成绩单及排名证明:前5学期的各科成绩单与前5学期的年级总评成绩排名(需盖学校或院系教务部门公章);
6、个人简历(不超过2页);
7、其它材料:包括获奖证书复印件(学术类相关奖项)，能体现自身学术水平的学术论文、出版物等。</t>
  </si>
  <si>
    <t>本次夏令营不收取任何费用，入选营员交通和食宿自理，夏令营结束后生物医药与健康工程研究院将提供活动补贴300元/人(包含交通与住宿补贴)</t>
  </si>
  <si>
    <t>Bio-X研究院</t>
  </si>
  <si>
    <t>2025年7月7-8日：实验室介绍，与感兴趣的课题组交流；2025年7月9日：夏令营活动总结，自主招生面试等。</t>
  </si>
  <si>
    <t>2025.6.1-2025.6.20</t>
  </si>
  <si>
    <t>2025.7.7-2025.7.9</t>
  </si>
  <si>
    <t>1. 两封推荐信（推荐信格式请见报名网站下载），并且至少一封推荐信的推荐人职称为副高或副高以上（副高指副教授和副研究员）（必须提供）
2. 本科成绩单（教务部门盖章）
（必须提供）
3. 本科成绩排名证明（教务部门盖章）（必须提供）
4. 英语六级成绩单或其他英语考试成绩证明：如托福，雅思，中、高级口译证书等（必须提供）
5. 学生证（必须提供）
6. 身份证（必须提供）
7. 学籍认证报告（必须提供）
申请人需登录高等教育学生信息咨询网www.chsi.com.cn，进入“学籍查询--学信档案”在线申请学籍验证，打印下载本人的学籍认证报告。
如不成功可根据要求申请书面认证，获得“学籍认证报告”。
8. 所获奖励证书（非必须）
9. 参与科研课题材料或发表文章（非必须）
10. 其他申请人想提供的材料（非必须）</t>
  </si>
  <si>
    <t>符合以下条件之一：全国大学英语四级≥425分；六级≥425分；雅思≥5.5分；托福≥80分；GRE≥1300（新标准≥262）；GMAT≥640分；WSK（PETS5）≥55分；曾在教育部指定出国留学人员培训部参加相应语种培训并获结业证书（高级班）； 英语专业四级或八级≥60分；在国外留学满一年（12个月</t>
  </si>
  <si>
    <t>7月4日（周五） 报到
7月5日（周六） 开营仪式、学院介绍、师生交流、学院参观
7月6日（周日） 优秀营员选拔</t>
  </si>
  <si>
    <t>2025.5.29-2025.6.20</t>
  </si>
  <si>
    <t>2025.7.4-2025.7.6</t>
  </si>
  <si>
    <t>① 《海南大学2025年全国优秀大学生暑期夏令营申请表》（本人签名，本科院校相关负责人签字、盖公章）。（下载附件1）
② 海南大学2025年优秀大学生夏令营个人陈述（本人签名）。（下载附件2）
③ 诚信参加夏令营选拔考核承诺书（本人签名）。（下载附件3）
④ 本科现阶段成绩单（加盖教务处公章）。
⑤ 英语水平证明。
⑥ 专业排名证明。
⑦ 个人身份证明（身份证正/反面、学生证里/外面）
⑧ 其他能力证明材料：个人获奖证书、已发表论文等。
⑨ 请将上述材料电子版（彩色扫描件）按以上顺序整合成一个PDF文件，文件名为“姓名+本科院校名称+学科”，邮件主题同文件名。</t>
  </si>
  <si>
    <t>差旅报销上限1500元，食宿学院负责</t>
  </si>
  <si>
    <t>全国大学英语六级≥460 或托福≥ 80 或雅思≥5.5 或 WSK（PETS 5）合格或英语专业八级合格或英语国家获得过学士及以上学位。</t>
  </si>
  <si>
    <t>开营仪式、学科介绍、名师讲座、优秀学长交流、校园文化之旅、科研能力及综合素质测评等</t>
  </si>
  <si>
    <t>即日起至2025年6月17日截止</t>
  </si>
  <si>
    <t>130名左右</t>
  </si>
  <si>
    <t>1. 《生命科学学院2025年全国优秀大学生夏令营活动申请表.docx》1份；2. 身份证正反扫描件1份；3. 个人简历1份；4. 本科成绩单1份及总成绩排名1份（须加盖院系或学校教务处公章）；5. 英语六级或GRE或托福或雅思等外语成绩证书扫描件1份；6. 3000字以内关于个人学习、学术研究经历及未来规划的陈述；7. 其他获奖证明材料。</t>
  </si>
  <si>
    <t>本科前三年(或前5学期)总评成绩排名在本学院或专业前20%之内，或具有2025年推荐免试研究生资格</t>
  </si>
  <si>
    <t>英语达到国家四级及以上水平(总分&gt;450分);或提供相应水平的TOEFL、雅思GMAT、GRE等成绩:</t>
  </si>
  <si>
    <t>开营及闭营仪式、前沿学术讲座、优秀学子交流会、导师见面会、优秀营员评选、其他活动
参观等</t>
  </si>
  <si>
    <t>2025年6月3日-2025年6月23日</t>
  </si>
  <si>
    <t xml:space="preserve"> 7月9日—12日</t>
  </si>
  <si>
    <t>(1)中国科学院大2025年夏令营申请表(报名系统生成，最后一页须本人签字)
(2)本科成绩单和专业排名证明(需加盖教务处或学院公章)
(3)相关英文水平证明:英语四/六级成绩单雅思成绩单等;(请自行拼接，该项内容不得超
过2页)
(4)获奖证书及科研成果:包括已发表论文或
出版物复印件、各类奖励证书复印件(请自行拼接，该项内容不得超过4页)
(5)学生证和身份证复印件(按照原比例大小切勿改动，拼接在一页内)
(6)认为能体现个人思想态度和科研潜力的其他材料，如推荐信等(非必须材料)。</t>
  </si>
  <si>
    <t>1.活动期间，我单位为入选学生提供食宿，不收
学费。
2.学院为所有入选学生报销由学校所在地或者家
庭住址至北京各大交通枢纽的单程高铁、动车交
通费用(不报销前往第三方的车费、出租车费用
等)。夏令营期间表现优秀并通过推免录取到生
命学院的营员报销往返费用。</t>
  </si>
  <si>
    <t>中国疾病预防控制中心职业卫生与中毒控制所</t>
  </si>
  <si>
    <t>学习成绩优秀，“双一流”高校学生截至目前总评成绩在本专业排名前50%、“所在学科教育部第四轮学科评估B+及以上”高校学生截至目前总评成绩在本专业排名前20%、普通类高校学生截至目前总评成绩在本专业排名前5%优先；</t>
  </si>
  <si>
    <t>英语水平良好，最低需要达到全国大学英语六级（430分以上）</t>
  </si>
  <si>
    <t>活动采用参观、专家讲座、师生交流和招生咨询等多种形式开展（具体活动安排及日程以入选后正式通知为准）</t>
  </si>
  <si>
    <t>即日起至2025年6月27日</t>
  </si>
  <si>
    <t>2025年7月上旬或中旬</t>
  </si>
  <si>
    <t>约20名</t>
  </si>
  <si>
    <t>（一）《职业卫生所2025年大学生暑期夏令营报名申请表》（点击附件1下载，加盖公章提交扫描件）；
（二）本人有效期内的身份证与学生证原件扫描件；
（三）加盖院系教务部门公章的本科成绩单扫描件；
（四）外语水平证明原件扫描件，如CET-6、雅思、托福、专业外语成绩等；
（五）其他可证明培养潜力和能力的材料扫描件：如在学术期刊上发表的文章、出版物或其他学术作品、专利、各类获奖证书等。</t>
  </si>
  <si>
    <t>（一）本次夏令营将根据营员表现评选出优秀营员，颁发优秀营员证书。优秀营员在推免复试时优先录取；
（二）夏令营期间提供免费食宿，交通费用自理。正式录取为职业卫生所研究生后（推免生以通过推免系统完成拟录取为准，统考生以一志愿复试录取为准）凭票据报销往返路费（高铁或动车二等座、普通列车硬座或硬卧、飞机经济舱）；
（三）职业卫生所为营员统一购买活动期间的团体意外保险。</t>
  </si>
  <si>
    <t>中国科学院深圳先进技术研究院生物医学与健康工程研究所</t>
  </si>
  <si>
    <t>学习成绩优秀(本科前三学年学习成绩专业排名前30%)</t>
  </si>
  <si>
    <t>开展学术交流、导师沙龙、实验室参观、师生面对面畅谈、师兄师姐茶话会等活动。</t>
  </si>
  <si>
    <t>即日起至2025年6月25日</t>
  </si>
  <si>
    <t>2025年7月14日-18日</t>
  </si>
  <si>
    <t>1.中国科学院深圳先进院2025年夏令营申请表，需网上报名后下载
2.本科前三年(五年制为本科前四年)成绩单和专
业排名证明，需加盖教务处公章
3.相关英文能力证明(包括大学英语四、六级;雅
思;托福或 GRE 等)
4.学生证和身份证复印件:
5.推免资格证明(如有请提供)
6.专家推荐信(如有请提供)
7.其他证明材料(高亮本人姓名。如已发表论文
市级以上证书奖状、较厚的论文或出版物提供论文首页或出版物摘要即可)</t>
  </si>
  <si>
    <t>医工所将提供免费食宿、文化衫、周边礼包等，报销从学校/家庭所在地至深圳的单程交通费用(按火车(汽车)硬座或硬卧或动车二等座标准)</t>
  </si>
  <si>
    <t>来自“双一流”学科或学校，本科总评成绩排名年级前 20%，或其他高校特别优秀、能获得推免资格的学生</t>
  </si>
  <si>
    <t>具有良好听、说、读、写的英语应用能力，英语六级成绩应达到 426 分及以上</t>
  </si>
  <si>
    <t>2025年7月7日-8日</t>
  </si>
  <si>
    <t>1. 中山大学药学院暑期研究生教育教学活动申请表； 2. 本科阶段成绩单及同年级总成绩排名（由教务部门或院系盖章）； 3. 体现自身英语水平的证明以及其他证明材料（如体现自身学术水平的代表性学术论文或其他原创性工作成果复 印件、获奖证书复印件等）； 4. 身份证及学生证复印件各一份。 请将以上申请材料电子版或扫描件生成PDF文件放进文件夹（每份扫描件须命名、写上序号，例：1.本科成绩单），然后以压缩包文件夹上传（备注：不按照规定命名的文件视为无效文件处理）。</t>
  </si>
  <si>
    <t>活动期间不组织线下面试及优秀营员评选，入营学员统一参加9月份校内外推免生面试。</t>
  </si>
  <si>
    <t>动物医学与生物安全学院</t>
  </si>
  <si>
    <t>学习成绩优秀、年级排名在前30%理科基地学生前60%)，专业基础课无补考记录。</t>
  </si>
  <si>
    <t>已通过全国大学生英语四级(CET)考试</t>
  </si>
  <si>
    <t>参观校史馆、电镜中心、动物疫病防控全国重点实验室、高级别动物生物安全实验室等;学院知名教授主讲学术报告，并进行学术研讨</t>
  </si>
  <si>
    <t>2025年7月1日-7月3日</t>
  </si>
  <si>
    <t>20-25人左右</t>
  </si>
  <si>
    <t>1.兰州大学动物医学与生物安全学院2025年优秀大学生夏令营申请表(附件1);
2.专家亲笔签名推荐信两封(附件2，推荐人为副高级职称及以上专家)
3.本人本科学习阶段的成绩单扫描件(须加盖院系或学校教务部门公章);
4.身份证、学生证复印件
5.个人简历;
6.英语四、六级成绩单复印件扫描件（可选)
7.获奖证书扫描件(可选)
8.已发表论文或接受函扫描件(可选)</t>
  </si>
  <si>
    <t>营员从学校往返兰州的交通费(含高铁二等座、动车二等座、硬卧、硬座，请保存好纸质车票)，在兰州期间的人身保险费(保险期为报到后至闭营)、住宿费、餐费由兰州大学承担。住宿提供双人标间，原则上要求双人入住。主办方不提供订票服务请自行提前预订往返车票</t>
  </si>
  <si>
    <t>学习成绩优秀，且有志于第一志愿报考吉林大学生命科学学院的2026届本科毕业生</t>
  </si>
  <si>
    <t>英语水平良好，应通过大学英语四级考试或达到同等英语水平</t>
  </si>
  <si>
    <t>即日起至2025年6月20日16：00</t>
  </si>
  <si>
    <t>2025年7月4日-7月6日</t>
  </si>
  <si>
    <t>校园学术活动开放日申请表（系统生成）、成绩单及排名证明扫描件、英语四、六级证书扫描件及其他证明材料、专家推荐信1封</t>
  </si>
  <si>
    <t>吉林大学生命科学学院为外地学生提供免费食宿，长春市本地学生不安排住宿，提供餐食和其他物品。学生路费自理，如录取为我院2026年“推免生”，可按硬卧或高铁2等车厢及以下标准凭据实额报销学生高校（或家庭）所在地到长春往返路费，请务必保留好火车票或航空运输电子客票行程单原件</t>
  </si>
  <si>
    <t>学习成绩优秀，本科期间综合成绩年级排名原则上要求为：“双一流”建设高校年级成绩排名前30%者，行业特色院校成绩排名前10%者</t>
  </si>
  <si>
    <t>参观医院、学科介绍、科室参观、营员自我介绍、导师见面与交流</t>
  </si>
  <si>
    <t>2025年6月6日到2025年6月19日24：00</t>
  </si>
  <si>
    <t>2025年7月8日-7月10日</t>
  </si>
  <si>
    <t>1、申请表（报名成功后由系统自动生成，下载后经所在单位推荐盖章后再上传至系统）；
2、本科成绩单和专业排名证明（各1份；需加盖所在学院或学校教务处公章）；
3、相关英语成绩、荣誉、比赛竞赛获奖证书复印件、学术成果复印件等。</t>
  </si>
  <si>
    <t>营员（非成都本地高校）统一由我院安排住宿，费用由我院承担</t>
  </si>
  <si>
    <t>综合素质突出，本科前四年综合成绩排名前20%；或在其他方面有突出表现，如有较强的研究与创新能力、有较为出色的学术成果等</t>
  </si>
  <si>
    <t>1、学院内知名教授和近年国外引进青年教授开设学科前沿讲座。
2、现场面试，与专家交流互动。
3、团建活动，结识同龄优秀学子。</t>
  </si>
  <si>
    <t>2025年6月6日-2025年6月16日</t>
  </si>
  <si>
    <t>（1）个人身份证（正反面）；
（2）本科成绩单（须加盖学校教务处或院系公章）；
（3）总评成绩排名证明（应包含所学专业同年级人数，须加盖学校教务处或院系公章）；
（4）外语水平证明材料：CET-6、雅思、托福、专业外语成绩等；
（5）其他材料：如已发表论文（附论文全文及图书馆开具的检索证明）、各类获奖或资格证书等。</t>
  </si>
  <si>
    <t>妇产科学院</t>
  </si>
  <si>
    <t>本次夏令营将邀请妇产科学院优秀教师同营员进行面对面交流，增加大家对我院的了解，同时选拔优秀营员。拟面向全国院校(包括本校)招收营员，活动内容包括学院介绍、学科介绍、名师讲座、师生交流等。</t>
  </si>
  <si>
    <t>即日起至2025年6月20日12:00</t>
  </si>
  <si>
    <t>1. 个人身份证(正反面);2. 本科成绩单(须加盖学校教务处或院系公章);3. 总评成绩排名证明(应包含所学专业同年级人数，须加盖学校教务处或院系公章);4. 外语水平证明材料:CET-6、雅思、托福、专业外语成绩等;5. 其他材料:如已发表论文、各类获奖或资格证书等。</t>
  </si>
  <si>
    <t>学习成绩优秀，获得所在高校推荐免试生资格或即将获得推免资格</t>
  </si>
  <si>
    <t>7月8日下午：营员报到，签到； 7月9日上午：开营仪式、导师讲座； 7月9日下午-7月10日：导师与营员交流、面试、实验室参观、校园参观； 7月10日下午：签退、办理离营。</t>
  </si>
  <si>
    <t>即日起至2025年6月23日9：00</t>
  </si>
  <si>
    <t>2025年7月8日-10日</t>
  </si>
  <si>
    <t>1、《中山大学医学院2025年夏令营活动申请表》（附件1），请贴好一寸证件照，无底色要求（需签字并由教务部门或院系盖章）；
2、本科阶段成绩单及同年级总成绩排名（由教务部门或院系盖章）；
3、 个人简历；
4、相关证明材料：英语水平证书、获奖证书、论文、专利等科研成果复印件等；
5、学生证复印件；
6、身份证正反面复印件；
7、学信网《教育部学籍在线验证报告》。</t>
  </si>
  <si>
    <t>应为2025年9月进入最后一学年学习的本科生，学习成绩优异(本科综合成绩排名全年级同专业前30%，已获得或将获得所读大学免试推荐研究生资格者优先考虑)</t>
  </si>
  <si>
    <t>即日起至2025年6月9日</t>
  </si>
  <si>
    <t>2025年7月17日-20日</t>
  </si>
  <si>
    <t>(1)学生简历，简历限2页以内(一张A4纸可打印)简历可包含科研成果、竞赛获奖社会服务等
(2)《教育部学籍在线验证报告》，办理方式详见中国高等教育学生信息网http://www.chsi.com.cn/xlcx/bgys.jsp.
(3)本科阶段学习成绩单原件或复印件(原件应加盖学校教务管理部门公章，复印件须有“原件复印”并加盖单位公章);本科同年级专业总成绩排名证明1份(须由学校教务部门盖章)
(4)英语六级考试成绩证明
(5)身份证原件正反面扫描，须将正反面复印在A4纸的同一面上。如果身份证丢失，可以用临时身份证在有效期内)或户籍所在地派出所开具的户籍证明(贴有本人近期一寸免冠照片，盖骑缝章)，曾经更改过姓名或身份证号的考生，需提供户口本或公安局开具的证明。
(6)学生证第一页和第二页(能显示学校专业等信息)扫描到同一页面</t>
  </si>
  <si>
    <t>护理系</t>
  </si>
  <si>
    <t>即日起至2025年6月22日</t>
  </si>
  <si>
    <t>(1)个人身份证(正反面)；(2)学生证首页；(3)本科阶段成绩单(须加盖学校教务处或院系公章)；(4)总评成绩排名证明(专业成绩排名和综合成绩排名，应包含所学专业同年级人数，须加盖学校教务处或院系公章);(5)外语水平证明材料:CET-6、雅思、托福、专业外语成绩等;(6)其他材料:如已发表的论文、专利、各类获奖或资格证书等。</t>
  </si>
  <si>
    <t>1. 参加夏令营的营员住宿自行安排；2. 交通费:营员请自行预定往返车票，我系负责报销外地学生的往返汽车或火车硬席、动车/高铁二等座额度的交通费(交通费报销上限不超过 500元)，报销时须提供往返车票；3. 活动当天免费提供午餐和相关资料。</t>
  </si>
  <si>
    <t>推免直博生（CET-6）430分及以上，推免硕士生（CET-4）450分及以上</t>
  </si>
  <si>
    <t>线下营员60名，线上营员300名</t>
  </si>
  <si>
    <t>2025年6月3日-6月18日</t>
  </si>
  <si>
    <t>学习成绩优秀，本科阶段总成绩排名原则上在所读学校同年级本专业前20%:</t>
  </si>
  <si>
    <t>约120名</t>
  </si>
  <si>
    <t>7月3日-7月6日</t>
  </si>
  <si>
    <t>1、下载填写附件《中山大学公共卫生学院优秀大学生夏令营申请表》，请贴好1寸证件照(无底色要求)，签名并加盖公章:
2、本科阶段成绩单及同年级总成绩排名原件(由学院或学校教务部门盖章，如成绩单显示排名或绩点，无需另附证明文件)
3、英语水平证明材料原件，如CET四级/六级、雅思、托福、专业外语成绩等
4、其它证明材料原件:如代表性学术论文(首页-即题目、摘要、作者所在页)、其他原创性工作成果、获奖证书等
5、身份证、学生证复印件(正反面复印在一张A4纸上)</t>
  </si>
  <si>
    <t>综合素质突出，学习成绩优异，可获得推荐免试研究生资格或计划参加全国研究生招考的优秀学生</t>
  </si>
  <si>
    <t>熟练掌握英语能够提供托福、雅思、GRE或大学英语六级考试成绩单</t>
  </si>
  <si>
    <t>即日起至6月20日下午17：00</t>
  </si>
  <si>
    <t>7月3日-4日</t>
  </si>
  <si>
    <t>(1)个人身份证(正反面)(2)本科成绩单(须加盖学校教务处或院系公章):(3)总评成绩排名证明(应包含所学专业同年级人数须加盖学校教务处或院系公章):
(4)外语水平证明材料:CET-6、雅思、托福、专业外语成绩等
(5)其他材料:如已发表论文、各类获奖或资格证书</t>
  </si>
  <si>
    <t>本次夏令营活动不收取任何费用，所有营员交通费用自理，住宿费用主办方承担部分。</t>
  </si>
  <si>
    <t>开营仪式、兰州大学招生政策宣讲、学院介绍、专家讲座、优秀研究生交流、导师面对面、学生互动与风采展示、参观活动等</t>
  </si>
  <si>
    <t>2025年6月24日-6月26日</t>
  </si>
  <si>
    <t xml:space="preserve">学生证和身份证扫描件、本科成绩单与本专业排名、证明扫描件(需加盖教务处或院系公章)、外语水平证明，全国大学英语四/六级成绩单或其他同类别英语考试成绩单扫描件、其他证明材料，如已发表论文或专利扫描件、本科期间各类获奖证书扫描件
</t>
  </si>
  <si>
    <t>本科阶段的学习成绩应名列专业前茅</t>
  </si>
  <si>
    <t>期间将开展学院科研情况介绍，组织学生与导师进行线上交流，帮助有志于投身科学研究的本科三年级学生了解我院的学科发展与现状，提前感受研究生的生活。</t>
  </si>
  <si>
    <t>即日起至2025年6月17日23：00</t>
  </si>
  <si>
    <t>2025年6月29日-30日</t>
  </si>
  <si>
    <t>1、《生命科学与技术学院2025年优秀大学生夏令营申请表》1份（附表1）；
2、个人简历1份（格式自定）；
3、本科阶段前五个学期的成绩单及专业排名证明（由学校教务部门或所在院系盖红章）；
4、英语成绩证明。国家英语四级、六级考试成绩，或TOEFL/GRE/GMAT/雅思等体现自身英语水平的证明；
5、专家推荐函2份。</t>
  </si>
  <si>
    <t>1、本次夏令营无报名费，夏令营相关活动均在线上进行。
2、夏令营活动结束后，合格营员将获得我院颁发的“华中科技大学生命科学与技术学院优秀大学生暑期夏令营”活动电子版结业证书。</t>
  </si>
  <si>
    <t>综合素质突出，学习成绩优秀，本科阶段总成绩排名在所读学校同年级本专业前20%之内，能获得所在高校推荐免试生资格者优先;</t>
  </si>
  <si>
    <t>具有良好听、说、读、写的英语应用能力，达到国家英语六级426分以上或相当水
平</t>
  </si>
  <si>
    <t>开营仪式、参观活动与导师学术讲座、师生交流、营员考核</t>
  </si>
  <si>
    <t>即日起至2025年6月15日24：00</t>
  </si>
  <si>
    <t>1.协和生策学院 2025 年夏令营申请表(请下载后附模板)
2.个人陈述(包括但不限于兴趣特点、经历以及你选择协和生策学院的理由以及攻读研究生阶段的学习和研究计划等，1000字以内)，需在最后手写签名(请下载后附模板)
3.本科阶段成绩单、截至报名时间的加权成绩及专业排名(需加盖教务部门公章)
4.英语六级水平证书或雅思、托福及GRE成绩证明
5.其他证明材料(如发表论文、专利，各类获奖证书等)
6.专家推荐信2封，需副教授及以上职称专家亲笔签字
7.身份证及学生证复印件
8.声明(请下载后附模板)</t>
  </si>
  <si>
    <t>1.本次夏令营活动不收取任何费用
2.为所有京外营员提供参加夏令营的交通补
贴。</t>
  </si>
  <si>
    <t>英语水平良好，CET-6成绩425分以上或相当水平。</t>
  </si>
  <si>
    <t>我院计划在2025年7月上旬举办2025年全国优秀大学生夏今营活动，并为具有科研兴趣和培养潜质的优秀大学生提供推免攻读我校公共卫生与预防医学、公共卫生、应用统计心理学、应用心理、病原生物学等专业研究生的机会。</t>
  </si>
  <si>
    <t>(1)南方医科大学公共卫生学院优秀大学生夏令营申请表(需签字盖章);
(2)个人简历
(3)成绩单及同年级总成绩排名表原件扫描件需所在高校教务部门盖章)
(4)英语水平证明(四六级或其他(如TOEFL/ITELS)外语成绩证明)扫描件:
(5)学生证、身份证(正反面、扫描件)
(6)其他证明材料(如已发表的学术论文、获奖证书等)</t>
  </si>
  <si>
    <t>活动期间，提供餐补；外地学生将由我院统一安排住宿</t>
  </si>
  <si>
    <t>学业成绩优秀:前三年总评成绩排名前30%</t>
  </si>
  <si>
    <t>英语水平需达到:(CET6≥425 或TOEFL≥90或IELTS≥6.0）</t>
  </si>
  <si>
    <t>活动期间将有机会聆听前沿学术报告、深度参观
重点实验室、并与导师进行面对面交流。</t>
  </si>
  <si>
    <t>即日起至2025年6月23日</t>
  </si>
  <si>
    <t>7月15日至16日</t>
  </si>
  <si>
    <t>1.两封推荐信(推荐信格式请见报名网站下载)，并且至少一封推荐信的推荐人职称为副高或副高以上(副高指副教授和副研究员)(必须提供)
2.本科成绩单(教务部门盖章)(必须提供)
3.本科成绩排名证明(教务部门盖章)(必须提供)
4.英语六级成绩单或其他英语考试成绩证明:如托福，雅思，中、高级口译证书等(必须提供)
5.学生证(必须提供)
6.身份证(必须提供)
7.学籍认证报告(必须提供)
8.奖励证书(如有)
9.参与科研课题材料或发表文章(如有)</t>
  </si>
  <si>
    <t>能够获得所在学校推荐免试资格者优先</t>
  </si>
  <si>
    <t>英语水平好，具有较强的英语听说和写作能力</t>
  </si>
  <si>
    <t>专业介绍、走进学科组、优秀研究生畅谈读研体会、自由交流讨论及答疑活动</t>
  </si>
  <si>
    <t>即日起至2025年6月16日</t>
  </si>
  <si>
    <t>2025年7月1日-2日</t>
  </si>
  <si>
    <t>①居民身份证。请上传本人有效期内的居民身份证正反面，PDF格式;
②夏令营诚信承诺书。本人签名后扫描PDF格式上传;
③华东师范大学优秀大学生夏令营申请表。请下载、打印、本人签名后扫描PDF格式上传:
④个人陈述(介绍本人的外语能力、学习业绩、获奖情况、论文发表情况、专业能力倾向、研究成果、学术研究兴趣、曾参与过的科研项目、创新意识创新能力、研究生阶段的学习和研究计划、其它特长及本人认为对于申请有参考价值的内容)
⑤本科成绩单(前5期)1份;
⑥专家推荐信2封，需要副教授及以上职称专家推荐(推荐信模板，可参考:【腾讯文档】华东师范大生命科学学院全国优秀大学生夏令营推荐信模板
https://docs.qg.com/doc/DZWZYb1RXc1pqYXFS
⑦其他材料(英语等级证书、论文发表、专利发明、各类获奖或资格证书等)</t>
  </si>
  <si>
    <t>在夏令营期间，将为营员提供免费的午餐和晚餐</t>
  </si>
  <si>
    <t>福建医科大学</t>
  </si>
  <si>
    <t>在学期间成绩优秀，总成绩专业排名前20%</t>
  </si>
  <si>
    <t>英语水平良好，通过全国大学英语四级考试。</t>
  </si>
  <si>
    <t>1.7月8日上午:报到、参观校园
2.7月8日下午:学院介绍、学术讲座
3.7月9日:课题交流、课题组介绍</t>
  </si>
  <si>
    <t>2025年7月8日-9日</t>
  </si>
  <si>
    <t>申请表，并提供个人简历、身份证、学生证、在学期间成绩单、全国大学英语四级成绩单、其他获奖证书、发表论文首页或证明</t>
  </si>
  <si>
    <t>东北师范大学</t>
  </si>
  <si>
    <t>学习成绩优秀，本科前5个学期总成绩排名在本专业前20%以内</t>
  </si>
  <si>
    <t>英语水平须达到以下条件之一:
①CET-4≥425分;②CET-6≥425分;③IELTS&gt;6.0;④TOEFL&gt;85</t>
  </si>
  <si>
    <t>7月3日14:00-16:00报到
7月3日16:00-17:00开营仪式
7月4日08:30-11:30学科平台介绍
7月4日13:30-16:30学科平台介绍
7月5日09:00-11:00实践参观</t>
  </si>
  <si>
    <t>报名截止日期为2025年6月25日12：00前</t>
  </si>
  <si>
    <t>2025年7月3日-5日</t>
  </si>
  <si>
    <t>申请人自即日起至 2025年6月25日12:00前，考生登录东北师范大学研究生招生服务系统“夏令营(预推免)登录”模块(网址https://yz.nenu.edu.cn/ybm)完成注册、填报信息和上传材料。</t>
  </si>
  <si>
    <t>夏令营期间，学院为校外营员提供免费食宿，为校内营员提供免费就餐。</t>
  </si>
  <si>
    <t>慢性非传染性疾病预防控制中心</t>
  </si>
  <si>
    <t>学习成绩优秀，“双一流”高校学生截至目前总评成绩在本专业排名前50%、“所在学科教育部第四轮学科评估B+及以上”高校学生截至目前总评成绩在本专业排名前20%、普通类高校学生截至目前总评成绩在本专业排名前5%优先。</t>
  </si>
  <si>
    <t>英语水平良好，最低需要达到国家四级水平(460分以上)或六级水平(430分以上)</t>
  </si>
  <si>
    <t>活动方式以参观、专家讲座、师生交流、招生咨询等多种形式开展</t>
  </si>
  <si>
    <t>报名截止日期为2025年7月6日</t>
  </si>
  <si>
    <t>2025年7月15日-17日</t>
  </si>
  <si>
    <t>1.《中国疾控中心慢病中心2025年大学生暑期夏令营报名申请表》(点击附件1下载，加盖公章提交扫描件)
2.本人有效期内的身份证与学生证扫描件
3.本科成绩单1份，并加盖院系教务部门公章(提交扫描件)
4.外语水平证明，如CET-4、CET-6、雅思:托福、专业外语成绩等(提交扫描件);
5.其他可证明培养潜力和能力的材料:如在学术期刊上发表的文章、出版物或其他学术作品，专利，各类获奖证书等(提交扫描件)。
6.《营员诚信承诺书》(点击附件2下载，本人签字后提交扫描件)</t>
  </si>
  <si>
    <t>夏令营期间提供免费食宿，交通费用自理</t>
  </si>
  <si>
    <t>大学本科前三学年(学制四年)或前四学年(学制五年)总评成绩在专业名列
前茅。</t>
  </si>
  <si>
    <t>英语成绩要求六级达到426分或四级达到497分</t>
  </si>
  <si>
    <t>包括医学院以及各附属医院参观、名师讲堂、导师交流会、小组讨论等</t>
  </si>
  <si>
    <t>报名截止日期为2025年6月22日23：59</t>
  </si>
  <si>
    <t>2025年7月2日-4日</t>
  </si>
  <si>
    <t>(1)身份证:正反面排版在一页。
(2)学生证:须上传完整的个人信息页和注册页，如学生证不符合要求，请上传有效期内的学信网在线学籍认证报告
(3)成绩排名证明:排名证明扫描件由所在院系或教务处盖章，如不能提供，请所在院系或教务处给出不能提供成绩排名证明的签字盖章扫描件
(4)本科阶段成绩单:本科阶段成绩单指截止报名前的最新成绩单(需有所在学校教务处或院系公章，机打成绩单已有公章的不必另外加盖)
(5)外语能力证明材料:英语四级、六级成绩证明复印件、其他外语力证明材料。
(6)其他证明材料:如学术成果(包含以第一作者身份在公开发行的刊物或国内国际会议上发表的学术论文、科技专利证书等材料的扫描件，最多提交3项)、获奖证书(包含能代表自己所获荣誉的获奖证书扫描件，最多提交3项)等</t>
  </si>
  <si>
    <t>开放日期间学院将为参加的学生提供免费食宿(南京本地高校的学生原则上不提供住宿)及在我校期间相关保险，往返城际交通费需自理。</t>
  </si>
  <si>
    <t>（1）全国大学英语六级考试（CET-6）成绩480 分及以上（证书上考试时间需为2021年9月1日之后）；（2）托福（TOEFL）考试成绩 90 分及以上（有效期内）；（3）雅思（IELTS）成绩 6.0 分及以上（有效期内）；</t>
  </si>
  <si>
    <t>具体形式及日程以后续邮件通知为准</t>
  </si>
  <si>
    <t>申请截止时间：6月19日（周四）09:00前</t>
  </si>
  <si>
    <t>夏令营各项事宜如有更新将会及时公告，敬请关注浙江大学医学院网站（http://www.cmm.zju.edu.cn/2025/0529/c58749a3056627/page.htm）、浙江大学医学院官方微信号（https://mp.weixin.qq.com/s/D49vJTs2bp6TQey2o4KKvw）及营员钉钉群（待后续入营邮件通知）相关通知。</t>
  </si>
  <si>
    <t>本夏令营活动原则上只进行招生宣传，请勿轻信所谓“预录取”、“研究生录取资格”“优营直通录取”之类的邮件或电话信息，谨防被骗</t>
  </si>
  <si>
    <t>活动内容主要包括医院总体情况介绍、特色学科介绍、名师讲座、师生交流、院史馆及中心实验室参观、沉浸式技能中心参访等环节。</t>
  </si>
  <si>
    <t>报名截止时间为2025年6月22日前</t>
  </si>
  <si>
    <t>1. 本夏令营不收取任何形式费用；2. 学院将统一购买在我院线下夏令营活动期间的团体意外保险，并安排必要餐食，建议各位参与线下营员自购旅途意外保险</t>
  </si>
  <si>
    <t>【重要提醒】本群仅用于夏令营通知发放、线上直播等官方通知，请勿轻信陌生信息。我院工作人员不会以任何形式私下收费，谨防诈骗！</t>
  </si>
  <si>
    <t>学院介绍、名师讲座、实验室参观等</t>
  </si>
  <si>
    <t>报名截止时间为2025年6月20日前</t>
  </si>
  <si>
    <t>1、参加夏令营的营员统一由我院安排食宿，费用由我院承担。本次夏令营不收取任何形式费用。
2、学院将统一购买在我院夏令营活动期间的团体意外保险，各位入选营员需自购旅途意外险等保险。
3、交通费：营员请自行预定往返车票，我院负责报销外地学生的往返汽车或火车硬席、动车/高铁二等座额度的交通费（交通费报销上限不超过800元），报销时必须提供纸质车票，否则无法报销。</t>
  </si>
  <si>
    <t>本次夏令营活动原则上只进行招生宣传，不涉及“预录取”、“研究生录取资格”“优营直通录取”等。</t>
  </si>
  <si>
    <t>上午：开营仪式,教授讲座以及学生面试
下午：优秀营员选拔以及参观浙大儿院</t>
  </si>
  <si>
    <t> 1) 个人身份证（正反面）； 2) 本科成绩单（须加盖学校教务处或院系公章）； 3) 总评成绩排名证明（应包含所学专业同年级人数，须加盖学校教务处或院系公章）； 4) 外语水平证明材料：CET-6、雅思、托福、专业外语成绩等； 5) 其他材料：如已发表论文、各类获奖或资格证书等。</t>
  </si>
  <si>
    <t>请于6月22日前完成报名，逾期报名视为无效。各位同学在夏令营系统报名时请填写至具体二级招生单位。</t>
  </si>
  <si>
    <t>报名截止日期为2025年6月25日17：00</t>
  </si>
  <si>
    <t>1.近期正面免冠彩色证件照片，电子版JPG格式，150x200像素，大小500K以内，2.本科阶段现有完整成绩单及总成绩排名证明各1份(须加盖教务处或院系公章)，JPG或PDF格式。3.外语水平证明，如CET-4、CET-6、雅思、托福、专业外语成绩等4.有关获奖证书和学术科研成果，如发表论文、出版物或其他原创性工作。5.考生诚信承诺书(考生可从报考服务系统下载并签名上传)6.提供高级职称专家撰写的推荐信2封(硕士非必须，申请直博必须提供且为正高级职称专家推荐)个人简历等其他相关证明材料</t>
  </si>
  <si>
    <t>医院宣讲会、相关科室专题交流</t>
  </si>
  <si>
    <t>网上申请截止日期：7月7日</t>
  </si>
  <si>
    <t>7月28日至7月31日</t>
  </si>
  <si>
    <t>1、个人简历2、身份证扫描件（正反面复印到一页纸上扫描）3、本科阶段成绩单、成绩总评排名的证明材料扫描件（加盖教务部门公章）4、英语四、六级证书扫描件（如同时有四六级，上传六级证书扫描件即可）5、负责或参与科研项目扫描件（非必须项，最多上传2项，扫描项目名称和负责人排名页即可）6、发表文章扫描件（非必需项，最多上传2项，扫描题目和作者署名页即可）7、其它获奖证书扫描件（非必需项，最多上传三张）</t>
  </si>
  <si>
    <t>1、以上日程为拟定计划，具体安排可能会根据医院实际工作情况适当调整。2、招生宣讲活动只作医院宣讲和师生交流。3、对于入选为线下参加本次活动的广州市外高校学生，我院统一安排住宿。来回交通费、餐费请参加活动的同学自理。</t>
  </si>
  <si>
    <t>本科期间成绩年级排名原则上要求为：“双一流”建设高校年级成绩排名前30%，行业特色院校成绩排名前10%</t>
  </si>
  <si>
    <t>开营仪式、参观活动、创新论坛、分系交流活动、华西口腔前沿论坛、分系交流活动</t>
  </si>
  <si>
    <t>网上申请截止日期：2025年6月23日</t>
  </si>
  <si>
    <t>7月7日-11日</t>
  </si>
  <si>
    <t>1、申请表（报名成功后由系统自动生成，下载后经所在单位推荐盖章后再上传至系统）。2、本科成绩单和本专业学业成绩年级排名证明（各1份，院级或校级教务部门盖章均可）。3、大学英语CET-4/CET-6成绩单，TOEFL、IELTS、GRE成绩单等英语成绩证明材料。4、个人简历及相关支撑材料合成一个PDF文件，如荣誉证书、资格证明、发表论文、专利等有关能力的证明材料。</t>
  </si>
  <si>
    <t>夏令营期间食宿由我院协调安排。</t>
  </si>
  <si>
    <t>1、营员报到时需携带身份证、学生证。在营期间，营员必须遵守四川大学的相关规定，按照相应安排参加各项活动。2、请报名时正确填写所有信息，勿重复填写，任何弄虚作假、违反学术诚信行为一经发现，我院将取消其一切录取资格。3、夏令营期间食宿由我院协调安排。4、未尽事宜由华西口腔医学院招生工作领导小组负责解释。</t>
  </si>
  <si>
    <t>学业成绩优秀，预期可获得推荐免试资格</t>
  </si>
  <si>
    <t>6月11日10:00-6月22日17:00</t>
  </si>
  <si>
    <t>7月1日-7月3日</t>
  </si>
  <si>
    <t>1.近期正面免冠彩色证件照片，电子版JPG格式，150×200像素，大小500K以内。2.本科阶段现有完整成绩单（须加盖学校教务处或院系公章），JPG或PDF格式。3.外语水平证明，如CET-4、CET-6、雅思、托福、专业外语成绩等。4.有关获奖证书和学术科研成果，如发表论文、出版物或其他原创性工作。5.诚信承诺书（可从报考服务系统下载，签名后上传）。6.个人简历（一页A4纸以内）。7. 报考直博生的考生按报名系统要求提供推荐专家信息（具体根据报名系统提示进行提交）。</t>
  </si>
  <si>
    <t>英语能力原则上须不低于以下水平：国家大学英语六级成绩460分或托福成绩80分或雅思成绩5.5分。在科研方面有突出表现者可适当放宽条件</t>
  </si>
  <si>
    <t>网上申请截止日期：6月20日17:00</t>
  </si>
  <si>
    <t>1.近期正面免冠彩色证件照片，电子版JPG格式，150×200像素，大小500K以内。2.本科阶段现有完整成绩单（须加盖学校教务处或院系公章），JPG或PDF格式。3.外语水平证明，如CET-6、雅思、托福、专业外语成绩等。4.有关获奖证书和学术科研成果，如发表论文、出版物或其他原创性工作。5.诚信承诺书（可从报考服务系统下载，签名后上传）。</t>
  </si>
  <si>
    <t>1.本次夏令营活动举办时间、方式等，另行通知。
2.营员遴选结果拟于报名结束后10个工作日内通过复旦大学研究生报考服务系统发布。
3.申请人应承诺填报信息和提交材料的真实性。如有弄虚作假，一经发现将取消申请资格并通报其本科院校。
4.如果上级部门和学校关于夏令营活动有新要求，我单位将按新要求执行并及时通知申请人。
5.咨询方式：021-51980168，pharmacy_gs@fudan.edu.cn</t>
  </si>
  <si>
    <t>实验动物中心</t>
  </si>
  <si>
    <t>6月11日10:00-6月25日17:00</t>
  </si>
  <si>
    <t>1.近期正面免冠彩色证件照片，电子版JPG格式，150×200像素，大小500K以内。2.本科阶段现有完整成绩单（须加盖学校教务处或院系公章），JPG或PDF格式。3.外语水平证明，如CET-4、CET-6、雅思、托福、专业外语成绩等。4.有关获奖证书和学术科研成果，如发表论文、出版物或其他原创性工作。5.诚信承诺书（可从报考服务系统下载，签名后上传）。6.个人简历（一页A4纸以内）。7.报考直博生的考生按报名系统要求提供推荐专家信息（具体根据报名系统提示进行提交）。</t>
  </si>
  <si>
    <t>医学研究院全面情况介绍、师生交流、实验室及共享平台参观。具体活动安排后续通知</t>
  </si>
  <si>
    <t>网上申请截止日期：2025年6月20日 24:00</t>
  </si>
  <si>
    <t>(1)"武汉大学医学研究院2025年优秀大学生夏令营申请表"(https://mri.whu.edu.cn/info/1811/33041.htm下载附件1)(如跨页须正反双面打印，须有本人签名、所在学校院系推荐意见和教务部门盖章);(2)"武汉大学医学研究院2025年优秀大学生夏令营个人陈述'(https://mri.whu.edu.cn/info/1811/33041.htm下载附件2，须有本人签名);(3)其它证明材料:①本科前两年半或三年学习成绩单原件;②学习成绩排名证明原件(如不能提供，请所在学校院系或教务部门出具不能提供学习成绩排名的证明原件);③国家英语四、六级考试成绩或TOEFL/GRE/GMAT/IELTS成绩等体现自身外语水平的证明;④体现自身学术水平的代表性学术论文、专利、出版物或原创性成果，各类获奖竟赛证书等证明;(4)《诚信参加夏令营承诺书》(https://mri.whu.edu.cn/info/1811/33041.htm下载附件3，须有本人手写签名)</t>
  </si>
  <si>
    <t>学院为参营人员购买夏令营活动期间人身意外伤害保险、提供夏令营活动期间在汉食宿(武汉市本地高校学生不提供住宿)，2026年我院研究生新生入学后凭票报销参营硬卧火车票或汽车票费用(请妥善保存好票据)</t>
  </si>
  <si>
    <t>（1）公共卫生学院研究生培养情况介绍；（2）学院各专业方向及导师情况介绍、参观学院和实验室并与意向导师面对面交流；（3）各系所根据报考方向与营员就未来研究生学习计划开展座谈交流。</t>
  </si>
  <si>
    <t>网上申请截止日期：2025年6月25日17：00</t>
  </si>
  <si>
    <t>1、本科成绩单（由院系教务部门盖章），成绩排名证明；
2、国家大学英语六级成绩，或其他体现自身英语水平的成绩证明；
3、获奖证书或参与科研项目证明复印件；
4、申请人还可提交体现自身学术水平的代表性学术论文、出版物或原创性工作成果。</t>
  </si>
  <si>
    <t>本次夏令营活动不收取任何费用，所有营员食宿自理</t>
  </si>
  <si>
    <t>1. 年级排名一项指的是本科在读截止到本学期最新的专业或年级排名，不能确定的可以填写大致排名。2. 申请人所提供的各种信息和材料必须真实，如有弄虚作假，一经查实，将取消申请人所获得的资格。3. 本次活动解释权归华中科技大学同济医学院公共卫生学院研究生招生复试领导小组和监察小组</t>
  </si>
  <si>
    <t>要求平均学分绩点（GPA）2.5及以上；允许曾有1门必修课程或限选课程不及格但必须在当年推免工作开始前重修通过。学业成绩排名（四年制截止至第五学期末、五年制截止至第七学期末成绩为依据，具体计算方式按教务处相关文件规定执行）符合学校相关专业排名要求。</t>
  </si>
  <si>
    <t>具备良好的外语能力和水平，校内必修外语课程考试平均成绩达到75分及以上或全国大学外语四级考试成绩在425分及以上（或托福80分及以上、雅思6.0及以上、日语N2及以上、俄语ТРКИ-2及以上）；外语专业学生要求专业外语四级成绩达到70分以上。</t>
  </si>
  <si>
    <t>预选考核</t>
  </si>
  <si>
    <t>网上申请截止日期：2025年6月18日</t>
  </si>
  <si>
    <t>（1）《吉林大学2026年招收优秀应届本科毕业生直接攻读博士学位研究生推荐考核申请表》两份（2）《吉林大学2026年招收优秀应届本科毕业生直接攻读博士学位研究生专家推荐书》两份（3）相关证明材料（本科成绩单、英语四级或六级证书、校内外语平均成绩证明、公开发表文章的刊物原件、竞赛获奖证书原件等）。</t>
  </si>
  <si>
    <t>类脑智能科学与技术学院</t>
  </si>
  <si>
    <t>学业成绩优秀，本科前3年或前5学期总评成
绩排名在该校同年级相关专业(数学、物理
信息、计算机、生物医学工程、神经科学等)
前20%之内(在科研方面有突出表现的学生可
不受此约束)，预期可获得推荐免试资格。</t>
  </si>
  <si>
    <t>1.近期正面免冠彩色证件照片，电子版JPG格式，150x200像素，大小500K以内。
2.本科阶段现有完整成绩单(须加盖学校教务处或院系公章)，JPG或PDF格式。
3.本科阶段前3年或前5学期总评成绩排名模板下载链接:
https://istbi.fudan.edu.cn/jx/xzzq.htm.
4.外语水平证明，如CET-4、CET-6、雅思托褔、专业外语成绩等。
5.有关获奖证书和学术科研成果，如发表论文、出版物或其他原创性工作。
6.诚信承诺书(可从报考服务系统下载，签名
7.个人简历(模板下载链接:同上，如提交的个人简历不符合我单位要求，视为此项材料不合格)</t>
  </si>
  <si>
    <t>即日起至6月20日17:00</t>
  </si>
  <si>
    <t>1. 近期正面免冠彩色证件照片，电子版JPG格式，150×200像素，大小500K以内；2. 个人简历及陈述1份；3. 本科阶段成绩单和专业排名证明（均须由教务部门盖章）各1份；4. 外语水平证明，如CET四级、CET六级、雅思、托福、专业外语成绩等；5. 有关获奖证书和学术科研成果，如发表论文、出版物或其他原创性工作；6. 考生诚信考核承诺书。</t>
  </si>
  <si>
    <t>网上申请截止日期：2025年6月28日17：00</t>
  </si>
  <si>
    <t>开营仪式、师生互动、实验室参观、闭营离院</t>
  </si>
  <si>
    <t>网上申请截止日期：2025年6月23日09：00</t>
  </si>
  <si>
    <t>(1)个人身份证(正反面)
(2)本科成绩单(须加盖学校教务处或院系公章);
(3)总评成绩排名证明(应包含所学专业同年级人数，须加盖学校教务处或院系公章);(4)外语水平证明材料:CET-6、雅思、托福、专业外语成绩等;
(5)其他材料:如已发表论文、各类获奖或资格证书等。</t>
  </si>
  <si>
    <t>1.本夏令营不收取任何形式费用;2.杭州市外的入选营员我院将统一安排酒店住宿，杭州高校学生不提供住宿;</t>
  </si>
  <si>
    <t>英语水平须达到CET6≥425TOEFL≥90或IELTS&gt;6.0</t>
  </si>
  <si>
    <t>网上申请截止日期：2025年7月3日</t>
  </si>
  <si>
    <t>1、《上海交通大学松江研究院2025年全国优秀大学生夏令营报名登记表》(报名系统生成，本人签字)2、身份证、学生证的扫描件各1份3、本科期间成绩单扫描件1份(教务处盖章)
4、截至目前，成绩在所学专业和年级的排名证明，已获绩点/绩点总分的证明(教务处盖章)5、两位副高(含)以上职称的专家推荐信
6、其他证明材料扫描件(国家英语四、六级等各类英语考试成绩单、获奖或资格证书、论文著作等)各1份7、个人简历15份</t>
  </si>
  <si>
    <t>在本科学习期间成绩优秀，综合素质高</t>
  </si>
  <si>
    <t>英语水平良好，具备利用英语进行科研、写作以
及交流的能力</t>
  </si>
  <si>
    <t>网上申请截止日期：2025年6月22日23：59：59</t>
  </si>
  <si>
    <t>1.夏令营申请表1份(进入zs.bjmu.edu.cn夏令营申
请系统填写，填写完毕后自动生成申请表)，申请
表须由申请人本人手写签字及所在学校教务处或院
系负责人签字盖章，不能使用电子签名或人名章
2.申请人个人陈述1份(夏令营申请系统中下载)
须由申请人亲笔签名，不能使用电子签名或人名
章;
3.本科历年成绩单1份，须加盖申请人所在学校教务
部门公章
4.国家英语四级、六级考试成绩、TOEFL成绩
IELTS成绩、GRE成绩等体现自身英语水平的证明1
份(官方认证的纸质成绩单复印件);
5.申请人在本科学习期间成绩排名证明(含专业成绩
排名和综合成绩排名。因排名系统不同，请依照所
在本科院校排名的规定填写，由所在学校教务部门
盖章或院系出具证明;请与所在本科院校联系确
认，成绩排名是专业课排名还是所有课程的成绩排
名，请在申请表上备注说明)
6.其他有关能力的证明材料(如:发表论文、专利
各类获奖等);
7.专家推荐信2封(相关专业副教授及以上或具有相
当专业技术职称的专家推荐，推荐信模板可在夏令
营申请系统中下载，须由专家本人亲笔签字)
8.声明(夏令营申请系统中下载模板)</t>
  </si>
  <si>
    <t>本次夏令营不收取任何费用，学院为营员提供活
动期间的餐补</t>
  </si>
  <si>
    <t>英语水平良好，达到国家英语六级或相当水平，科研潜力突出者可适当放宽</t>
  </si>
  <si>
    <t>网上申请截止日期：2025年6月25日23：59</t>
  </si>
  <si>
    <t>1. 夏令营申请表（可于系统导出打印），填写后学校教务处或院系相关负责人签字盖章；2. 申请人个人陈述（包括兴趣爱好、性格特点、学习科研经历、报名的具体研究方向/导师），需在最后手写签名（个人陈述模板可在夏令营申请系统中下载）；3. 本科历年成绩单1份，须加盖所在学校或学院教务部门公章；4. 英语六级水平证书或相关英语成绩证明；5. 成绩排名证明（含专业成绩排名和综合成绩排名，由学校教务部门盖章或院系出具证明）；6. 其他有关能力的证明材料（如：发表论文、专利，各类获奖等）；7. 专家推荐信2封（相关专业副教授及以上或具有相当专业技术职称的专家推荐，推荐信模板可在夏令营申请系统中下载，须专家本人亲笔签字，推荐信内容不能雷同）；8. 声明（可在系统中下载模板）。</t>
  </si>
  <si>
    <t>学院为营员提供活动期间的餐补，对于表现优秀的营员，学院给予一定的交通补贴，具体资助方案后续通知</t>
  </si>
  <si>
    <t>英语水平良好，具备利用英语进行科研、写作以及交流的能力，达到国家六级或相当水平，科研潜力突出者可适当放宽</t>
  </si>
  <si>
    <t>网上申请截止日期：2025年6月24日24:00</t>
  </si>
  <si>
    <t>1. 夏令营申请表（可于系统导出打印），填写后学校教务处或院系相关负责人签字盖章；2. 个人简历及个人陈述（包括个人学术背景、曾经做过的研究工作以及未来学习和研究的计划、目标等）；3. 本科历年成绩单1份，须加盖所在学校教务部门公章；4. 英语六级水平证书或相关英语成绩证明；5. 成绩排名证明（含专业成绩排名和综合成绩排名，由学校教务部门盖章或院系出具证明）；6. 其他有关能力的证明材料（如：发表论文、专利，各类获奖等）；7. 专家推荐信2封（相关专业副教授及以上或具有相当专业技术职称的专家推荐，推荐信模板可在夏令营申请系统中下载，须由专家本人亲笔签字）；8. 声明（可在系统中下载模板）</t>
  </si>
  <si>
    <t>学院为营员提供活动期间的餐补，交通与住宿自理。如有经济困难的同学可以申请住宿补贴，具体资助方案后续通知</t>
  </si>
  <si>
    <t>本科阶段总成绩排名在该校同年级本专业前20%““双一流建设高校本专业年级成绩排名可为前30%)之内;或平均成绩85分以上(GPA 3.5以上)，</t>
  </si>
  <si>
    <t>具有良好的外语水平，满足下列条件之-:1.六级&gt;450分;2.雅思&gt;6.5分;3.托福290分。有全国英语比赛奖项者优先，</t>
  </si>
  <si>
    <t>开营仪式、专家讲座、技能比赛、导师面对面、宣布优秀营员、颁发证书参观活动</t>
  </si>
  <si>
    <t>网上申请截止日期：2025年6月25日24:00</t>
  </si>
  <si>
    <t>2025年7月8日至10日</t>
  </si>
  <si>
    <t>1.南方医科大学2025年优秀大学生夏令营申请表(需系统填写导出后手写签名和盖章)(必需项);
2.学生证、身份证(正反面、扫描件)(必需项)
3.本科阶段成绩单及同年级总成绩排名表扫描版(由高校教务部门或院系盖章)(必需项)
4.英语水平证明扫描版(六级或其他(如TOEFL/IELTS)证书等)(必需项)
5.证明材料:已发表的学术论文、科研项目立项、获奖证书等(有则提供，非必需项)
6.自荐信:格式不限，可包括简历、未来学习研究计划等</t>
  </si>
  <si>
    <t>活动不收取任何费用。我院为营员提供活动期间免费食宿(广州市内高校学生不安排住宿);交通费营员自理。</t>
  </si>
  <si>
    <t>泰康医学院</t>
  </si>
  <si>
    <t>学院全面情况介绍、师生交流
实验室及共享平台参观</t>
  </si>
  <si>
    <t>网上申请截止日期：2025年6月30日24:00</t>
  </si>
  <si>
    <t>2025年7月8日-7月11日</t>
  </si>
  <si>
    <t>1.“武汉大学泰康医学院(基础医学院)
2025年优秀大学生夏令营申请表”(以下简称申请表”，附件1)，申请表须有本人所在学校院系推荐意见和教务部门盖章;
2.“武汉大学泰康医学院(基础医学院)2025年优秀大学生夏令营个人陈述”(以下简称“个人陈述”，附件2);
3.其它证明材料
(1)本科阶段成绩单
(2)成绩排名证明(如不能提供，请所在学校院系或教务部门出具不能提供成绩排名的证明)
(3)国家英语四、六级考试成绩或TOEFL/GRE /GMAT/IELTS成绩等体现自身外语水平的证明
(4)体现自身学术水平的代表性学术论文、专利、出版物或原创性成果，各类获奖竞赛证书等证明</t>
  </si>
  <si>
    <t>1.学院将统一购买活动期间的人身意外伤害保险。
2.提供活动期间在汉食宿。
3.外地参营学生凭票报销单程费用。</t>
  </si>
  <si>
    <t>重大传染病和生物安全研究院</t>
  </si>
  <si>
    <t xml:space="preserve">学业成绩优秀，预期可获得推荐免试资格 </t>
  </si>
  <si>
    <t>网上申请截止日期：2025年6月20日17:00</t>
  </si>
  <si>
    <t>1.近期正面免冠彩色证件照片，电子版JPG格式，150x200像素，大小500K以内。
2.个人简历及陈述1份。
3.本科阶段成绩单和专业排名证明(均须由教务部门盖章)各1份
4.外语水平证明，如CET四级、CET六级、雅思、托福、专业外语成绩等。
5.有关获奖证书和学术科研成果，如发表论文、出版物或其他原创性工作。
6.考生诚信考核承诺书。</t>
  </si>
  <si>
    <t>学习成绩排名前列，能够获得所在学校推荐免试资格，并且满足山东大学公共卫生学院接收2026级推荐免试研究生的标准。</t>
  </si>
  <si>
    <t>英语水平优秀(六级成绩&gt;425分)</t>
  </si>
  <si>
    <t>线上腾讯会议</t>
  </si>
  <si>
    <t>网上申请截止日期：2025年6月23日17:00</t>
  </si>
  <si>
    <t>1.公共卫生学院夏令营申请表(需签
字盖章);
2.截止到报名前的本科成绩单(需加盖教务处公章)3.英语成绩证明:如国家英语四、六级考试成绩、TOEFL成绩、GRE成绩等证明材料;4.科研成果相关证明材料:申请人可提交体现自身学术水平的代表性学术论文、出版物或原创性工作成果及获奖证书。无科研成果者可不提交本项材料</t>
  </si>
  <si>
    <t>福建中医药大学</t>
  </si>
  <si>
    <t>本科学习成绩和综合素质优异</t>
  </si>
  <si>
    <t>英语通过四级</t>
  </si>
  <si>
    <t>1.各学科、实验室、研究所参观介绍。
2.学术讲座、导师团队师生座谈、推免和招生政策解读。
3.福建中医药文化博物馆、时珍园参观。
4.视情况组织参观林则徐纪念馆、三坊七巷等爱国主义教育基地。</t>
  </si>
  <si>
    <t>网上申请截止日期：2025年7月14日16:00</t>
  </si>
  <si>
    <t>a.夏令营申请表1份(扫描下方二维码，下载并填
写报名表，本人亲笔签字)
b.本科成绩单。
以上a&amp;b须加盖院系或学校教务处公章
c.英语水平证明材料。
d.其他材料:包括能体现自身学术水平的学术论
文、出版物或原创性工作成果、获奖证书等材料。</t>
  </si>
  <si>
    <t>a.外地正式营员:在营期间统一安排住宿(免
费)凭据报销夏令营来回城际交通费:飞机经济
舱/火车硬席(硬座、硬卧)/高铁/动车二等座
(因提前到或延后返所产生的费用自行解决)
b.本校生与福州本地营员:住宿与交通自理，请
提前自行申请暑期留校。</t>
  </si>
  <si>
    <t>学习成绩优秀，本科阶段总成绩排名原则上在所读学校同年级本专业前30%</t>
  </si>
  <si>
    <t>师生面对面、参观兰州大学校史馆、参观护理学院实验实训中心</t>
  </si>
  <si>
    <t>网上申请截止日期：2025年6月25日</t>
  </si>
  <si>
    <t>2025年7月3-5日</t>
  </si>
  <si>
    <t>1. 兰州大学护理学院2025年优秀大学生暑期夏令营报名基本信息汇总表(附件1);2. 身份证、学生证扫描件;3. 本科前5个学期(四年制本科)或7个学期(五年制本科)成绩单(由教务部门或院系盖章)，排名专业前30%的证明(由教务部门或院系盖章)扫描件;4. 大学英语四、六级成绩单或其他英语水平证明(如近两年内TOEFL成绩或近三年内GRE成绩等)扫描件;5. 其他证明材料(如体现自身学术水平的代表性学术论文或其他原创性工作成果扫描件、获奖证书扫描件等)。</t>
  </si>
  <si>
    <t>1. 夏令营期间兰州大学护理学 院将为营员提供住宿(包含2晚，双人标间，原则上要求双人入住，本地学校学生不提供住宿)、购买人身保险、报销异地学校学生往返交通费(火车硬座、硬卧，高铁二等座，汽车)。请自行提前预订往返车票，主办方不提供订票服务。2. 营员必须遵守兰州大学有关规章制度和夏令营的纪律要求，服从工作人员安排，并按时参加夏令营期间的各项活动，营员活动期间的个人安全由本人负责。</t>
  </si>
  <si>
    <t>学习成绩优秀，对所报专业的相关创新性科研工作有浓厚兴趣</t>
  </si>
  <si>
    <t>网上申请日期：2025年6月18-22日</t>
  </si>
  <si>
    <t>a. 2025年优秀大学生暑期夏令营申请表（附件），须本科院校或实习医院教务部门盖章，且同意参营；b. 截止报名时间前的本科阶段成绩单，需出具成绩单的教务部门盖章；c. 语言成绩证明，如大学生英语四、六级考试成绩，TOEFL成绩，IELTS成绩，GRE成绩等能体现外语水平的证明；d. 科研成果、奖励等证明材料，申请人可提交体现自身学术水平的代表性学术论文、出版物或原创性工作成果及获奖证书。</t>
  </si>
  <si>
    <t>1. 本夏令营属于非营利性质的文化交流活动，主办单位不承担参加者活动期间所产生的任何法律和经济责任。2. 夏令营参加者应自觉遵守夏令营期间的各项规定和要求，遵从工作人员的统一安排，不得从事与夏令营无关的任何活动。</t>
  </si>
  <si>
    <t>网上截止申请日期：2025年6月30日17：00</t>
  </si>
  <si>
    <t>夏令营期间，医院将为入选的外地营员提供夏令营期间的食宿，报销往返交通费用（汽车或火车硬席、动车/高铁二等座额度）。根据山东大学财务部要求，往返车票的时间必须为夏令营期间，由本科学校所在地至山东济南往返，外地营员请自行预订往返车票，并在规定时间内按报销要求出具车票的电子发票（电子发票开具要求入营后另行通知）。本科院校在济南本地的营员不负责住宿和交通费用。</t>
  </si>
  <si>
    <t>院情报告、科研团队介绍、导师交流、线上参观</t>
  </si>
  <si>
    <t>网上截止申请日期：2025年6月30日18：00</t>
  </si>
  <si>
    <t>英语水平:CET6≥425或TOFEL≥90 或IELTS≥6.0</t>
  </si>
  <si>
    <t>学科介绍、学术团队宣讲、学生就业介绍</t>
  </si>
  <si>
    <t>网上截止申请日期：2025年7月6日24：00</t>
  </si>
  <si>
    <t>2025年8月上旬</t>
  </si>
  <si>
    <t>本科阶段总成绩排名在该校同年
级本专业前列，报名学生能获得所在院
校推免资格者优先</t>
  </si>
  <si>
    <t>具有良好的外语水平，满足下列
条件之-:1.六级≥425分;2.雅思
26.0分;3.托福290分。获国家级英语
比赛三等奖以上奖项者优先</t>
  </si>
  <si>
    <t>网上截止申请日期：2025年6月22日18：00</t>
  </si>
  <si>
    <t>1.南方医科大学第一临床医学院2025年全国优秀大学生暑期夏令营申请表电子版(附件1)2.本科阶段成绩单及同年级总成绩排名表扫描版(由教务部门或院系盖章)3.英语水平证明扫描版(四六级或雅思托福证书等)
4.学生所在院校专任教师(有副高及以上职称)推荐信(附件2)</t>
  </si>
  <si>
    <t>(一)广州市外院校的营员提供夏令营期间免费食宿，交通费自理。(二)为营员提供夏令营参营礼品(南医文创纪念品礼包、夏令营证书等)。(三)活动期间表现优秀者颁发夏令营“优秀营员”证书。相关政策参照学校要求执行。</t>
  </si>
  <si>
    <t>本科成绩优异，学习成绩排名在班级或年级前列</t>
  </si>
  <si>
    <t>英语水平良好。英语达到国家
六级水平(425分及以上)或托福
雅思等成绩合格</t>
  </si>
  <si>
    <t>网上截止申请日期：2025年7月20日</t>
  </si>
  <si>
    <t>8月初</t>
  </si>
  <si>
    <t>(1)《华中科技大学同济医学院附属协和医院2025年学术夏令营申请表》(详见文末通知原文附件下载)。
(2)成绩单(由院系教务部门盖章)及成绩排名证明。
(3)全国大学英语六级成绩单或其他体现自身英语水平的成绩。
(4)获奖证书及参与科研项目证明复印件等
(5)体现自身学术水平的学术论文、出版物或原创性成果(请注明本人排名)</t>
  </si>
  <si>
    <t>附属同济医院</t>
  </si>
  <si>
    <t>非“优质生源”高校学生，综合成绩排名前15%，“优质
生源”高校学生，综合成绩排名前30%;</t>
  </si>
  <si>
    <t>英语达到国家六级水平(425分以上)或托福、雅思等成绩合格者</t>
  </si>
  <si>
    <t>网上截止申请日期：2025年6月30日</t>
  </si>
  <si>
    <t>7月16日到7月17日</t>
  </si>
  <si>
    <t>1、同济医院2025年学术夏令营申请表(见同济医院官风附件)
2、本科阶段成绩单及同年级总成绩排名1份(由教务部门或院系盖章):
3、外语水平的证明(如国家英语四六级考试成绩、TOEFL成绩或GRE成绩等)
4、其他证明材料(如体现自身学术水平的代表性学术论文或其他原创性工作成果复印件、获奖证书复印件等);
5、个人陈述1份(格式不限)此材料请上传至系统中的“学术成果、申请表及推荐信
一栏</t>
  </si>
  <si>
    <t>夏令营期间的住宿费和交通费由我院负责;</t>
  </si>
  <si>
    <t>具有一定的创新能力和科研潜能，本科成绩优异</t>
  </si>
  <si>
    <t>英语水平良好。英语达到国家六级水平(425分以上)或托福、雅思等成绩合格</t>
  </si>
  <si>
    <t>学院介绍学系介绍、学科交流等</t>
  </si>
  <si>
    <t>1.《华中科技大学同济医学院口腔医学院2025年学术夏令营申请表》，见附件。2.成绩单、成绩排名证明(由院系教务部门盖章)
3.全国大学英语六级成绩单，或其他体现英语水平的证明，
4.获奖证书及参与科研项目证明复印件等。5.体现自身学术水平的学术论文、出版物或原创性成果，请注明本人排名。</t>
  </si>
  <si>
    <t>网上截止申请日期：2025年7月1日中午12：00</t>
  </si>
  <si>
    <t>1.夏令营申请表(申请表可于系统导出打印，本人亲笔签名)，填写后学校教务处或院系负责人签字盖章
2.个人简历及个人陈述(关于个人学术背景、曾经做过的研究工作以及未来学习和研究的计划、目标等，可于系统中下载模板)，须本人亲笔签名
3.本科历年成绩单1份，须加盖所在学校教务部门公章
4.成绩排名证明(含专业成绩排名和综合成绩排名，由学校教务部门盖章或院系
5.英语六级水平证书或相关英语成绩证明(官方认证的纸质成绩单复印件)
6.其他有关能力的证明材料(如:发表论文、专利，各类获奖等)
7.专家推荐信2封(相关专业副教授及以或具有相当专业技术职称专家推荐推荐信模板可在夏令营系统中下载，须由专家本人亲笔签字)
8.声明(可在夏令营申请系统中下载模板)</t>
  </si>
  <si>
    <t>人文学院</t>
  </si>
  <si>
    <t>在学期间学习成绩优秀，综合素质高</t>
  </si>
  <si>
    <t>学院概况介绍、研究生培养解析、师生深度交流和专业知识与技能测评等</t>
  </si>
  <si>
    <t>网上截止申请日期：2025年6月23日12：00</t>
  </si>
  <si>
    <t>1.夏令营申请表(该表可于系统导出打印，填写后学校教务处或院系负责人签字盖章):
2.个人简历及个人陈述(关于个人学术背景、曾经做过的研究工作以及未来学习和研究的计划、目标等);
3.本科历年成绩单1份，须加盖所在学校教务部门公章;
4.英语六级水平证书或相关英语成绩证明:
5.成绩排名证明(含专业成绩排名和综合成绩排名，由学校教务部门盖章或院系出具证明):
6.其他有关能力的证明材料(如:发表论文、专利，各类获奖等);
7.专家推荐信2封(相关专业副教授及以上或具有相当专业技术职称的专家推荐，推荐模版可在夏令营申请系统中下
载，须由专家本人亲笔签字);
8.声明(夏令营申请系统中下载)</t>
  </si>
  <si>
    <t>网上申请日期：2025年6月25日-7月5日</t>
  </si>
  <si>
    <t>2025年6月23日-7月7日</t>
  </si>
  <si>
    <t>开营仪式、学院介绍、专题讲座、分组交流、学校参观</t>
  </si>
  <si>
    <t>网上申请截止日期：2025年7月3日中午12：00</t>
  </si>
  <si>
    <t>2025年7月9日-11日</t>
  </si>
  <si>
    <t>1、《上海交通大学护理学院2026年全国优秀大学生招生夏令营报名登记表》(报名系统生成)
2、身份证扫描件、学生证扫描件(需包含封面、个人信息页注册页)各1份:本科期间成绩单扫描件1份(教务处盖章)
4、截至目前，成绩在所学本科专业和年级的排名证明，以及已获绩点/绩点总分的证明(专业排名/排名总人数;年级排名/排名总人数;已获绩点/绩点总分)(教务处盖章);
5、2位所在学院副教授及以上职称的专家推荐信(请使用报名系统中的模板);
6、其他证明材料扫描件(获奖或 资格证书、国家英语四、六级等各类英语考试成绩单、论文著作等)各1份。
7、个人简历</t>
  </si>
  <si>
    <t>在校期间总成绩排名年级前30%</t>
  </si>
  <si>
    <t>开营典礼、专家讲座、文化参访</t>
  </si>
  <si>
    <t>网上申请截止日期：2025年7月1日24：00</t>
  </si>
  <si>
    <t>(1)南方医科大学护理学院优秀大学生夏令营申请表(需签字盖章):
(2)自荐信:格式不限，可包括简历、为何报考相关学院及专业未来学习研究计划等;
(3)成绩单及本专业排名证明原件扫 描 件(学 校 教 务 部 门 或 院 系 盖章);
(4)英语水平证明(四六级或其他(如TOEFL/ITELS)外语成绩证明)扫描件:
(5)学生证、身份证(正反面、扫描件);
(6)其他证明材料(如已发表的学术论文、获奖证书等)</t>
  </si>
  <si>
    <t>系统医学研究院</t>
  </si>
  <si>
    <t>成绩优异、在校期间无重修或补考科目</t>
  </si>
  <si>
    <t>英语能力良好，达到大学英语四、六级以及相当水平，CET4≥450分或CET6≥430分</t>
  </si>
  <si>
    <t>网上截止申请日期：2025年7月8日</t>
  </si>
  <si>
    <t>2025年7月下旬</t>
  </si>
  <si>
    <t>(1)附照片的个人简历(除基本信息外，请侧重描述与意向专业相关的技能、科研项目、比赛经历，以及获奖情况等)。
(2)本科在读期间成绩单(截至目前)、专业排名证明，均须由教务部门盖章。
(3)英语四级、六级成绩单或其他英语考试的成绩证明。
(4)专家推荐信2封(需副教授及以上职称专家分别推荐)
(5)其他证明材料(如体现自身学术水平的代表性学术论文或其他原创性工作成果、获奖证书等)。(6)身份证正反面，学生证信息页、注册页(可打水印)</t>
  </si>
  <si>
    <t>英语水平良好，通过国家英语六级水平考试</t>
  </si>
  <si>
    <t>网上截止申请日期：2025年6月23日14：00</t>
  </si>
  <si>
    <t>1、夏令营申请表2、本科阶段成绩单、年级专业成绩排名证明(需由学校教务部门或所在院系盖章)3、语言成绩证明，如国家英语四、六级考试成绩，TOEFL成绩IELTS成绩，GRE等能体现外语水平的证明。4、科研成果、奖 励 等 证 明 材料，申请人可提交体现自身学术水平的代表性学术论文、出版物或原创性工作成果及获奖证书。</t>
  </si>
  <si>
    <t>我院将为入选的外地营员提供夏令马别可的良佰，报捐住女等座及以下或汽车票;飞机、卧铺票不予报销);根据山东大学财务部要求报销火车票的时间必须为夏令营期间由所在学校至我校往返的，每位参加夏令营的学生需要在报到时登记车票，规定时间内快递寄回回程车票</t>
  </si>
  <si>
    <t>附属胸科医院</t>
  </si>
  <si>
    <t>英语水平达到CET62425或TOFEL≥90或IELTS≥6.0</t>
  </si>
  <si>
    <t>包括开营仪式、医院参观、学科推介会、导师见面会等活动</t>
  </si>
  <si>
    <t>网上截止申请日期：2025年7月3日</t>
  </si>
  <si>
    <t>2025年7月28日-2025年7月29日</t>
  </si>
  <si>
    <t>(1)《上海交通大学医学院研究生招生夏令营申请表》
(2)身份证、学生证复印件各1份;核验原件:(3)截止目前的本科成绩单1份(需申请人所在院系盖章或教务处盖章)
(4)截止目前的专业年级排名证明(需申请人所在院系盖章或教务处盖章)(5)其他证明材料复印件(如发表的学术论文，获奖或资格证书、国家英语六级成绩单等)各1份。
(6)个人简历</t>
  </si>
  <si>
    <t>全程参加我院夏令营活动的营员，本院将为其免费提供夏令营期间在本中心的指定地点的住宿费用和伙食(上海高校生源原则上不提供住宿)。承担营员本科高校所在城市往返上海路费(无论何种交通工具，均按动车二等座标准。须提交票根进行报销)</t>
  </si>
  <si>
    <t>开营仪式、各学科科研交流活动、夏令营考核等</t>
  </si>
  <si>
    <t>即日起至7月6日24点</t>
  </si>
  <si>
    <t>①《瑞金医院2026全国优秀大学生夏令营报名登记表》（报名系统生成，本人签字）；②身份证、学生证的复印件各1份，原件备查；③本科期间成绩单复印件1份（教务处盖章）；④截至目前，成绩在所学专业和年级的排名证明，已获绩点/绩点总分的证明（教务处盖章）；⑤报考博士者需提交两位副高（含）以上职称的专家推荐信（无固定模板，学生可根据个人情况提供），报考硕士者无需提供；⑥相关证明材料复印件（国家英语四、六级等各类英语考试成绩单、获奖或资格证书、论文著作等）各1份。</t>
  </si>
  <si>
    <t>包括开营仪式、医院(实验室)参观、科研实
训、导师见面会(学科推介会)、学生评审等活
动。</t>
  </si>
  <si>
    <t>不收取营员费用。全程参加我院夏令营活动的
营员，本院将为其免费提供夏令营期间的住宿和伙食(上海高校生源原则上不提供住宿)。承担营员本科高校所在城市往返上海路费(按高铁/动车二等座的费用标准为上限实报实销，营员须提供车票作为报销凭证)。优秀营员若放弃今年9月我院推免生招录资格的，不予补助差旅费。</t>
  </si>
  <si>
    <t>英语水平优秀，具备利用英语进行科研、写作以及交流的能力</t>
  </si>
  <si>
    <t>2025年6月25日00：00-7月2日23：00</t>
  </si>
  <si>
    <t>1.夏令营申请表(申请表可于系统导出打印，填写后由学校教务处或院系负责人签字盖章);
2.个人简历及个人陈述(关于个人学术背景、曾经做过的研究工作以及未来学习和研究的计划、目标等，可于系统中下载模板，须亲笔签字)
3.本科历年成绩单1份(须加盖所在学校或院系教务部门公章);
4.英语六级水平证书或相关英语成绩证明(官方认证的纸质成绩单复印件);
5.成绩排名证明(含专业成绩排名和综合成绩排名，由学校教务部门盖章或院系出具证明)
6.专家推荐信2封(相关专业副教授及以上或具有相当专业技术职称的专家推荐，模板可在夏令营申请系统中下载，须专家签字确认);
7.声明(可于系统中下载模板);8.其他有关能力的证明材料(如:发表论文、专利，各类获奖等)</t>
  </si>
  <si>
    <t>2025年6月23日00：00-6月29日24：00</t>
  </si>
  <si>
    <t>2025年7月8日-11日</t>
  </si>
  <si>
    <t>20名—30名</t>
  </si>
  <si>
    <t>①《兰州大学第一临床医学院2025年优秀大学生暑期夏令营申请表》（见附件）；
  ②本科成绩单与本专业排名证明扫描件（需加盖教务处或院系公章）；
  ③外语水平证明，全国大学英语四/六级成绩单或其他同类别英语考试成绩单扫描件；
  ④其他证明材料，如已发表论文或专利扫描件、本科期间各类获奖证书扫描件等</t>
  </si>
  <si>
    <t xml:space="preserve">  1.学院将为入选营员统一提供免费食宿。
  2.外地学生请自行预定往返车票，我院将按高铁二等座票价报销交通费，学生需保存并在返校后以快递形式提交相关票据。
  3.学院为参营人员购买夏令营活动期间人身意外伤害保险，参与夏令营活动期间发生的医疗费用及因个人行为导致的意外事故，由学员本人或其派出单位承担。</t>
  </si>
  <si>
    <t>2025年6月20日—6月30日</t>
  </si>
  <si>
    <t>2025年7月20日开营</t>
  </si>
  <si>
    <t>1. 夏令营期间为营员提供伙食补贴和住宿；
2. 营员往返交通费用暂需自理。2026年被录取为中国科学技术大学研究生的，在2026年9月研究生入学报到后可报销往返交通费（需保留报销凭证）。报销区间为：来程—学校到合肥，去程—合肥到学校或家庭所在地（日期需符合），报销标准为火车硬卧（含硬座和动车二等座）。</t>
  </si>
  <si>
    <t>华西医院临床流行病学与循证医学中心</t>
  </si>
  <si>
    <t>学习成绩优秀，本科期间综合成绩年级排名原则上要求为：双一流建设高校年级成绩前30%，行业特色院校成绩排名前10%</t>
  </si>
  <si>
    <t>全国大学外语四级水平考试成绩优良（480分以上），或全国大学外语六级水平考试成绩合格（425分及以上），或TOEFL、GRE等考试成绩优秀者</t>
  </si>
  <si>
    <t>自即日起开始报名，截止日期为2025年6月29日；</t>
  </si>
  <si>
    <t>1、申请表（报名成功后由系统自动生成，下载打印经所在单位推荐盖章后再上传至系统更新）；
2、本科成绩单和专业排名证明（各1份，院、校两级教务部门盖章均可）；
3、大学英语四/六级成绩单、TOEFL、GRE成绩单等英语成绩证明材料；
4、其他综合素质能力的证明材料（如论文、专利、荣誉获奖证书等复印件）；
5、个人简历（1-2页）。</t>
  </si>
  <si>
    <t xml:space="preserve">
4、营员（非成都本地高校）统一由中心安排住宿，费用由中心承担；
5、请报名时正确填写所有信息，勿重复填写！请确保填报信息准确无误，若有虚假，一经查实将取消报名资格！若录取则取消录取资格！
6、本次营员若于本年度9月参加中心推免面试，并最终成功推免至中心，将报销9月推免面试期间本科院校所在城市至成都的往返火车票价。</t>
  </si>
  <si>
    <t xml:space="preserve">直博生申请条件：
（1）取得推免资格；
（2）双一流建设高校优秀应届本科毕业生；
（3）学习成绩优秀，本科期间综合成绩年级排名前20%；
（4）外语水平达到CET6≥480分，或托福TOEFL网考≥90分，或雅思IELTS考试≥6.0分。
1、在营期间进行的一切相关活动，禁止录音录像；
2、在营期间，营员必须遵守四川大学相关规定，且做好自身安全防护工作。按照相应安排参加活动，擅自不参加者，举办方将不提供相关住宿及后续补助；
3、线下营员前来参加夏令营活动，需告知所在学校和父母，在征得同意后注意出行安全。对因违反四川大学相关规定和营员手册等规章制度导致的安全事故，由本人承担所有责任；
</t>
  </si>
  <si>
    <t xml:space="preserve">具有良好听、说、读、写的英语应用能力，英语六级成绩达到426分及以上。 </t>
  </si>
  <si>
    <t>23日（周三）上午：营员报到；
23日（周三）下午：开营仪式，医院研究生教育情况介绍，参观医院临床科室和河套实验室；
24日（周四）全天：参加学术讲座，上午、下午各2-3个专题； 
25日（周五）上午：师生交流；
25日（周五）下午：结营仪式。</t>
  </si>
  <si>
    <t>截止至7月10日前</t>
  </si>
  <si>
    <t>2025年7月23日-25日</t>
  </si>
  <si>
    <t xml:space="preserve">（1）中山大学附属第八医院全国优秀大学生夏令营申请表1份原件（附件1），请贴好1寸证件照，无底色要求；
（2）个人简历1份；
（3）本科阶段成绩单原件或复印件（由学校教务部门或院系盖章）1份；
（4）英语水平证明材料复印件（4/6级、托福、雅思、GRE等成绩）；
（5）其他证明材料复印件（如代表性学术论文、其他原创性工作成果、获奖证书等）；
（6）学生证第一页和第二页复印到一张A4纸的复印件；
（7）二代居民身份证复印件1份（正反面复印在同一张A4纸内）。
</t>
  </si>
  <si>
    <t>（2）本次夏令营不收取任何费用，免费为学员提供食宿；
（3）本单位为异地高校学生补助往返交通费用，火车票按我校规定的学生交通标准报销（普通列车票、高铁二等座），超出部分由学生自己负担；</t>
  </si>
  <si>
    <t>第二临床医学院（珠江医院）</t>
  </si>
  <si>
    <t>（五）具有良好的外语水平。满足下列条件之一者可优先：
英语四级≥500分
六级≥450分
雅思≥6.0分
托福≥90分
全国性英语比赛三等奖以上获得者。</t>
  </si>
  <si>
    <t>即日起-2025年6月27日</t>
  </si>
  <si>
    <t xml:space="preserve">2025年“游学南医-二临”科研体验行活动申请表（必需项）；
学生证（必需项）；
个人简历（必需项）；
本科阶段成绩单及同年级总成绩排名表（由教务部门或院系盖章，必需项）；
英语水平证明（四六级或雅思托福证书等，必需项）；
本科阶段重要获奖证明；
论文发表、科研成果、学术产出等证明；
其他个人业绩材料补充。
</t>
  </si>
  <si>
    <t>（一）为学员提供精美纪念品。
（二）为学员提供活动期间食宿（本校、本市学生不提供住宿）</t>
  </si>
  <si>
    <t>安徽合肥线下举办</t>
  </si>
  <si>
    <t>2025年6月20日-6月30日</t>
  </si>
  <si>
    <t xml:space="preserve">2025年7月20日前后，具体举办时间另行通知。
</t>
  </si>
  <si>
    <t>1、网上报名后生成的表格打印后本人签字；
2、前3年半成绩单与总评成绩排名证明（有学校教务部门或所在院系公章）；
3、其他能体现自身能力的材料：获奖证书复印件、英语水平证明、学术论文、参与项目证明等（非必要，如有，请提供）。
以上所有申请材料请按序号顺序依次扫描后制作成一个PDF文件中，上传至网络报名系统（未上传将视为报名材料不完整）。请自觉保证提供材料的真实性。营员报到时需携带纸质申请材料（其中成绩单和排名证明必须为原件），夏令营组委会将会对材料进行复核，如有不实将取消录取资格。</t>
  </si>
  <si>
    <t>学习成绩优秀，大学本科前三年（学制四年）或前四年（学制五年）总评成绩在专业排名前20%</t>
  </si>
  <si>
    <t>英语水平良好，英语六级成绩≥425分或雅思≥6.5分或托福≥80分</t>
  </si>
  <si>
    <t>南京医科大学江宁校区线下举办</t>
  </si>
  <si>
    <t>包括我院护理学科介绍、学术专题讲座、实地参观、交流展示等。所有活动均为线下举行。报到地点和具体活动安排另行通知</t>
  </si>
  <si>
    <t>2025年6月20日开始，6月27日结束</t>
  </si>
  <si>
    <t>2025年7月11日报到，12-13日举办活动</t>
  </si>
  <si>
    <t>（1）南京医科大学护理学院2025年暑期开放日活动报名表（见附件），手写签名并加盖培养单位公章；
（2）本人居民身份证和学生证扫描件（PDF）；
（3）个人简历；
（4）本科阶段截至目前的成绩单扫描件（须学校教务部门或学院盖章，并注明专业总评成绩排名和专业总人数）；
（5）外语水平证明（如CET-6、TOEFL、IELTS等的证书或成绩单）；
（6）其他材料扫描件，如校级及以上获奖证书、公开发表的学术论文首页或证明、专利证书、出版物封面及作者页，课题证明等。
其中，（1）~（5）为必交材料，请汇总成PDF文件，命名格式：1.姓名+必须材料；（6）为可选择性材料，汇总成PDF文件，命名格式：2.姓名+可选材料。两份文件存放在以“姓名+本科就读学校+联系电话”命名的文件夹中，不按照规定命名的文件视为无效文件处理。</t>
  </si>
  <si>
    <t>1.开放日期间学院将为参加的学生提供早餐、午餐及住宿费用（南京本地高校的学生原则上不提供住宿）。往返交通费用需自理。
2.有意参加开放日活动的同学，请按照上述要求，正式报名。</t>
  </si>
  <si>
    <t xml:space="preserve">上海中医药大学
</t>
  </si>
  <si>
    <t>专业排名需在前 30%（创新型、荣誉型特色学院，以及基地班、卓越班、创新班等除外，有科研成果或潜力的同学以及能达到所在高校推免资格的同学除外）；</t>
  </si>
  <si>
    <t>CET-4合格；
WSK（PETS-5）考试合格；
国家英语专业四级及以上考试合格；
TOEFL成绩：（IBT）100分以上或（CBT）250分以上；
GRE成绩1300分以上，或新GRE成绩325分以上；
IELTS成绩 6.0分以上。</t>
  </si>
  <si>
    <t>活动内容主要包括开营仪式、主旨报告、院士开营第一课、导师面对面、校园参观等。</t>
  </si>
  <si>
    <t>2025年6月20日~ 2025年6月30日</t>
  </si>
  <si>
    <t>（均为PDF文件，PDF页面尺寸请调整为A4尺寸）
1. 有效身份证件原件扫描（正反面在一页上）；
2. 本人学籍认证报告，学信网上在线验证并下载；
3. 学生证原件扫描（照片、学号页即可）；
4. 本科上一年成绩单原件扫描（院系或教务处盖章）；
5. 英语水平证明材料（英语成绩证书等）；
6. 个人简历（中英文均可，无格式要求）；
7. 附件一《身体健康情况申报表》；
8. 获奖证书（包括本科期间能突出自己特长、社会贡献、综合素质能力等各类证书）；
9. 已发表的论文及专利，或其它原创性成果、其他有参考价值的科研实验工作证明材料；
注：材料 8、9为可选项（可根据自身情况酌情提交，不作强求）。
所提供的材料必须保证真实有效，如有伪造和作假情况，取消入围资格；入学后可取消学籍。</t>
  </si>
  <si>
    <t>1. 凡全程参加暑期夏令营的学员，并获得优秀营员者可享受以下政策：
优秀营员在取得本科所在学校的2026年优秀应届本科毕业生推荐免试攻读研究生资格后，第一志愿报考我校中西医结合学院，将根据报考导师的研究生招生名额等实际情况，予以优先录取。
2． 参加此次夏令营活动的营员，免费提供在营期间住宿、餐饮、保险费用。同时为2026年以推免生报考我院并录取的优秀营员提供本次夏令营活动往返路费报销（仅限在暑期夏令营活动期间非上海高校大学生乘坐的长途汽车、高铁二等座及以下，凭票报销，入学可申请）。</t>
  </si>
  <si>
    <t>本科阶段总成绩排名原则上在该校同年级本专业前30％之内或平均成绩80分以上（GPA3.0以上），英语水平优良；</t>
  </si>
  <si>
    <t>即日起-2025年6月28日</t>
  </si>
  <si>
    <t>2025年7月8-10日</t>
  </si>
  <si>
    <t>申请材料要求电子扫描版：
1.南方医科大学优秀大学生游学体验行申请表（系统导出后签字盖章）；
2.成绩单及同年级总成绩排名表原件扫描件（需所在高校教务部门盖章）；
3.英语水平证明（四六级或其他（如TOEFL/ITELS)外语成绩证明）扫描件；
4.学生证、身份证（正反面、扫描件）；
5.其他证明材料（如个人简历（务必提供）、已发表的学术论文、获奖证书等）。</t>
  </si>
  <si>
    <t>我院为学员提供学习期间的住宿及餐补（广州市内高校学生不提供住宿），交通费学员自理</t>
  </si>
  <si>
    <t>6月25日10:00--7月31日17:00</t>
  </si>
  <si>
    <t>本次夏令营活动规模（拟参照往年）及举办时间、方式等，另行通知</t>
  </si>
  <si>
    <t>1.近期正面免冠彩色证件照片，电子版JPG格式，150×200像素，大小500K以内。
2.本科阶段现有完整成绩单（须加盖学校教务处或院系公章），JPG或PDF格式。
3.外语水平证明，如CET-4、CET-6、雅思、托福、专业外语成绩等。
4.有关获奖证书和学术科研成果，如发表论文、出版物或其他原创性工作。
5.诚信承诺书（可从报考服务系统下载，签名后上传）。</t>
  </si>
  <si>
    <t>目前本科前5个学期总成绩排名原则上在所读学校同年级本专业前30％之内者（在其它方面有突出表现的学生除外），已经获得或即将获得所在高校推荐免试生资格者优先</t>
  </si>
  <si>
    <t>2025/6/24前</t>
  </si>
  <si>
    <t>1、《中山大学生物医学工程学院优秀大学生夏令营申请表》（附件1）一份；
　　2、个人陈述材料（关于曾经做过的研究工作以及未来学习和研究的计划、目标等，不少于1500字）；
　　3、本科生提供本科阶段成绩单和前5个学期（或前三学年）总评成绩排名证明（由学校或学院教务部门盖章，成绩排名证明模板见附件2）；
　　4、外语水平证明材料（如国家英语四级或六级考试成绩、TOEFL成绩、GRE成绩、雅思成绩等复印件）；
　　5、学生证复印件1份（将个人信息页和注册信息页复印在1张A4纸上）；
　　6、身份证复印件1份（将正反面复印在1张A4纸上）；
　　7、其他证明材料，包括但不限于：获奖证书、专利证书，发表的、能体现自身学术水平的学术论文（已发表论文提供期刊目录、论文首页）、出版物或原创性工作成果材料等；
　　8、承诺书（附件3）；
　　以上材料1-8请按照顺序汇总成一份PDF文件（不超过5M），文件名称为：2025夏令营+姓名+就读学校，例“2025夏令营_赵小明_中山大学”</t>
  </si>
  <si>
    <t>本次夏令营将免费为参营学生提供用餐，住宿及往返路费需自理，但将为被录取为本学院研究生的营员报销住宿及往返路费。活动期间，每天将为学员提供免费的茶歇。</t>
  </si>
  <si>
    <t>7月8日
营员线上签到及材料核验
7月9日
上午：开营仪式、学院及系科介绍
下午：公共卫生学院夏令营学术论坛
7月10日
营员分组展示
7月11日
营员个人展示
7月12日
结营仪式</t>
  </si>
  <si>
    <t>7月3日中午12:00前</t>
  </si>
  <si>
    <t>7月8日至7月12日</t>
  </si>
  <si>
    <t>（1）《上海交通大学公共卫生学院 2026 年全国优秀大学生夏令营报名登记表》（报名系统生成，需签字盖章）；
（2）身份证、学生证扫描件各1份；
（3）本科期间成绩单扫描件1份（教务处盖章）；
（4）截至目前，成绩在所学本科专业和年级的排名证明，以及已获绩点/绩点总分的证明（专业排名/排名总人数；年级排名/排名总人数；已获绩点/绩点总分）（教务处盖章）；
（5）两位所在学院副教授及以上职称的专家推荐信（模板见附件）；
（6）个人简历（限单面A4纸大小）；
（7）其他证明材料扫描件（获奖或资格证书、国家英语四、六级等各类英语考试成绩单、论文著作等）各1份。
注：身份证和学生证须准备原件用于报到时在线核验；所有材料的电子版/扫描件请按要求上传报名系统；夏令营入围同学请准备全套纸质版材料按入营邮件通知寄送至指定地点（具体另行通知）。</t>
  </si>
  <si>
    <t>A等，优秀营员，申请者须符合医学院接收优秀本科毕业生推荐免试攻读博士学位研究生招生要求，且与夏令营参加的培养单位及专业一致，将按照选拔结果择优录取，额满为止；
B等，优秀营员，申请者须符合医学院接收优秀本科毕业生推荐免试攻读硕士学位研究生招生要求，且与夏令营参加的培养单位及专业一致，将按照选拔结果择优录取，额满为止；
C等，未获得夏令营优秀营员资格，仍可通过推荐免试或全国统考入学方式报考我校。</t>
  </si>
  <si>
    <t>英语水平须达到CET6≥425或TOEFL≥90或IELTS≥6.0</t>
  </si>
  <si>
    <t>7月10日下午
营员报到
7月11-12日
夏令营相关活动
7月13日上午
离营</t>
  </si>
  <si>
    <t>截止时间为7月2日24:00</t>
  </si>
  <si>
    <t>2025年7月10日-7月13日</t>
  </si>
  <si>
    <t>、《上海交通大学基础医学院2025年全国优秀大学生夏令营报名登记表》（报名系统生成，本人签字）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5、两位副高（含）以上职称的专家推荐信（请使用报名系统中的模板）
6、其他证明材料扫描件（国家英语四、六级等各类英语考试成绩单、获奖或资格证书、论文著作等）各1份
注：身份证和学生证须准备原件用于核验；所有材料的电子版/扫描件请按要求上传报名系统；夏令营入围同学请准备全套纸质版材料，入营后提交给各系秘书。</t>
  </si>
  <si>
    <t>具有良好的外语水平，满足下列条件之一可优先：1.六级≧425分；2.雅思≧6.0分；3.托福≧90分。获国家级英语比赛三等奖以上奖项者优先。</t>
  </si>
  <si>
    <t>报到、开幕式、学科交流（具体安排另行通知）</t>
  </si>
  <si>
    <t>本次报名仅接受电子材料。请按下列顺序将材料扫描整合为一个文档，以PDF格式提交电子版，最终确认报名以收到邮件回复为准。受理邮箱地址：shengyiyijiaren@126.com，电子邮件命名规则为：“游学南医省医临床-姓名-在读院校-联系电话-报考专业”（未按要求提交材料不予受理）。需提交材料如下：
1.南方医科大学2025年“游学南医省医临床”科研体验行活动申请表电子版（附件1，必需项）
 2.本科阶段成绩单及同年级总成绩排名表扫描件（由教务部门或院系盖章，必需项）
3.英语水平证明扫描件（四六级或雅思托福证书等，必需项）
4.学生证（正反面扫描件，必需项）
5.个人简历（必需项）
6.学生所在院校专任教师（副高及以上职称）推荐信（附件2）
7.其他材料（如已发表的学术论文、科研成果、获奖证书等）。</t>
  </si>
  <si>
    <t>1.我院为学员提供游学期间期间免费食宿（本校学生、广州市内学生不提供住宿），交通费学员自理。
2.我院为学员提供活动礼品（入营纪念品、证书等）。
3.活动期间表现优秀者颁发“优秀学员”证书。相关政策参照学校要求执行。</t>
  </si>
  <si>
    <t>深圳临床医学院</t>
  </si>
  <si>
    <t>具有良好的外语水平，满足下列条件之一者可优先:1.六级≥425分;2.雅思≥6.0分;3.托福≥90分。获国家级英语比赛三等奖以上奖项者优先</t>
  </si>
  <si>
    <t>宣传学校及院系历史文化、培养理念、学科建设等，组织参观教学、科实验等活动</t>
  </si>
  <si>
    <t xml:space="preserve"> 即日起至2025年6月29日17:00前。</t>
  </si>
  <si>
    <t>2025年7月3日-2025年7月4日</t>
  </si>
  <si>
    <t>1.南方医科大学深圳临床医学院2025年全国科研体验行申请表电子版(附件1)
2.英语水平等证明材料扫描版</t>
  </si>
  <si>
    <t>(一)我院免费为学员提供活动期间住宿(深圳市内除外)，就餐免费，往返交通费由学员自理。
(二)为学员提供活动礼品(南医文创纪念品礼包、科研行活动证书等)
(三)带领学员参观深圳相关展览馆、实验室，领略中国改革开放前沿城市风采</t>
  </si>
  <si>
    <t>授课、讲座、参观、实践等</t>
  </si>
  <si>
    <t>即日起-2025年6月30日</t>
  </si>
  <si>
    <t>2025年7月23日-7月27日</t>
  </si>
  <si>
    <t>申请材料要求电子版。
1.教育部学籍在线验证报告：登陆“学信网”在“在线认证”一栏申请办理教育部学籍在线验证报告；
2.身份证：本人身份证正反面；
3.本科阶段成绩单 (学校教务部门或院系盖章)；
4.本科阶段本专业排名证明(学校教务部门或院系盖章)；
5.英语水平证明：CET-4/CET-6成绩单；
6.其他证明材料：包括各类获奖证书复印件、代表性学术论文、出版物或原创性工作成果等；
7.个人简历：简要简历，A4纸1页以内。
8.南方医科大学康复医学院2025年“游学南医”科研体验行活动申请表签字盖章扫描版。（见附件）</t>
  </si>
  <si>
    <t>“游学南医”科研体验行活动将在线下举行，非广州本地学校学生将由我院统一安排住宿，住宿费由我校承担，往来交通费及伙食费自理</t>
  </si>
  <si>
    <t>举办学术报告、专业介绍、营员个人能力展示、师生交流、参观实验室及校园等活动</t>
  </si>
  <si>
    <t>6月30日24:00前</t>
  </si>
  <si>
    <t>7月19日报到，7月20-21日活动</t>
  </si>
  <si>
    <t>1.“武汉大学生命科学学院2025年优秀大学生夏令营申请表”（系统打印或下载附件1）（如跨页须正反双面打印，须由申请人亲笔签名、所在学校院系推荐意见和教务部门盖章）；
　　2.“武汉大学生命科学学院2025年优秀大学生夏令营个人陈述”（系统打印或下载附件2，须由申请人亲笔签名）；
　　3. 本科前两年半或三年学习成绩单原件及学习成绩排名证明原件（如不能提供，请所在学校院系或教务部门出具不能提供学习成绩排名的证明原件）；
　　4. 两封专家推荐信（下载附件3和附件4），须由专家亲笔签名。（1）申请人所在本科学校的教师（副教授及其以上职称）推荐信1封；（2）武汉大学生命科学学院的教师（副教授及其以上职称）推荐信1封。
　　5. 国家英语四、六级考试成绩或TOEFL/GRE/GMAT/IELTS成绩等体现自身外语水平的证明；
　　6. 体现自身学术水平的代表性学术论文、专利、出版物或原创性成果，各类获奖竞赛证书等证明；
　　7.《诚信参加夏令营承诺书》（下载附件5）</t>
  </si>
  <si>
    <t>学院为参营人员购买夏令营活动期间人身意外伤害保险、提供夏令营活动期间在汉食宿（武汉市本地高校学生不提供住宿）。
　　自外地高校的夏令营营员，被我校推免录取的，入学后凭票按硬卧火车票或汽车票标准报销报销参营交通费，费用由学校承担。</t>
  </si>
  <si>
    <t xml:space="preserve">
　　A类营员如具备推免资格，在规定时间内进入教育部推免系统报考我院推免生，可优先进入推免复试名单。</t>
  </si>
  <si>
    <t>夏令营活动设置个人能力展示环节，要求考生提前准备PPT，介绍时间5分钟。师生进行充分沟通交流后，评选出A类营员和B类营员。</t>
  </si>
  <si>
    <t>2025年7月20日开营。</t>
  </si>
  <si>
    <t>1. 网上报名后生成的表格打印后本人签字；
2. 专家推荐信2封（推荐信模板可在本通知下方的链接下载）；
3. 前两年半成绩单（有学校教务部门公章）与总评成绩排名证明（有学校教务部门或所在院系公章）；
4. 能体现自身能力的获奖证书复印件、英语水平证明、学术论文等。
以上所有申请材料请扫描后依次汇总成一个PDF格式文件上传网络报名系统。
 请自觉保证提供材料的真实性。营员报到时需携带纸质申请材料（其中成绩单和排名证明必须为原件），夏令营组委会将会对材料进行复核，如有不实将取消录取资格。</t>
  </si>
  <si>
    <t>1. 夏令营期间为营员提供伙食补贴和住宿；
2. 营员往返交通费用暂需自理。2026年被录取为中国科学技术大学研究生的，在2026年9月研究生入学报到后可报销往返交通费（需保留报销凭证）。报销区间为：来程—学校到合肥，去程—合肥到学校或家庭所在地（日期需符合），报销标准为火车硬卧（含硬座和动车二等座）</t>
  </si>
  <si>
    <t>学习成绩优秀，本科期间综合成绩年级排名原则上要求为：双一流建设高校年级成绩前30%，行业特色院校成绩排名前10%
直博生申请条件：
（1）取得推免资格；
（2）双一流建设高校优秀应届本科毕业生；
（3）学习成绩优秀，本科期间综合成绩年级排名前20%；
（4）外语水平达到CET6≥480分，或托福TOEFL网考≥90分，或雅思IELTS考试≥6.0分。</t>
  </si>
  <si>
    <t>营员报到、政策宣讲
开营仪式、校园/医院参观
参观实验室、科研平台介绍、学科团队介绍
营员自我介绍、导师团队及优秀学长交流
离营</t>
  </si>
  <si>
    <t>自即日起开始报名，截止日期2025年6月29日</t>
  </si>
  <si>
    <t>1、申请表（报名成功后由系统自动生成，下载打印经所在单位推荐盖章后再上传至系统更新）；
2、本科成绩单和专业排名证明（各1份；院、校两级教务部门盖章均可）；
3、大学英语四/六级成绩单、TOEFL、GRE成绩单等英语成绩证明材料；
4、其他综合素质能力的证明材料（如论文、专利、荣誉获奖证书等复印件）。
5、个人简历（1-2页）</t>
  </si>
  <si>
    <t>4、营员（非成都本地高校）统一由中心安排住宿，费用由中心承担。
5、请报名时正确填写所有信息，勿重复填写！请确保填报信息准确无误，若有虚假，一经查实将取消报名资格！若录取则取消录取资格！
6、本次营员若于本年度9月参加中心推免面试，并最终成功推免至中心，将报销9月推免面试期间本科院校所在城市至成都的往返火车票价。</t>
  </si>
  <si>
    <t xml:space="preserve">
1、在营期间进行的一切相关活动，禁止录音录像；
2、在营期间，营员必须遵守四川大学相关规定，且做好自身安全防护工作。按照相应安排参加活动，擅自不参加者，举办方将不提供相关住宿及后续补助；
3、线下营员前来参加夏令营活动，需告知所在学校和父母，在征得同意后注意出行安全。对因违反四川大学相关规定和营员手册等规章制度导致的安全事故，由本人承担所有责任；
</t>
  </si>
  <si>
    <t>优才夏令营</t>
  </si>
  <si>
    <t>英语合格（CET6≥425 或TOEFL≥90 或 IELTS≥6.0）</t>
  </si>
  <si>
    <t>详见各培养单位官网</t>
  </si>
  <si>
    <t>夏令营将根据参加者的综合表现给予如下评定： A 等，优秀营员， 申请者须符合医学院接收优秀本科毕业生推 荐免试攻读博士学位研究生招生要求，且与夏令营参加的培养单位 及专业一致，将按照选拔结果择优录取，额满为止； B 等，优秀营员， 申请者须符合医学院接收优秀本科毕业生推 荐免试攻读硕士学位研究生招生要求，且与夏令营参加的培养单位 及专业一致，将按照选拔结果择优录取，额满为止； C 等，未获得夏令营优秀营员资格，仍可通过推荐免试或全国 统考入学方式报考我校</t>
  </si>
  <si>
    <t>国内相关院校对口专业（药学、生物学、化学、中药学、材料等相关学科）大三在读学生；对药物化学、生药学、微生物与生化药学、制药工程等药学领域科学研究有浓厚的兴趣，有志于从事科研工作，具有较强的科研潜力和创新精神。</t>
  </si>
  <si>
    <t>英语成绩优秀，功底扎实，英语水平良好，符合以下任意一条：
（1）通过全国大学英语六级考试,成绩425分及以上；或通过全国大学英语四级考试且成绩为优秀（550分及以上）；
（2）TOEFL成绩90分及以上；
（3）IELTS（A类/学术类）成绩6分及以上；
（4）GRE成绩在310以上，GMAT成绩在640以上；
（5）英语专业四级（及以上）考试合格。</t>
  </si>
  <si>
    <t>夏令营期间拟开展学科介绍、实验室参观、学术交流等活动，具体日程安排另行通知，请同学们留意学院网站的相关信息。</t>
  </si>
  <si>
    <t>6月24日至7月4日</t>
  </si>
  <si>
    <t>2025年7月14日-15日</t>
  </si>
  <si>
    <t>学习成绩优异，对免疫学、病原生物学有浓厚兴趣，有志于从事免疫学、病原生物学领域研究工作，具备一定的科研能力与科研潜力</t>
  </si>
  <si>
    <t>英语水平良好，CET6≥425或TOEFL≥90或IELTS≥6.0</t>
  </si>
  <si>
    <t>7月10日下午
报到入营
7月11日
开营仪式、笔试等
7月12日
面试
7月13日上午
离营</t>
  </si>
  <si>
    <t>2025年6月21日至2025年7月2日（周三）24:00</t>
  </si>
  <si>
    <t>2025年7月10日（周四）—7月13日（周日）</t>
  </si>
  <si>
    <t>计划招收60人</t>
  </si>
  <si>
    <t>入围营员入营时须递交以下纸质版材料：
1、《上海交通大学基础医学院2025年全国优秀大学生夏令营报名登记表》（报名系统生成，本人签字）；
2、身份证、学生证复印件各1份；
3、本科期间成绩单复印件1份（教务处盖章）；
4、截至目前，成绩在所学专业和年级的排名证明，已获绩点/绩点总分的证明（教务处盖章）；
5、两位副高（含）以上职称的专家推荐信（请使用报名系统中的模板）；
6、其他证明材料复印件（国家英语四、六级等各类英语考试成绩单、获奖或资格证书、论文著作等）各1份。
注：身份证和学生证须准备原件用于核验；所有材料的电子版请在报名时按要求上传报名系统。</t>
  </si>
  <si>
    <t>1、本次夏令营不收取任何费用；
2、提供夏令营期间在沪的食宿（原则上沪内学生不提供住宿）；
3、提供往返路费（原则上最高标准为营员所在学校往返上海的火车二等座标准，需提供车票）。</t>
  </si>
  <si>
    <t>有效力，综合营员综合素质、科研能力和学术潜质等进行考核，考核评审结束后给予相应的考核等第成绩（经医学院研究生院统一公示后生效），具体如下：
A等，优秀营员，申请者须符合医学院接收优秀本科毕业生推荐免试攻读博士学位研究生招生要求，且与夏令营参加的培养单位及专业一致，将按照选拔结果择优录取，额满为止；
B等，优秀营员，申请者须符合医学院接收优秀本科毕业生推荐免试攻读硕士学位研究生招生要求，且与夏令营参加的培养单位及专业一致，将按照选拔结果择优录取，额满为止；
C等，未获得夏令营优秀营员资格，仍可通过推荐免试或全国统考入学方式报考我校。</t>
  </si>
  <si>
    <t>白求恩第三医院（中日联谊医院）</t>
  </si>
  <si>
    <t>活动内容包含学术讲座、专业介绍、师生交流、意向科室交流学习、了解校院文化历史等活动；搭建同学们与导师们交流沟通的平台，向广大学子全面展示学院的优势特色，同时促进各高校学子间的交流，增进彼此了解，架设友谊桥梁。</t>
  </si>
  <si>
    <t>申请截止时间：2025年7月6日</t>
  </si>
  <si>
    <t>2025年7月16日—18日</t>
  </si>
  <si>
    <t>提交材料    
    （1）《吉林大学2025年校园学术活动开放日报名表》，（由报名系统中填报生成）；    
    （2）由教务处或所在院系开具的成绩单与总评成绩排名证明；    
    （3）成绩单一份，需加盖教务部门公章；    
    （4）个人简历一份，无特殊格式要求；    
    （5）外语水平证明（英语四、六级证书等）及其它获奖证明材料。</t>
  </si>
  <si>
    <t>校园学术活动开放日期间，我院将为学员提供午餐，为非本地学员提供交通费用（高校或家庭所在城市至长春的往返普通火车硬卧、硬座车票、高铁动车二等座车票）和安排住宿。家庭住址或本科院校在长春本地的学员一般情况不安排住宿。</t>
  </si>
  <si>
    <t>活动过程中将安排理论和技能考核，在活动中学术能力考核合格，并具备所在学校2026年硕士研究生“推荐免试资格”的学生，考核成绩可以做为推免阶段的重要参考依据。</t>
  </si>
  <si>
    <t>线上和线下两部分</t>
  </si>
  <si>
    <t>1、线上夏令营
（1）时间：7月7日，具体安排后续通知
（2）内容：包括学院介绍、专业介绍、各附属医院及招生专业团队介绍等，详细安排后续发布。
2、线下夏令营
（1）7月8日下午：营员报道
（2）7月9日：上午开营仪式、学院介绍、专业介绍、团队介绍，下午团队介绍、实验室参观，分组交流
（3）7月10日：营员选拔、参观、结营仪式</t>
  </si>
  <si>
    <t>7月1日-7月3日15:00</t>
  </si>
  <si>
    <t>线上：7月7日；线下：7月8日-10日</t>
  </si>
  <si>
    <t>1、个人简历1份；
2、电子科技大学全国优秀大学生夏令营申请表（报名成功后系统自动生成，申请人本人签字后扫描）；
3、四年制专业本科阶段前五个学期、五年制专业前七学期成绩单1份（须加盖院系或学校教务部门公章）；
4、专业综合成绩排名1份（须加盖院系或学校教务部门公章）；
5、身份证及学生证；
6、考生结合自身情况选择提交：相关证明材料复印件1份（如国家英语四、六级证书等英语水平证明材料；已发表学术论文、出版物或原创性工作成果；各类获奖或资格证书等体现自身学习和工作能力的材料）
注：以上申请材料请按照1-6顺序通过扫描方式整理为一份PDF格式的电子文件，文件名为：姓名-学校名称-专业-夏令营预报名材料。</t>
  </si>
  <si>
    <t>线下参加的同学，往返交通、住宿等费用一律自行解决。若学生最终在国家系统中填报了我院相关专业并确定被拟录取，学院在2026年9月入学报到后给予一定的交通、住宿补助。</t>
  </si>
  <si>
    <t>线下夏令营将设置“优秀营员”选拔环节，“优秀营员”获得者若取得所在本科学校推免资格，且符合我校推免生接收条件，并在教育部推免系统中第一志愿填报获得“优秀营员”对应专业，学院将优先拟录取。</t>
  </si>
  <si>
    <t>本次活动包括专家讲座、参观交流等，具体日程将在营员招募完成后公布</t>
  </si>
  <si>
    <t>6月24日至7月1日</t>
  </si>
  <si>
    <t>材料提交：请申请入营的同学准备好以下材料
    （1）夏令营报名表（附件1，申请人声明处须签字确认）；
    （2）学业成绩单（须加盖院系或学校教务部门公章）；
    （3）总评成绩排名证明（须加盖院系或学校教务部门公章）；
    （4）英语四六级成绩单或同等类别外语考试成绩单；
    （5）学科专家推荐书（附件2，推荐人为副高级职称及以上专家）；
    （6）已发表论文或接收函（可选）；
    （7）校级及以上获奖证书（可选）；
    （8）各类实践技能大赛获奖证书或相关作品（可选）。
    本次报名申请采用线上提交的方式，不再单独接收纸质版材料，请报名同学将申请材料以（1）-（8）的顺序扫描并合并成一个PDF文件后，打包发送至邮箱kqyxyyjs@lzu.edu.cn（邮件主题：姓名—夏令营—本科院校）。</t>
  </si>
  <si>
    <t xml:space="preserve"> 1.夏令营活动期间提供营员住宿（兰州市本地学校学生不提供住宿）。
    2.提供来自外地高校的营员往返高铁二等座、硬卧火车票或汽车票资助（凭票）。
    3.我院将为营员购买夏令营活动期间人身意外伤害保险，保险期自报到日起至闭营日。</t>
  </si>
  <si>
    <t>病毒病预防控制所</t>
  </si>
  <si>
    <t>学习成绩优秀，具体表现为：“双一流”高校学生截至目前总评成绩在本专业排名前50%、“所在学科教育部第四轮学科评估B+及以上”，高校学生截至目前总评成绩在本专业排名前20%、普通类高校学生截至目前总评成绩在本专业排名前5%者将被优先考虑。</t>
  </si>
  <si>
    <t>英语水平良好，原则上应达到国家六级水平（425分以上）</t>
  </si>
  <si>
    <t>2025年6月25日-7月10日</t>
  </si>
  <si>
    <t>2025年7月中下旬（具体时间将另行通知）</t>
  </si>
  <si>
    <t>我所可招收病原生物学、免疫学和公共卫生三个专业的研究生，本次活动计划面向全国高校招收对以上专业感兴趣的约20名营员，每个专业方向各拟招6人，实际入营人数将依据报名情况做适当调整。</t>
  </si>
  <si>
    <t>1.《病毒病所2025年大学生夏令营活动申请表》（需加盖公章）；
　　2.本人有效期内的身份证与学生证扫描件；
　　3.本科成绩单1份，并加盖院系教务部门公章（提交扫描件）；
　　4.英语水平证书（提交扫描件）；
　　5.其他可证明培养潜力和能力的材料：如在学术期刊上发表的文章、出版物或其他学术作品，专利，各类获奖证书等（提交扫描件）。</t>
  </si>
  <si>
    <t>本次夏令营将根据营员表现评选出优秀营员，并为优秀营员颁发证书。
　　夏令营期间为营员提供免费食宿，交通费用需自理。病毒病所会为入选营员统一购买活动期间的团体意外保险。</t>
  </si>
  <si>
    <t>学院招生宣讲、各学科专业介绍、师生交流互动等</t>
  </si>
  <si>
    <t>6月26日8:00至7月7日17:00</t>
  </si>
  <si>
    <t>7月中旬（具体时间以学院通知为准）</t>
  </si>
  <si>
    <t>1.“武汉大学第二临床学院2025年优秀大学生线上夏令营”申请表1份（附件1），申请表须有本人所在学校院系推荐意见和教务部门盖章；
2.个人陈述1份（附件2）；
3.其他证明材料（如：本科阶段学习成绩单；获奖证书；国家英语四、六级考试成绩或TOEFL/GRE/GMAT/IELTS成绩等体现自身外语水平的证明；体现自身学术水平的代表性学术论文、专利、出版物或原创性成果等；其他各类证书，等）</t>
  </si>
  <si>
    <t>学习成绩优秀，本科期间总评成绩排名在本专业前30%之内或综合表现优异（如在校期间获得科技活动、学科竞赛相关奖项或在重要期刊发表学术论文等）</t>
  </si>
  <si>
    <t>7月10日上午：开营仪式、学院及附属医院参观、学科专业介绍；
7月10日下午：师生交流、朋辈座谈、闭营仪式。</t>
  </si>
  <si>
    <t>2025年6月27日--2025年7月3日</t>
  </si>
  <si>
    <t>7月9日（14:00-16:00）营员报到，地点另行通知；
（1）携带本人身份证、学生证供核验；
（2）交学生证复印件；
（3）交《江南大学全国优秀大学生暑期夏令营申请表》原件；
（4）交本科成绩单原件（盖章版）。</t>
  </si>
  <si>
    <t>我院将根据营员申请材料及活动期间综合表现选拔出优秀营员，颁发优秀营员证书。活动期间食宿学院统一安排，营员安全由本人负责，学院为营员统一购买意外保险。</t>
  </si>
  <si>
    <t>精神医学学院</t>
  </si>
  <si>
    <t>满足以下条件之一：1. 大学期间无不及格及重修课程，截至目前的成绩平均绩点≥4.0（绩点5分制）或成绩排名在专业前30%；
2. 大学期间获校级三等及以上奖学金或校级及以上荣誉称号；
3. 以团队负责人参与校级及以上学科竞赛并获三等及以上奖项；
4. 以第一负责人发表学术论著或参与市级及以上科研项目。</t>
  </si>
  <si>
    <t>素质拓展、师生座谈会、参观实验室及附属医院等多元形式开展（具体活动日程安排请以入选后正式通知为准）</t>
  </si>
  <si>
    <t>7月2日17:00前</t>
  </si>
  <si>
    <t>1.温州医科大学精神医学学院2025年优秀大学生夏令营报名表（附件1）；
2.本人第二代居民身份证和学生证；
3.学籍在线验证报告（登录中国高等教育学生信息网（www.chsi.com.cn），进入“学信档案”-“在线验证报告”，在线申请验证并下载“教育部学籍在线验证报告”）；
4. 英语CET-6成绩单或其他英语水平测试成绩单；
5. 上述申请条件（四）的佐证材料
注：凡参加夏令营者，须携带上述申请资料1-5中所涉及的相关材料原件至报到现场供核验。</t>
  </si>
  <si>
    <t>我校夏令营不收取任何费用，营员交通和食宿自理，根据营员本科高校所在地，按照以下标准一次性给予来校的交通食宿补贴：（1）温州市内：200元/人；（2）浙江省内（除温州市）：500元/人；（3）华东地区（除浙江省）：800元/人；（4）华南、华中、华北地区：1000元/人；（5）东北、西北、西南地区：1200元/人。一志愿报考我校或通过推免的方式被我校录取的营员入学当年可享受一等学业奖学金（1.2万元/生·年）</t>
  </si>
  <si>
    <t>内容：围绕学科及科研前沿介绍、导师团队介绍、培养学生理念、学
生就业等； 
形式：讲座、学术交流、实验参观、导师面对面交流等</t>
  </si>
  <si>
    <t>6月26日-7月3日</t>
  </si>
  <si>
    <t xml:space="preserve">通过学科组联系邮箱，向学
科组提出入校参加夏令营的申请。同时，申请人须递交1份个人情况
简介至学科组联系邮箱。简介内容包括思想品德、所学专业、学习经
历、成绩情况、科研能力等反应个人综合素质的简介及佐证材料；简
介字数不限，格式不限。 </t>
  </si>
  <si>
    <t>英语水平符合以下条件之一：大学英语六级426 分或四级497 分、托福85 分或雅思6分以上、英语专业四级合格及以上、英语专业八级合格及以上</t>
  </si>
  <si>
    <t>学院宣讲、与学院导师面对面交流、学
生个人能力展示等活动。</t>
  </si>
  <si>
    <t>至7 月4 日中午12:00 点</t>
  </si>
  <si>
    <t>7月14日-16 日（具体安排将另行通知）</t>
  </si>
  <si>
    <t>① 个人简历（报名网站暑期开放日模块有模板） 
② 学生证封面和个人信息页 
③ 身份证复印件，正反面扫描在一张A4 纸上，要求图像清晰 
④ 本科阶段成绩单及排名证明 
⑤ 英语水平证明材料（四六级证书、托福、雅思、GRE 等，须与 
个人填写的信息相匹配）  
⑥ 荣誉获奖证明材料  
⑦ 学术能力证明材料  
上述所有材料在报到时，提交纸质材料。</t>
  </si>
  <si>
    <t>提供食堂就餐，住宿自理。对于后续入学到我院的同学，学院将提供往返
我院参加开放日的交通补贴（按本科学校所在地往返南京的普通硬座、硬卧或动车、
高铁二等座及以下标准车票价格计算，需提供原始票根）。</t>
  </si>
  <si>
    <t>2025.6.28-2025.7.7</t>
  </si>
  <si>
    <t>2025.7.15-7.16左右</t>
  </si>
  <si>
    <t>参营人数为400人左右</t>
  </si>
  <si>
    <t>1. 武汉大学第一临床学院2025年优秀大学生线上夏令营申请表1份（附件1），申请表须有所在院系推荐意见和教务部门盖章。
2. 个人陈述1份（附件2），须有申请人签名。
3. 其他证明材料：例如本科阶段学习成绩单（加盖院系或教务部门公章），获奖证书复印件，国家英语四、六级考试成绩或TOEFL/GRE/GMAT/IELTS成绩等体现自身外语水平的证明，体现自身学术水平的代表性学术论文、专利、出版物或原创性成果，其他各类证书等。</t>
  </si>
  <si>
    <t>2025.6.26-2025.7.3</t>
  </si>
  <si>
    <t>2025.7.11</t>
  </si>
  <si>
    <t>个人情况简历（思想品德、所学专业、学习经历、成绩情况、科研能力等反应个人综合素质的简介及佐证材料，字数和格式不限</t>
  </si>
  <si>
    <t>内容:学院概况介绍、药学学科导师和导师团队介绍、科研情况讲解、培养理念和学生就业情况介绍等;
形式:讲座、学术交流、校园参观、校史馆和朱宪彝纪念馆参观、实验室参观、导师面对面交流等。
具体时间、地点和内容等安排待报名后另行通知。</t>
  </si>
  <si>
    <t>2025.7.9-2025.7.10</t>
  </si>
  <si>
    <t>内容：围绕学科及科研前沿介绍、导师团队介绍、培养学生理念、
学生就业等；
形式：讲座、实验参观、导师面对面交流等。
具体到校时间、内容等安排请通过联系邮箱详询。</t>
  </si>
  <si>
    <t>2025.6.27-2025.7.2</t>
  </si>
  <si>
    <t>2025.7.7</t>
  </si>
  <si>
    <t>2025.6.23-2025.6.30</t>
  </si>
  <si>
    <t>2025.7.9</t>
  </si>
  <si>
    <t>填写《天津医科大学生物医学工程与技术学院暑期夏令营活动申请表》和汇总表</t>
  </si>
  <si>
    <t>1. 天津医科大学公共卫生学院基本情况、学科发展、人才培养及招生政策介绍。
2. 各二级学科、课题组 PI 招生宣传与师生互动。
3.联合培养单位招生宣传。</t>
  </si>
  <si>
    <t>2025.6.20-2025.7.9 24：00</t>
  </si>
  <si>
    <t>2025.7.14</t>
  </si>
  <si>
    <t>控制在参与名额300人以内</t>
  </si>
  <si>
    <t>有意申请者请填写《天津医科大学公共卫生学院 2025 年度优秀大学生暑期夏令营报名信息采集》问卷</t>
  </si>
  <si>
    <t>磁共振与分子影像技术研究院</t>
  </si>
  <si>
    <t>本科前三年学习成绩在所在专业年级总排名的前20%以内</t>
  </si>
  <si>
    <t>原则上线上参加夏令营，允许学生自费线下参加(带好身份证，刷证入校)</t>
  </si>
  <si>
    <t>夏令营活动为1天，具体日程暂定为:7月9日上午:走进课题组、研究院专业特色介绍及答疑活动7月9日下午:深入交流</t>
  </si>
  <si>
    <t>2025.6.26-2025.7.2</t>
  </si>
  <si>
    <t>1、居民身份证;2、夏令营诚信承诺书;3、华东师范大学优秀大学生夏令营申请表;4、个人陈述1份，介绍本人的学习业绩、专业能力倾向、工作成果、学术研究兴趣、曾参与过的科研项目、创新意识和创新能力、研究生阶段的学习和研究计划、其他特长及本人认为对于申请有参考价值的内容;5、本科成绩单(前5学期)1份，请学生依据个人实际情况上传;6、专家推荐信1封，需要副教授及以上职称专家推荐;7、其他材料(英语等级证书、论文发表、专利发明、各类获奖或资格证书等)</t>
  </si>
  <si>
    <t>在校前五或七个学期学业成绩排名在专业或班级前20%（所有专业课成绩及格）</t>
  </si>
  <si>
    <t>2025.6.25-2025.6.30</t>
  </si>
  <si>
    <t>2025.7.4</t>
  </si>
  <si>
    <t>70人</t>
  </si>
  <si>
    <t>1. 优秀大学生暑期夏令营申请表（见附件）；
2. 身份证正反面扫描件；
3. 本科前五个学期成绩单及综合成续排名证明（须加盖学校教务部门公章）；
4.外语水平证明（大学英语四级、六级考试，托福，雅思，PETS 等证书或成绩单）
5. 有关学术科研成果（发表论文、专利或参与科研项目情况等，论文提供封面及首页，没有可不提供）；
6. 各类获奖、资格证书等体现自身学习和工作能力的材料（没有可不提供）。</t>
  </si>
  <si>
    <t>内蒙古大学</t>
  </si>
  <si>
    <t>开营式、导师见面会、参观生命科学学院/生物医学研究院科创大楼、朋辈分享、闭营式等。</t>
  </si>
  <si>
    <t>2025.6.26-2025.7.15</t>
  </si>
  <si>
    <t>2025.7.29</t>
  </si>
  <si>
    <t>1. 2025年内蒙古大学生物医学研究院夏令营”申请表（附件1）、学业信息登记表（附件2）各1份；
2. 本科阶段成绩单及专业排名证明（由学校教务部门盖章）；
3. 国家英语四、六级考试成绩或TOEFL成绩、或GRE/GMAT成绩等体现自身英语水平的证明材料复印件1份；
4. 其他证明或推荐材料，如学术论文、获奖证书、其他原创性工作成果复印件等。</t>
  </si>
  <si>
    <t>夏令营不收取报名费。研究院可承担营员7月28日一晚住宿费，其余费用由营员自行承担。</t>
  </si>
  <si>
    <t>艾防中心</t>
  </si>
  <si>
    <t xml:space="preserve">“双一流”高校学生截至目前总评成绩在本专业排名前50%、“所在学科教育部第四轮学科评估B+及以上”高校学生截至目前总评成绩在本专业排名前20%、普通类高校学生截至目前总评成绩在本专业排名前5%优先；
</t>
  </si>
  <si>
    <t>最低需要达到全国大学英语六级（430分以上）。</t>
  </si>
  <si>
    <t>2025.7.1-2025.7.15</t>
  </si>
  <si>
    <t>10名</t>
  </si>
  <si>
    <t>（一）《艾防中心2025年大学生暑期夏令营报名申请表》（点击附件1下载，加盖公章提交扫描件）；
　　（二）本人有效期内的身份证与学生证原件扫描件；
　　（三）加盖院系教务部门公章的本科成绩单扫描件；
　　（四）外语水平证明原件扫描件，如CET-6、雅思、托福、专业外语成绩等；
　　（五）其他可证明培养潜力和能力的材料扫描件：如在学术期刊上发表的文章、出版物或其他学术作品、专利、各类获奖证书等。</t>
  </si>
  <si>
    <t>　　（一）夏令营期间提供免费食宿，交通费用自理。正式录取为艾防中心研究生后（推免生以通过推免系统完成拟录取为准，统考生以一志愿复试录取为准）凭票据报销往返路费（高铁或动车二等座、普通列车硬座或硬卧、飞机经济舱）；
　　（二）艾防中心为营员统一购买活动期间的团体意外保险。</t>
  </si>
  <si>
    <t>寄生虫病预防控制所</t>
  </si>
  <si>
    <t>“双一流”高校学生截至目前总评成绩在本专业排名前50%、“所在学科教育部第四轮学科评估B+及以上”高校学生截至目前总评成绩在本专业排名前20%、普通类高校学生截至目前总评成绩在本专业排名前5%等优先。</t>
  </si>
  <si>
    <t>英语水平CET6&gt;425或TOEFL&gt;88或IELTS&gt;6.0。</t>
  </si>
  <si>
    <t>活动将以所内参观、专家讲座、师生自由交流、招生咨询等多种形式开展(具体活动安排及日程请以入选后正式通知为准)</t>
  </si>
  <si>
    <t>2025.6.28-2025.7.6</t>
  </si>
  <si>
    <t>2025.7.10-7。12</t>
  </si>
  <si>
    <t>1.《中国疾病预防控制中心寄生虫病预防控制所2025年大学生夏令营活动申请表》(扫描二维码下载，加盖公章);
2.本人有效期内的身份证与学生证(提交扫描件);
3.本科历年成绩单1份，并加盖院系教务部门公章(提交扫描件);
4.英语水平证书(提交扫描件);
5.其他可证明培养潜力和能力的材料:如在学术期刊上发表的文章、出版物或其他学术作品、专利、各类获奖证书等(提交扫描件)。</t>
  </si>
  <si>
    <t>1、夏令营期间提供免费食宿，交通费用自理。正式录取为我所研究生者后(推免生以通过推免系统完成拟录取为准，统考生以一志愿复试录取为准)凭票报销往返路费(凭票实报实销至上海的高铁及动车二等座、普通列车硬座或硬卧、飞机经济舱)
2、为入选营员统一购买活动期间的团体意外保险。</t>
  </si>
  <si>
    <t>辐射防护与核医学医学所</t>
  </si>
  <si>
    <t>2025.6.27-2025.7.7</t>
  </si>
  <si>
    <t>2025.7.16-2025.7.18</t>
  </si>
  <si>
    <t>　　（一）《辐射安全所2025年大学生暑期夏令营报名申请表》（点击附件1下载，加盖公章提交扫描件）；
　　（二）本人有效期内的身份证与学生证原件扫描件；
　　（三）加盖院系教务部门公章的本科成绩单扫描件；
　　（四）外语水平证明原件扫描件，如CET-4、CET-6、雅思、托福、专业外语成绩等(提交扫描件)； ；
　　（五）其他可证明培养潜力和能力的材料扫描件：如在学术期刊上发表的文章、出版物或其他学术作品、专利、各类获奖证书等。</t>
  </si>
  <si>
    <t>　（一）夏令营期间提供免费食宿，交通费用自理。正式录取为辐射安全所研究生后（推免生以通过推免系统完成拟录取为准，统考生以一志愿复试录取为准）凭票据报销往返路费（高铁或动车二等座、普通列车硬座或硬卧、飞机经济舱）；
　　（二）辐射安全所为营员统一购买活动期间的团体意外保险。</t>
  </si>
  <si>
    <t>海南医科大学</t>
  </si>
  <si>
    <t>1.营员报到;
2.开营仪式，平台介绍、课题组介绍;
3.校园及实验室参观:
4.学员与导师交流、面试、优秀营员评选等;
5.结营仪式。
注:日程以实际安排为准</t>
  </si>
  <si>
    <t>2025.6.16-7.2</t>
  </si>
  <si>
    <t>2025.7.11.-7.13</t>
  </si>
  <si>
    <t>100人左右参加</t>
  </si>
  <si>
    <t>1.身份证正反复印件
2.CET-6成绩单
3.学生证首页及注册页。
4.其他自愿提供材料:成绩排名证明;推荐信;已发表的论文、专利:其他原创性工作成果等有参考价值的证明材料。</t>
  </si>
  <si>
    <t>我单位将提供营员在海南期间的食宿和往返路费，详细报销规则以邮件通知为准。</t>
  </si>
  <si>
    <t>中国中医科学院</t>
  </si>
  <si>
    <t>中药研究所</t>
  </si>
  <si>
    <t>1、本科生还需满足以下条件
全国相关高校2026届优秀本科毕业生，985、211、“双一流”建设高校或学科预计可获得推免资格的学生优先；2、硕士生还需满足以下条件：
全国相关高校2026届优秀硕士毕业生，985、211、“双一流”建设高校或学科计划通过“申请-考核”制报考我院博士研究生的学生优先；</t>
  </si>
  <si>
    <t>本科生：具有良好的英语水平：CET-4≥425分；或雅思、托福、GRE考试成绩优良，或有英文期刊论文撰写发表经历。研究生：具有较高的英语水平，应达到以下要求之一：国家英语六级考试（CET-6）≥425；或新TOEFL成绩90分以上；或新GRE成绩305分以上；或WSK（PETS 5）考试合格；或IELTS≥6.0；或国家英语专业4级或8级考试合格；或在相应的英语国家或地区获得过学位；或以第一作者发表英文SCI文章；</t>
  </si>
  <si>
    <t>2025.6.28-7.6 24：00</t>
  </si>
  <si>
    <t>2025.7.20-7.25</t>
  </si>
  <si>
    <t>1.《报名申请表》（附件1）；
2.《个人声明》（附件2），以上材料须保证真实有效，如存在虚假将取消入营资格与后续活动报名资格；
3.《报名汇总表》（附件3）；
4.个人简历及个人陈述(关于个人学术背景、曾经做过的研究工作以及未来学习和研究的计划、目标等)；
5.相关专业高级职称以上专家推荐函1份；
6.教育部学籍在线验证报告：登录“学信网”在“在线认证”一栏申请办理教育部学籍在线验证报告(电子版)，下载并打印；境外高校提供相关在读证明；
7.本科生提供本科阶段成绩单，硕士生提供硕士阶段成绩单，须加盖所在学校教务部门公章；
8.英语水平相关证明：四级或六级水平证书或相关英语成绩证明（官方认证的纸质成绩单电子扫描版PDF）；
9.其他体现自身学术水平或特殊专长的材料（如获奖证书、学术论文、专利、软件著作权等）；
10.本科生还需提交截至目前本专业学分绩点排名证明（含专业成绩排名和综合成绩排名，由学校教务部门盖章或院系出具证明）；
11.硕士研究生还需提交代表性学术成果证明材料（任意2项及以上），中文期刊论文右上角标注CJCR影响因子和期刊属性（“中医药科技期刊分级目录T1级期刊/T2级期刊”或“中国科技期刊卓越行动计划入选期刊”或“当年中国科技期刊引证报告CJCR影响因子0.3以上的核心期刊”），并提供当年CJCR影响因子查询结果证明；SCI请提供web of science检索具有文章类型及影响因子页面，并标注本人作者排序。</t>
  </si>
  <si>
    <t>夏令营不收取营员任何费用，食宿由单位统一安排。</t>
  </si>
  <si>
    <t>1．主体活动：学院将于7月12日-13日举行线下学科宣讲活动，主要包括：学院基本情况介绍、各招生专业团队介绍、与导师面对面交流、与在读研究生交流等，具体日程安排待学院后续通知。
2．综合活动：各招生专业会在7月-8月夏令营主体活动后，会对报名本专业的学生开展学术讲座、学术沙龙、参与招生导师组会等活动，具体时间和参与方式待后续招生专业通知。
3．结营评优：学院将依据营员期间的表现，评选出“优秀营员”。</t>
  </si>
  <si>
    <t>2025.6.30-7.9 上午10：00</t>
  </si>
  <si>
    <t>1．教育部学籍在线验证报告：登录“学信网”在“在线认证”一栏申请办理一个教育部学籍在线验证报告（电子版），下载并打印；电子版：将生成的验证报告电子文件，命名为：“1. 学籍信息”；
2．照片：本人近期一寸白底彩色身份证版式照片。电子版：照片请使用JPG格式电子文件，命名为：“2.照片”；
3．专家推荐书：副教授及以上专家推荐书1份（附件1）。电子版扫描生成一份PDF格式的电子文件，命名为：“3.推荐书” ；
4．本科阶段成绩单及本专业排名证明(学校教务部门或院系盖章)。电子版：各扫描生成PDF格式的电子文件，命名为：“4.1成绩单，4.2专业排名”；
5．英语水平证明：生成PDF格式的电子文件，命名为：“5.英语水平”；
6．其他证明材料：包括各类获奖证书；体现自身学术水平的代表性学术论文、出版物或原创性工作成果等)。将所有材料扫描生成PDF格式的电子文件，如材料较多请建立文件夹，命名为：“6.其他证明材料”。
7．自荐信：格式不限，可包括简历、为何报考相关学院及专业、未来学习研究计划等。生成PDF或Word格式的电子文件，命名为“7.自荐信”。</t>
  </si>
  <si>
    <t>可为入选营员提供夏令营期间在京的食宿（本校或家庭所在地是北京的学生不安排住宿）；住宿时间：7月12日～13日中午13时止；</t>
  </si>
  <si>
    <t>满足以下条件之一：
1. 大学期间无不及格课程，截至目前的成绩平均绩点≥4.0（绩点5分制）或成绩排名在专业前30%；
2. 大学期间获校级三等及以上奖学金或校级及以上荣誉称号；
3. 以团队负责人参与校级及以上学科竞赛并获三等及以上奖项；
4. 以第一负责人发表学术论著或参与市级及以上科研项目。</t>
  </si>
  <si>
    <t>活动以学术讲座、课题组介绍、师生交流、参观实验室等多种形式开展（具体活动安排及日程请以入选后正式通知为准）。</t>
  </si>
  <si>
    <t>2025.6.30-2025.7.7 17：00</t>
  </si>
  <si>
    <t>拟招收20-30人</t>
  </si>
  <si>
    <t>1. 温州医科大学药学院2025年优秀大学生夏令营报名表；
2.本人第二代居民身份证和学生证；
3.学籍在线验证报告（登录中国高等教育学生信息网（www.chsi.com.cn），进入“学信档案”-“在线验证报告”，在线申请验证并下载“教育部学籍在线验证报告”）；
4. 英语CET-6成绩单或其他英语水平测试成绩单；
5. 上述申请条件（四）的佐证材料</t>
  </si>
  <si>
    <t>我校夏令营不收取任何费用，营员交通和食宿自理，根据营员本科高校所在地，按照以下标准一次性给予来校的交通食宿补贴：（1）温州市内：200元/人；（2）浙江省内（除温州市）：500元/人；（3）华东地区（除浙江省）：800元/人；（4）华南、华中、华北地区：1000元/人；（5）东北、西北、西南地区：1200元/人。</t>
  </si>
  <si>
    <t>生物科学与医学工程学院</t>
  </si>
  <si>
    <t>2025.7.1 中午12：00-7.31中午12：00</t>
  </si>
  <si>
    <t>中医基础理论研究所</t>
  </si>
  <si>
    <t xml:space="preserve">活动形式以线下活动为主。活动内容包括开营仪式、开营第一课、招生开讲、印象中研、名师讲堂、实践课堂、专业全沉浸、学科零距离、导师面对面等环节。如通过聆听名家学者的成长之路，感受以“青蒿素精神”为代表的中国中医科学院科学家精神；对话优秀的科研工作者，探讨学科特色和学术发展前沿问题；跟随杰出的导师团队，沉浸式进行科研临床实践；对话教育管理一线老师和研究生会学长，清晰了解报考政策、培养模式、奖助体系和就业前景等，旨在通过特色鲜明、内涵丰富、亮点纷呈的活动安排，让营员和带队辅导员深刻感受中国中医科学院和我所作为国家级中医药科研机构的厚重底蕴和名师风采。
</t>
  </si>
  <si>
    <t>2025.6.30-7.6</t>
  </si>
  <si>
    <t>2025.7.21-7.24</t>
  </si>
  <si>
    <t>不超过10人</t>
  </si>
  <si>
    <t>1.《报名申请表》（附件1）；
2.个人简历（一张A4纸显示），包括个人学习科研临床经历及未来学习和研究的计划目标等；
3.教育部学籍在线验证报告：登录“学信网”在“在线认证”一栏申请办理教育部学籍在线验证报告(电子版)；境外高校提供相关在读证明；
4.英语四级或六级水平证书或相关英语成绩证明（官方认证的纸质成绩单电子扫描版PDF）；
5.本科生提供本科阶段截至目前学分绩点排名（也可参考专业排名和综合排名等多种排名方式）；
硕士生提供硕士阶段成绩单及截至目前本专业总成绩排名证明；
均须加盖所在学校教务部门公章(含专业成绩排名和综合成绩排名，由学校教务部门盖章或院系出具证明)；
6.硕士提供已取得的科研成果（含论文、专利、公开发表的学术性论文、专著等），中文期刊论文右上角标注CJCR影响因子和期刊属性（“中医药科技期刊分级目录T1级期刊/T2级期刊”或“中国科技期刊卓越行动计划入选期刊”或“当年中国科技期刊引证报告CJCR影响因子0.3以上的核心期刊”），并提供2024-2025年CJCR影响因子查询结果证明；SCI请提供web of science检索具有文章类型及影响因子页面，并标注本人作者排序；
7.其他体现自身学术水平或特殊专长的材料(如获奖证书、学术论文、专利、软件著作权等)；
8.个人声明（附件2）
9.夏令营报名汇总表（附件3）
10.夏令营安全承诺书（附件4）</t>
  </si>
  <si>
    <t>本次夏令营不收取任何费用，交通费自理，食宿等费用由我所统一安排。</t>
  </si>
  <si>
    <t>化学生物学与药学院</t>
  </si>
  <si>
    <t>全国大学英语六级水平（成绩 425 分以上）。</t>
  </si>
  <si>
    <t>线上主体活动：学院整体情况介绍、学院导师介绍、学院平台介绍、与导师、在学研究生交流等活动。</t>
  </si>
  <si>
    <t>至 2025 年 7月 4 日</t>
  </si>
  <si>
    <t>10人左右</t>
  </si>
  <si>
    <t>1）教育部学籍在线验证报告：登陆“学信网”在“在线认证”一栏申请办理教育部学籍在线验证报告（电子版），下载电子版，将生成的验证报告电子文件，命名为：“1. 学籍信息”；
2）照片：本人近期一寸白底彩色身份证版式照片。电子版：照片请使用 JPG 格式电子文件，命名为：“2.照片”；
3）本科阶段成绩单及本专业排名证明(学校教务部门或院系盖章)。电子 版：各生成 PDF 格式的电子文件，命名为：“3.1 成绩单，3.2 专业排名”；
4）英语水平证明：生成 PDF 格式的电子文件，命名为：“4.英语水平”；
5）其他证明材料：包括各类获奖证书复印件；体现自身学术水平的代表性 学术论文、出版物或原创性工作成果等)。电子版：生成 PDF 格式的电子文件，如材料较多请建立文件夹，命名为：“5.其他证明材料”；
6）自荐信：格式不限，可包括简历、为何报考相关学院及专业、未来学习研究计划等。电子版：生成 PDF 或 Word 格式的电子文件，命名为“6.自荐信”。
7）用英文去描述一个您印象最深的实验。生成 PDF 或 Word 格式的电子文件，命名为“7.课题设计”。
8）专家推荐书：副教授及以上专家推荐书1份（附件1）。电子版生成一份PDF格式的电子文件，命名为：“8.推荐书”。</t>
  </si>
  <si>
    <t>开展学校、学院推介会，参观生物医学工程学院实验教学中心、参观科研实验室、与导师直面交流等活动。</t>
  </si>
  <si>
    <t>截止日期2025年7月4日</t>
  </si>
  <si>
    <t>生物医学工程10人，电子信息技术4人</t>
  </si>
  <si>
    <t>各项材料纸质版、电子版各一份，电子版报名时提交、纸质版报到时审查。
（1）教育部学籍在线验证报告：登陆“学信网”在“在线认证”一栏申请办理一个教育部学籍在线验证报告（电子版），下载并打印；电子版命名为：“1. 学籍信息”；
（2）照片：本人近期一寸白底彩色身份证版式照片。电子版：照片请使用JPG格式电子文件，命名为：“2.照片”；
（3）本科阶段成绩单及本专业排名证明(学校教务部门或院系盖章)。命名为：“3.1成绩单，3.2专业排名”；
（4）英语水平证明：生成PDF格式的电子文件，命名为：“4.英语水平”；
（5）其他证明材料：包括各类获奖证书复印件；体现自身学术水平的代表性学术论文、出版物或原创性工作成果等)。命名为：“5.其他证明材料”。
（6）自荐信：格式不限，可包括简历、为何报考相关学院及专业、未来学习研究计划等。命名为“6.自荐信”。
（7）课题设计：根据报名学科方向，撰写一个课题设计（不少于2000字）。电子版：命名为“7.课题设计”。</t>
  </si>
  <si>
    <t>1．食宿：自理
2．交通：自理
3. 参加暑期夏令营的学生必须遵守学院相关规定，按照统一的安排参加各项活动，并注意安全，无故缺席者将被取消营员资格；
4. 营员在往返夏令营和夏令营期间发生的医疗费用及因个人行为导致的意外事故，由营员本人或其派出单位承担。</t>
  </si>
  <si>
    <t>无锡医学中心</t>
  </si>
  <si>
    <t>本科总成绩专业排名前20%</t>
  </si>
  <si>
    <t>英语水平良好，全国大学英语六级成绩≥450分或雅思≥6.5分或托福≥80分。</t>
  </si>
  <si>
    <t>主要内容包括：医院介绍、重点科室（专业）宣讲、平台参观、导师交流等活动，具体日程另行发布。</t>
  </si>
  <si>
    <t>2025年7月1日开始，7月10日结束。</t>
  </si>
  <si>
    <t>2025年8月8日—10日</t>
  </si>
  <si>
    <t>预计招收学员30人</t>
  </si>
  <si>
    <t>1.南京医科大学无锡医学中心2025年暑期开放日活动报名表（见附件），手写签名并加盖培养单位公章；
2.本人居民身份证和学生证扫描件（PDF）；
3.个人简历；
4.本科阶段截至目前的成绩单扫描件（须学校教务部门或学院盖章，并注明专业总评成绩排名和专业总人数）；
5.外语水平证明（如CET-4、CET-6等证书）；
6.其他材料扫描件，如校级及以上获奖证书、公开发表的学术论文首页或证明、专利证书、出版物封面及作者页，课题证明等。</t>
  </si>
  <si>
    <t>入选营员活动期间住宿、用餐由医学中心统一安排；交通费以往返交通补贴的形式发放，具体标准如下：
医院至学员所在地火车往返票价【硬席（硬座、硬卧），高铁/动车二等座、全列软席列车二等软座】；没有通火车的地方按轮船三等舱位或普通长途公共汽车往返票价，其他交通工具（不包括出租小汽车），凭据报销；如高于此标准乘坐，按此标准额度核准。每人均给予市内交通补贴30元。</t>
  </si>
  <si>
    <t>上海市病毒研究院</t>
  </si>
  <si>
    <t>学风端正，学习成绩优异，有志于病毒科学研究，具备一定的科研能力与科研潜力</t>
  </si>
  <si>
    <t>英语水平须达到CET6≥425、TOEFL≥90或IELTS≥6.0</t>
  </si>
  <si>
    <t>入营营员具体安排另行通知</t>
  </si>
  <si>
    <t>报名截止时间为7月3日</t>
  </si>
  <si>
    <t>2025年7月9日-7月11日</t>
  </si>
  <si>
    <t>1、《上海交通大学上海市病毒研究院2025年全国优秀大学生夏令营报名登记表》（报名系统生成，本人签字）
2、身份证、学生证的扫描件各1份
3、本科期间成绩单扫描件1份（教务处盖章）
4、截至目前，成绩在所学专业和年级的排名证明，已获绩点/绩点总分的证明（教务处盖章）
5、两位副高（含）以上职称的专家推荐信
6、其他证明材料扫描件（国家英语四、六级等各类英语考试成绩单、获奖或资格证书、论文著作等）各1份
7、个人简历1份</t>
  </si>
  <si>
    <t>研究院承担夏令营期间食宿以及营员往返上海和出发地高铁/火车二等座车票费用。</t>
  </si>
  <si>
    <t>上海市第一人民医院</t>
  </si>
  <si>
    <t>外语水平须达到CET6≥425(TOEFL≥90或IELTS≥6.0)</t>
  </si>
  <si>
    <t>7月15日，入营报到
7月16-18日，开营仪式，学科宣讲，重点实验室参观等
7月19-20日，离营</t>
  </si>
  <si>
    <t>7月4日至7月8日</t>
  </si>
  <si>
    <t>2025年7月15-20日</t>
  </si>
  <si>
    <t>40-50名</t>
  </si>
  <si>
    <t>1、《上海市第一人民医院2025年全国优秀大学生夏令营报名登记表》（报名系统生成，本人签字）
2、身份证扫描件
3、学生证扫描件
4、本科期间成绩单扫描件（教务处盖章）
5、载至目前，成绩在所学专业和年级的排名证明，已获绩点／绩点总分的证明（教务处盖章）
6、两位副高（含）以上职称的专家推荐信（仅报名类型为"博士"的申请者需要提供）
7、其他材料证明扫描件（英语成绩单、获奖证书、资格证书、论文、专利、著作等）
备注：入营学员请携带身份证和学生证原件用于现场核验；材料1-7纸质版现场报名时提交</t>
  </si>
  <si>
    <t>在本科学校可取得推荐免试研究生资格</t>
  </si>
  <si>
    <t>2025年7月2日中午12:00 —8月1日中午12:00</t>
  </si>
  <si>
    <t>1.东南大学全国优秀大学生夏令营活动申请表
1.系统生成表格，下载打印后交学校教务部门或院系签章，同时本人手写签名，再电子版上传；
2.如已有学校教务部门或院系盖章的成绩排名证明，申请表中学校教务部门或院系签章可免，须将成绩排名证明一并上传。
2.有效身份证明
二代居民身份证，正反面
3.在学证明
完整注册的学生证或有效期内的《教育部学籍信息在线验证报告》
4.现有本科阶段成绩单
学校教务部门或学院盖章
5.外语成绩证明
CET-4、CET-6、TOEFL、IELTS等证书或成绩单
6.学术成果证明
论文、专利、学科竞赛证书等
7.奖励情况证明
校级以上（含）荣誉奖励证书
8.实践经历证明
科研训练、实习实践、社会工作等相关证明
9.其他材料
具体要求见系统说明</t>
  </si>
  <si>
    <t>预期能够获得所在学校的推免生资格的学生</t>
  </si>
  <si>
    <t>活动期间将举办学术讲座、专业介绍、校园参观、综合考核等活动。</t>
  </si>
  <si>
    <t>截止时间为2025年7月6日</t>
  </si>
  <si>
    <t>2025年7月22日至23日</t>
  </si>
  <si>
    <t>(1) 《吉林大学2025年校园学术活动开放日报名表》（报名系统生成）；
(2) 由教务处或所在院系开具的成绩排名证明（附件）；
(3) 成绩单一份（需加盖公章）；
(4) 个人简历一份，无特殊格式要求；
(5) 外语水平证明（英语六级证书等）及其它获奖证明材料。</t>
  </si>
  <si>
    <t>校园学术开放日期间，吉林大学第一医院将为学员提供午餐，为非本地学员提供交通费用（高校或家庭所在城市至长春的往返普通火车硬卧、硬座车票、高铁动车二等座车票）和安排住宿。家庭住址或本科学校在长春的学员一般情况不安排住宿。</t>
  </si>
  <si>
    <t>在本次活动中将安排综合考核，学术能力考核合格，并具备所在学校2026年硕士研究生“推荐免试资格”的学员，考核成绩可以做为推免阶段的重要参考依据。</t>
  </si>
  <si>
    <t>来自“双一流”学校或学科，本科总评成绩排名年级前30%或其他高校特别优秀的学生，能达到所在高校推荐免试生要求者优先。</t>
  </si>
  <si>
    <t>开营仪式、招生政策与研究生培养情况简介、营员展示等</t>
  </si>
  <si>
    <t>7月7日-8月10日</t>
  </si>
  <si>
    <t>1、生殖健康研究所学术夏令营活动申请表（见附件1）；
2、加盖学校或院系公章的本科阶段成绩单和专业排名证明；
3、英语水平证明材料（包括国家英语四、六级成绩，或其他体现自身英语水平的成绩证明）；
4、获奖证书或参与科研项目证明扫描件，以及其他体现自身学术水平的代表性学术论文、出版物或原创性工作成果。</t>
  </si>
  <si>
    <t>宣武医院</t>
  </si>
  <si>
    <t>在学期间学习成绩优秀，本科总成绩年级排名前30%；</t>
  </si>
  <si>
    <t>深入了解学院培养特色、学科优势、科研实力与师资力量，
亲身感受学院文化、学术氛围。组织开营仪式、参观交流、师生零距离对话等，
更有丰富多彩的文旅活动带你一同感受古都风貌。</t>
  </si>
  <si>
    <t>至2025年7月13日24:00</t>
  </si>
  <si>
    <t>7月23日-7月24日</t>
  </si>
  <si>
    <t>营员数量不超过80人</t>
  </si>
  <si>
    <t>1.教育部学籍在线验证报告：登陆“学信网”在“在线认证”一栏申请办理
《教育部学籍在线验证报告（电子版）》，下载并打印。电子版：将生成的验证
报告电子文件，命名为：“1.学籍信息-姓名”。
2.照片：本人近期一寸白底彩色身份证版式照片。电子版：照片请使用JPG
格式电子文件，像素为390*260，大小在200k以内，命名为：“2.照片-姓名-联
系方式”。
3.专家推荐书：副教授及以上专家推荐书1份。电子版生成一份PDF格式的
电子文件，命名为：“3.推荐书-姓名”。
4.本科阶段成绩单及本专业排名证明(学校教务部门或院系盖章)。电子版：
各生成PDF格式的电子文件，命名为：“4.1成绩单-姓名，4.2专业排名-姓名”。
5.英语水平证明：生成PDF格式的电子文件，命名为：“5.英语水平-姓名”。
6.其他证明材料：包括各类获奖证书复印件；体现自身学术水平的代表性学
术论文、出版物或原创性工作成果等)。电子版：生成PDF格式的电子文件，如材
料较多请建立文件夹，命名为：“6.其他证明材料-姓名”；7.自荐信：格式不限，可包括简历，未来学习研究计划等。电子版：生成PDF
或Word格式的电子文件，命名为“7.自荐信-姓名-联系方式”。</t>
  </si>
  <si>
    <t>入营营员给予适当食宿补贴，交通费用自理</t>
  </si>
  <si>
    <t>世纪坛医院</t>
  </si>
  <si>
    <t>在学期间学习成绩优秀，本科总成绩年级排名前30%，并标注
排名位次</t>
  </si>
  <si>
    <t>申请者英语水平应达到以下条件之一：
（1）TOEFL≥90分（IBT）；
（2）大学英语六级CET6≥425分；
（3）IELTS（A类）≥6.0；
大学英语六级成绩7年内（2018年1月1日之后）有效，其余
英语成绩5年内（2020年1月1日之后）有效</t>
  </si>
  <si>
    <t>线上宣讲会、导师线上见面会、导师组答疑、学术沙龙、研究生经验分享会、
参观重点实验室、特色病房等系列精彩课程</t>
  </si>
  <si>
    <t>截止时间为2025年7月15日20:00。</t>
  </si>
  <si>
    <t>2025 年7月28日-29日。</t>
  </si>
  <si>
    <t>申请材料要求(各项材料纸质版、电子版各一份)，电子版报名时
提交、纸质版报到时审查。
1．教育部学籍在线验证报告：登陆“学信网”在“在线认证”
一栏申请办理一个教育部学籍在线验证报告（电子版），下载并打印；
电子版：将生成的验证报告电子文件，命名为：“1. 学籍信息”；
2．照片：本人近期一寸白底彩色身份证版式照片。电子版：照
片请使用JPG格式电子文件，命名为：“2.照片”；
3．专家推荐书：副教授及以上专家推荐书1份（附件1）。电子
版生成一份PDF格式的电子文件，命名为：“3.推荐书”，模版附后；
4．本科阶段成绩单及本专业排名证明(学校教务部门或院系盖
章)。电子版：各生成PDF格式的电子文件，命名为：“4.1成绩单，
4.2 专业排名”；
5．英语水平证明：生成PDF格式的电子文件，命名为：“5.英语
水平”；
6．其他证明材料：包括各类获奖证书复印件；体现自身学术水
平的代表性学术论文、出版物或原创性工作成果等)。电子版：生成
PDF 格式的电子文件，如材料较多请建立文件夹，命名为：“6.其他
证明材料”。发表的科研论文（若有），文件名：“6.1发表论文，论
文分别按6.1.1一作+论文名+影响因子命名，6.2出版物/专利/”6.3
获奖证书……。
7．自荐信：格式不限，可包括简历、为何申请相关学院及专业、
未来学习研究计划等。电子版：生成PDF或Word格式的电子文件，
命名为“7.自荐信”</t>
  </si>
  <si>
    <t>1．食宿：我院为入选营员免费提供工作餐。
2．交通：往返交通费用、住宿费营员自理。
3. 参加暑期夏令营的学生必须遵守学院相关规定，按照统一的
安排参加各项活动，并注意安全，无故缺席者将被取消营员资格；
4. 学院将统一购买在夏令营活动期间的团体意外保险，所有营
员需自购旅途意外险等保险。营员在夏令营期间发生的医疗费用及因
个人行为导致的意外事故，由营员本人承担。</t>
  </si>
  <si>
    <t>湘雅基础医学院</t>
  </si>
  <si>
    <t>学习成绩优异，综合素质高，有志于从事科学研究工作，有较强的研究能力。</t>
  </si>
  <si>
    <t>①7月19日8:10-8:30：学生报到（中南大学杏林校区、具体地点另行通过微信群和QQ群通知）；
②7月19日8:30-12:00：学院组织，含欢迎仪式、招生政策宣讲、升学指导、参观国家级科普基地-人体形态学标本馆等。
③7月19日14:30-17:30：学院各招生系所组织，含与招生导师面对面交流、参观实验室等。
④7月19日17:30，本次开放日活动结束。</t>
  </si>
  <si>
    <t>2025年7月3日—7月8日</t>
  </si>
  <si>
    <t>（一）本人身份证和学生证复印件；
（二）网上报名《申请表》一份；
（三）个人简历。</t>
  </si>
  <si>
    <t>学习成绩优异，综合素质高</t>
  </si>
  <si>
    <t>包含学院介绍、专家讲座、平台参观及师生座谈等内容。共计2天，具体活动安排将另行通知。</t>
  </si>
  <si>
    <t>2025年7月5日—7月10日</t>
  </si>
  <si>
    <t>2025年7月18日—7月19日</t>
  </si>
  <si>
    <t>（一）本人身份证和学生证；
（二）网上报名《申请表》一份；
（三）个人自述：含个人简历、参加本次开放日活动的原因、目的和期望等；
（四）学习成绩单及成绩排名证明（由所在学校或院系教务部门加盖公章）；
（五）大学英语四级或六级考试成绩单；
（六）学术成果（包括公开发表论文、出版著作、获得专利、获得学术科技奖项、承担课题或者其他反映学术水平的工作成果）；
（七）获得的各类荣誉、表彰、奖励证书等；
（八）本科就读学校专家（副教授及以上职称）推荐表；</t>
  </si>
  <si>
    <t>我院将为入选的外地学生提供开放日期间在长沙的食宿（注：学校或家庭所在地是长沙的学生原则上不安排住宿），往返交通费用自理。</t>
  </si>
  <si>
    <t>包含学院介绍、专家讲座、平台参观及师生座谈等内容。具体活动安排将另行通过QQ群通知。</t>
  </si>
  <si>
    <t>2025年7月3日—7月10日</t>
  </si>
  <si>
    <t>（一）本人身份证和学生证；
（二）网上报名《申请表》一份；
（三）个人自述：含个人简历、参加本次开放日活动的原因、目的和期望等；
（四）学习成绩单及成绩排名证明（由所在学校或院系教务部门加盖公章）；
（五）大学英语四级或六级考试成绩单；
（六）学术成果（包括公开发表论文、出版著作、获得专利、获得学术科技奖项、承担课题或者其他具有学术水平的工作成果）；
（七）获得的各类荣誉、表彰、奖励证书等；</t>
  </si>
  <si>
    <t>我院将为入选的学生提供开放日期间工作餐，住宿及往返交通费用自理。</t>
  </si>
  <si>
    <t>具有推荐免试资格的 2026年应届本科毕业生</t>
  </si>
  <si>
    <t>外语水平须达到 CET6≥425 （TOEFL≥90或IELTS≥6.0）。</t>
  </si>
  <si>
    <t>见官网</t>
  </si>
  <si>
    <t>8月5日—8月7日</t>
  </si>
  <si>
    <t>8月18-22日</t>
  </si>
  <si>
    <t>1)  身份证、学生证复印件各1份；
2) 本科期间成绩单1份，加盖教务处公章；
3) 其他证明材料复印件（如发表的学术论文、获奖或资格证书、国家英语四、六级等各类英语考试成绩单）各1份；
4）面试用个人简历6份。</t>
  </si>
  <si>
    <t>我院将承担营员大学所在地城市往返上海的路费（按动车、高铁二等座标准，营员须提供车票作为报销凭证），以及期间的住宿费用（营员需自行承担虹桥人才公寓水电费用，上海生源不提供住宿）。夏令营不收取营员任何费用，夏令营日程安排以外的时间由学员自行安排，所产生的费用由营员自理。</t>
  </si>
  <si>
    <t>夏令营结束前各学科将根据夏令营期间学生的表现，给每位学生一个评定等级。“夏令营”评定等第：
A等，优秀营员，申请者须符合医学院接收优秀本科毕业生推荐免试攻读博士学位研究生招生要求，且与夏令营参加的培养单位及专业一致，将按照选拔结果择优录取，额满为止；
B等，优秀营员，申请者须符合医学院接收优秀本科毕业生推荐免试攻读硕士学位研究生招生要求，且与夏令营参加的培养单位及专业一致，将按照选拔结果择优录取，额满为止；
C等，未获得夏令营优秀营员资格，仍可通过推荐免试或全国统考入学方式报考我校。</t>
  </si>
  <si>
    <t xml:space="preserve">学习成绩优秀，本科期间综合成绩年级排名原则上要求为：“双一流”建设高校年级成绩排名前40%者，行业特色院校成绩排名前20%者。
</t>
  </si>
  <si>
    <t>具有较好的外国语书写与表达能力，原则上要求全国大学外语六级水平成绩合格（450分以上），或TOEFL、GRE等考试成绩优秀者。</t>
  </si>
  <si>
    <t>介绍复旦口腔医学各学科研究前沿进展、参观复旦大学上海医学院校园及口腔医院科研教学平台、与复旦口腔导师面对面、优秀学长学习科研经历分享等。</t>
  </si>
  <si>
    <t>截止日期2025年7月15日22:00</t>
  </si>
  <si>
    <t>填写《2025年度复旦口腔暑期学术体验营活动申请表》</t>
  </si>
  <si>
    <t>活动期间，市外学员住宿由口腔医院统一安排。城际往返交通费报销标准参照医院相关规定执行（火车硬卧或高铁动车二等座标准，交通费报销上限不超过500元/人），需报销者请妥善保管票据及支付记录截图（截图金额需与本人票价一致，切勿几人合并支付，以免报销失败），活动结束后将票据邮寄至指定地址。</t>
  </si>
  <si>
    <t>英语水平良好，英语水平满足下列条件之一者优先：全国大学英语四、六级考试（CET），托福（TOEFL）、雅思（IELTS）、GRE、WSK、国家英语专业四级等成绩达到一定水平</t>
  </si>
  <si>
    <t>具体活动安排后期将通知。</t>
  </si>
  <si>
    <t>2025年7月6日前</t>
  </si>
  <si>
    <t>2024年7月10日全天</t>
  </si>
  <si>
    <t>线下30人左右，根据报名情况适当调整；线上人数不限。</t>
  </si>
  <si>
    <t>申请资料清单
1．申请表（见附件1）；
2．本科阶段成绩单、年级专业成绩排名证明；
3．英语水平的证明材料：全国大学生英语四、六级考试成绩单或相关证书；
4．其他相关能力的证明材料（如发表论文、专利、各类获奖证书等）；
5．本人有效期内的身份证和学生证；
6.在线表格：https://f.wps.cn/g/fcueyTM2/。</t>
  </si>
  <si>
    <t>免费安排食宿</t>
  </si>
  <si>
    <t>表现优异者报考2026年安徽医科大学基础医学院硕士研究生，且达到报考专业初试和复试相关要求，同等条件下可优先拟录取。</t>
  </si>
  <si>
    <t>湘雅二医院</t>
  </si>
  <si>
    <t xml:space="preserve">7月24日
（周四）
8:00—9:00
报到
发放精美文创产品
9:30-10:10
开放日活动启动仪式
10:10—11:30
学术讲座
14:30-17:30
参观院史馆、学科交流
7月25日
（周五）
8:00—17:00
参观中南大学、
湖南第一师范学院
参观结束后开放日活动结束，学生离院
</t>
  </si>
  <si>
    <t>2025年7月7日-7月13日在网上报名</t>
  </si>
  <si>
    <t>2025年7月24日-7月25日</t>
  </si>
  <si>
    <t> 1.本人身份证和学生证；
2.网上报名《申请表》一份；
3.个人自述：含个人简历、参加本次开放日活动的原因、目的和期望等；
4.学习成绩单及成绩排名证明（由所在学校或院系教务部门加盖公章）；
5.大学英语四级或六级考试成绩单；
6.学术成果（包括公开发表论文、出版著作、获得专利、获得学术科技奖项、承担课题或者其他具有学术水平的工作成果）；
7.获得的各类荣誉、表彰、奖励证书等；</t>
  </si>
  <si>
    <t>我院提供开放日活动期间2次中餐，其余餐食、住宿与交通由学生自理。</t>
  </si>
  <si>
    <t>参观校园、学术沙龙等，具体时间安排另行通知。</t>
  </si>
  <si>
    <t>2025年7月5日—7月15日</t>
  </si>
  <si>
    <t>7月底举办活动，具体时间另行通知</t>
  </si>
  <si>
    <t>1.本人身份证和学生证；
2.网上报名《申请表》一份；
3.个人自述：含个人简历、参加本次开放日活动的原因、目的和期望等；
4.学习成绩单及成绩排名证明（由所在学校或院系教务部门加盖公章）；
5.大学英语四级或六级考试成绩单；
6.学术成果（包括公开发表论文、出版著作、获得专利、获得学术科技奖项、承担课题或者其他具有学术水平的工作成果）；
7.获得的各类荣誉、表彰、奖励证书等；
8.本科就读学校专家（副教授及其以上职称）推荐表。</t>
  </si>
  <si>
    <t>学院统一安排1晚住宿、部分时间段的就餐（学校或家庭所在地是长沙市的原则上不安排住宿），交通费自理。学院会为参加者购买短期意外伤害保险，学生在活动期间发生的医疗费用及因个人行为导致的意外事故，保险外部分由学生本人承担。</t>
  </si>
  <si>
    <t>在校学习期间成绩优秀，本科总成绩专业排名前20%</t>
  </si>
  <si>
    <t xml:space="preserve">具备较强的英语能力，英语水平应达到以下条件之一：
CET-6成绩不低于500分；
TOEFL成绩不低于95分（IBT）；
IELTS（A类）成绩不低于7.0 。
上述英语成绩5年内有效（即成绩应为2020年1月1日之后取得）
</t>
  </si>
  <si>
    <t>深入了解学院培养特色、学科优势、科研实力与师资力量，亲身感受学院文化、学术氛围。开营欢迎仪式、医院参观、学科团队宣讲、师生座谈会、线下活动闭营仪式等。</t>
  </si>
  <si>
    <t>至7月14日（周一）17:00</t>
  </si>
  <si>
    <t>8月4-5日</t>
  </si>
  <si>
    <t>营员人数约120人</t>
  </si>
  <si>
    <t>1．教育部学籍在线验证报告：登陆“学信网”在“在线认证”一栏申请办理一个教育部学籍在线验证报告（电子版），保存为PDF文件。
2．照片：本人近期一寸白底彩色身份证版式照片。请保存为JPG文件。
3．专家推荐书：副教授（或相当专业技术职称）及以上专家推荐书1份。请扫描保存为PDF文件。
推荐信模板下载：https://pan.baidu.com/s/1Q6DCFC7-DvmDiaUner8Xog?pwd=nxrh
4．本科阶段成绩单、本专业排名证明 (学校教务部门或院系教育处盖章)。请生成为1个PDF文件。
5．英语水平证明：扫描后请保存为PDF文件。
6．申请人综合水平证明材料：请下载并填写《安贞医院优秀大学生暑期夏令营申请人成果获奖汇总表》https://pan.baidu.com/s/13SyChG-AmV9b5z5BYvSWVg?pwd=csjk
按照成果获奖汇总表所填顺序将相关证明材料按照科研成果及获奖、社会活动及相关获奖分别保存为1个PDF文件。
7．自荐信：格式不限，可包括简历、为何报考我院及专业、未来学习研究计划等。请保存为PDF文件。
8．《报名信息真实承诺书》，打印后将承诺抄写在指定位置，签字后扫描保存为PDF文件。模板下载：https://pan.baidu.com/s/14Fio_oZZpQBOXQUlflcpbA?pwd=fzv4</t>
  </si>
  <si>
    <t>1. 夏令营期间交通、住宿自理。若后期经国家推免、统考招生考核拟录取为我院2026年统招硕士研究生，入学后可凭交通费、住宿费相关票据、发票等材料，按照医院财务报销标准予以报销。
说明：①车票日期应为入营前一天至夏令营结束次日，其余时段车票不予报销。②车票出发及目的地应为北京/高校或学生家庭所在地。③住宿费应为夏令营活动期间，其余时段不予报销。
2. 餐饮：在营期间由医院食堂提供三餐。</t>
  </si>
  <si>
    <t>申请者英语水平应达到以下条件之一：
①TOEFL≥90分（IBT）。
②新GRE≥305分。
③WSK（PETS5）考试合格。
④大学英语六级CET6≥450分。
⑤IELTS≥6.0。</t>
  </si>
  <si>
    <t>近距离亲身感受学院文化，了解学院特色及学科优势，组织开营仪式、学科介绍、研究生教学及培养制度、导师面对面、学院参观、与优秀学长学姐交流</t>
  </si>
  <si>
    <t>截止日期2025年7月13日17:00</t>
  </si>
  <si>
    <t>2025年7月24日-25日</t>
  </si>
  <si>
    <t>申请材料要求(各项材料纸质版、电子版各一份)，电子版报名时提交、纸质版报到时审查。
（1）教育部学籍在线验证报告：登陆“学信网”在“在线认证”一栏申请办理“教育部学籍在线验证报告”（电子版）。
（2）照片：本人近期一寸白底彩色身份证版式照片。请勿过度美颜。
（3）本科阶段成绩单及本专业排名证明(学校教务部门或院系盖章)电子版。
（4）英语水平证明。
（5）专家推荐书：副教授及以上专家推荐书1份（附件1）。电子版生成一份PDF格式的电子文件。
（6）自荐信：格式不限，可包括简历、报考相关专业原因、未来学习研究计划等。
（7）其他证明材料（如有）：包括各类获奖证书复印件；体现自身学术水平的代表性学术论文、出版物或原创性工作成果等。</t>
  </si>
  <si>
    <t>7月24日上午：报到、开营仪式、专题报告
7月24日下午：参观实验室、课题组导师面对面、优秀学长学姐介绍、营员考核、闭营仪式、离营
具体安排以实际通知为准</t>
  </si>
  <si>
    <t>2025年7月5-10日</t>
  </si>
  <si>
    <t>1.申请表及汇总表（见附件）；
2.本科历年成绩单（加盖教务处公章）；
3.英语水平的证明材料：全国大学生英语六级考试成绩单或相关证书；
4.其他相关能力的证明材料（如发表论文、专利、各类获奖证书等）；
5．本人有效期内的身份证和学生证。</t>
  </si>
  <si>
    <t>本次夏令营活动不收取任何费用，活动期间提供免费食宿（合肥高校或家在合肥的学生不安排住宿），交通费由营员自理。</t>
  </si>
  <si>
    <t>学习成绩应满足下列条件之一：（1）五年制或四年制医学专业学习成绩排名在同专业年级排名前30%；（2）安徽医科大学临床医学5+3专业学习成绩排名应在同专业年级前50%。</t>
  </si>
  <si>
    <t>英语水平满足下列条件之一：CET-6≥425分，CET-4≥480分，雅思IELTS考试≥5.5分，托福TOEFL网考≥90分。</t>
  </si>
  <si>
    <t>2025年7月5日至2025年7月12日</t>
  </si>
  <si>
    <t>计划招收营员50人</t>
  </si>
  <si>
    <t>1.申请表（见附件）；
2.本科历年成绩单（加盖教务处公章）；
3.英语水平的证明材料：全国大学生英语四、六级考试成绩单或相关证书；
4.其他相关能力的证明材料（如发表论文、专利、各类获奖证书等。如有，需提供）；
5.本人有效期内的身份证和学生证；
6.报名汇总表（见附件）。</t>
  </si>
  <si>
    <t>活动期间为营员提供一次工作餐（午餐）、合肥市外的营员住宿由医院统一安排，交通费自理。</t>
  </si>
  <si>
    <t>第四临床医学院（巢湖医院）</t>
  </si>
  <si>
    <t>专业成绩排名和综合素质排名均在本专业名列前茅，预计能获得所在院校推免资格者或“5+3”一体化转段生者优先。</t>
  </si>
  <si>
    <t>7月17日下午14:00—17:00
入营报到
7月18日上午8:00—11:00
开营仪式、医院介绍会、学科导师面对面、优秀学生代表与营员交流座谈会
7月18日下午14:00—17:00
参观实验室和技能培训中心、结营仪式</t>
  </si>
  <si>
    <t>即日起—2025年7月13日</t>
  </si>
  <si>
    <t>7月17日-18日</t>
  </si>
  <si>
    <t>（1）身份证、学生证扫描件；
（2）《安徽医科大学第四临床医学院（附属巢湖医院）2025年全国优秀大学生夏令营申请表》（见附件）；
（3）现有本科阶段成绩单（需显示截止目前所有课程成绩、且需有教务部门或学院盖章）；
（4）其他证明材料（各种荣誉、科研经历、社会实践等）。</t>
  </si>
  <si>
    <t>本次夏令营活动不收取任何费用，活动期间的交通及住宿费用自理，医院免费提供就餐。</t>
  </si>
  <si>
    <t>夏令营表现优异者报考2026年安徽医科大学第四临床医学院（附属巢湖医院）硕士研究生，且达到报考专业初试和复试相关要求，同等条件下可优先拟录取。</t>
  </si>
  <si>
    <t>学习成绩优秀，专业成绩和综合成绩均名列本专业前茅。</t>
  </si>
  <si>
    <t>主要活动包括学院及学科介绍、个人学术能力展示、综合能力考核等。具体时间另行通知。</t>
  </si>
  <si>
    <t>2025年7月12日前</t>
  </si>
  <si>
    <t>①报名表（网上报名后）；
②由教务处或所在院系开具的成绩排名证明，加盖公章；
③成绩单一份，需加盖教务部门或所在院系公章；
④个人简历一份，无特殊格式要求；
⑤其他证明本人成绩及潜力的材料，如外语水平证明（英语六级证书等）、学术论文复印件、获奖证明材料等。</t>
  </si>
  <si>
    <t>学习成绩排名前列，能够获得所在学校推荐免试资格；或有志参加山东第一医科大学第一附属医院研究生招生考试的学生（原则上本科阶段的学业成绩排名在本专业前30%）。</t>
  </si>
  <si>
    <t>英语水平优秀。满足以下之一：CET4≥425分；或托福≥85分；或雅思≥6.0。</t>
  </si>
  <si>
    <t>线上或线下，具体安排将另行通知</t>
  </si>
  <si>
    <t>活动举办期间，将全面介绍我院及研究生教育情况、实验室及科研平台、招生政策、优势学科团队、导师队伍等。另外参观院内优势学科、实验室平台、举办名师交流活动等。</t>
  </si>
  <si>
    <t>2025年7月7日-7月27日</t>
  </si>
  <si>
    <t>具体活动日程请及时关注我院夏令营的通知</t>
  </si>
  <si>
    <t>（1）学生证、身份证扫描件；
（2）个人电子照片：近期拍摄，正面免冠彩色照片；
（3）夏令营申请表（需签字盖章，上传扫描件）；
（4）本科成绩单（需加盖教务处公章）；
（5）英语成绩证明：英语四级成绩单、TOEFL成绩、GRE成绩等证明材料扫描件；
（6）科研成果相关证明材料：申请人可提交体现自身学术水平的代表性学术论文、出版物或原创性工作成果及获奖证书。无科研成果者可不提交本项材料。</t>
  </si>
  <si>
    <t>第二附属医院</t>
  </si>
  <si>
    <t>初步定为线下方式。根据报名情况调整活动方式，比如线上线下相结合、或者线上模式。</t>
  </si>
  <si>
    <t>2025年7月7日-7月13日</t>
  </si>
  <si>
    <t>2025年7月17日-7月19日</t>
  </si>
  <si>
    <t>（1）学生证、身份证扫描件；
（2）个人电子照片：近期拍摄，正面免冠彩色照片；
（3）夏令营申请表（需签字盖章，上传扫描件）；
（4）本科成绩单（需加盖教务处公章）；
（5）英语成绩证明：英语六级成绩单、TOEFL成绩、GRE成绩等证明材料扫描件；
（6）科研成果相关证明材料：申请人可提交体现自身学术水平的代表性学术论文、出版物或原创性工作成果及获奖证书。无科研成果者可不提交本项材料。</t>
  </si>
  <si>
    <t>1、获得推荐免试资格的营员，在我校开展2026级推免研究生招生时可优先考虑；
2、统考报考的营员，在2026年的硕士研究生招生考试中报考我校对应学院对应专业的考生，同等条件下优先录取；</t>
  </si>
  <si>
    <t>临床与基础医学院</t>
  </si>
  <si>
    <t>本科期间学习成绩优异：成绩优秀，且前5学期或前3年成绩专业排名位列前30%。报名不限于有推免资格的学生，但有推免资格可优先；</t>
  </si>
  <si>
    <t>英语水平良好，原则上达到国家六级425分以上，或具备同等水平的其他种类外语国家级考试成绩；</t>
  </si>
  <si>
    <t>本次夏令营提供食宿场所，费用自理。</t>
  </si>
  <si>
    <t>附属眼科研究所</t>
  </si>
  <si>
    <t>名家学术报告、教授面对面（学术沙龙）、实验室参观、眼科博物馆参观及山东第一科大学济南主校区参观等</t>
  </si>
  <si>
    <t>7.3-7.12</t>
  </si>
  <si>
    <t>7.25-7.26</t>
  </si>
  <si>
    <t>（1）个人陈述：内容涵盖学术科研经历及研究计划，1000字左右。
（2）学籍证明：在校生提交在读证明，加盖学校教学管理部门或院系公章；或提交《教育部学籍在线验证报告》。
（3）成绩证明：提供官方出具本科阶段前三年综合排名及成绩单
（4）英语水平证明：全国大学英语四六级、托福或雅思等成绩单；
（5）学术科研成果：体现自身学术水平的代表性学术科研成果；
（6）获奖证明：在校期间从事课外科技活动获奖证明或其他各类获奖证明；
（7）专家推荐信：2位学科领域内的副教授及以上专家出具的推荐信。</t>
  </si>
  <si>
    <t>营员如获所在高校的推免资格并报考我所相关专业，录取后按政策推荐申报大学相关奖学金，或营员正常参加2026年硕士研究生统招考试并获得复试资格的，同等条件下优先录取。夏令营期间由眼科所统一安排食宿和报销往返交通费。机票限报经济舱，铁路高铁限报二等座，普通火车限报硬座或硬卧，其他交通工具（不含自驾）凭发票报销。</t>
  </si>
  <si>
    <t>脑科学与类脑研究院</t>
  </si>
  <si>
    <t>学习成绩排名前列（原则上本科阶段的学业成绩排名在本专业前30%）。</t>
  </si>
  <si>
    <t>英语水平优秀。满足以下之一：CET4≥425分；或托福85分及以上；或雅思6.0及以上。</t>
  </si>
  <si>
    <t>（1）开营仪式
（2）学术讲座、学长经验分享
（3）参观黄河图书馆
（4）PI团队介绍
（5）参观实验室、科研平台
（6）科研实践体验活动
（7）专家面对面座谈交流
（8）结营仪式</t>
  </si>
  <si>
    <t>7月3日开始，7月14日截止</t>
  </si>
  <si>
    <t>学生证、身份证扫描件；
个人电子照片：近期拍摄，正面免冠彩色照片；
夏令营申请表（无需盖章，上传扫描件）；
本科成绩单（需加盖教务部公章）；
英语成绩证明：英语四六级成绩单、TOEFL成绩、GRE成绩等证明材料扫描件；
科研成果相关证明材料：申请人可提交体现自身学术水平的代表性学术论文、出版物或原创性工作成果及获奖证书。无科研成果者可不提交本项材料。</t>
  </si>
  <si>
    <t>参加夏令营并获得结营证书的学员，在初试成绩达到复试线后，会被认定为“萃英计划生”，在招生时优先考虑。</t>
  </si>
  <si>
    <t>学习成绩排名前列，能够获得所在学校推荐免试资格；或有志参加山东第一医科大学附属肿瘤医院研究生招生考试的学生（原则上本科阶段的学业成绩排名在本专业前30%）。</t>
  </si>
  <si>
    <t>活动举办期间，将全面介绍我院情况及研究生教育的情况、实验室及科研平台、招生政策、优势学科团队、导师队伍等，根据学生需求参观院内优势专业、实验室平台、质子中心，举办名师交流等活动。</t>
  </si>
  <si>
    <t>2025年7月7日—7月18日</t>
  </si>
  <si>
    <t>（1）学生证、身份证扫描件；
（2）个人电子照片：近期拍摄、150*200像素、大小100K以内，正面免冠彩色照片；
（3）夏令营申请表（需签字盖章，上传扫描件）；
（4）本科成绩单（需加盖教务处公章）；
（5）英语成绩证明：英语四级、六级成绩单、TOEFL成绩、雅思成绩、GRE成绩等证明材料扫描件；
（6）科研成果相关证明材料：申请人可提交体现自身学术水平的代表性学术论文、出版物或原创性工作成果及获奖证书。无科研成果者可不提交本项材料。</t>
  </si>
  <si>
    <t>在学期间学习成绩优秀，所在专业总成绩年级排名前30%</t>
  </si>
  <si>
    <t>全国大学英语六级成绩500分及以上</t>
  </si>
  <si>
    <t>活动内容以后续通知为准</t>
  </si>
  <si>
    <t>2025年7月14日（周一）12：00前</t>
  </si>
  <si>
    <t>100名（不含本校学生）</t>
  </si>
  <si>
    <t>1. 南京医科大学第一临床医学院2025年全国优秀大学生暑期开放日学员申请表（见附件）。
2. 加盖所在学院或学校教务部门公章的本科阶段成绩单1份。
3. 加盖所在学院或学校教务部门公章的所在专业总成绩排名证明1份。
4. 全国大学英语六级成绩证明或其他英语水平证明复印件1份。
5. 学生证复印件1份（要求信息完整、清晰）。
6. 其他证明材料，如已发表（录用）的学术论文、各类获奖证书、科研项目参与证明等材料的复印件。
7. 本人近期一寸白底彩色证件照（电子版，JPG格式，大小在200k以内，请以“姓名+身份证号”命名）。</t>
  </si>
  <si>
    <t>全国大学英语六级
水平（成绩425分以上）</t>
  </si>
  <si>
    <t>即日起至2025年7月27日24：00</t>
  </si>
  <si>
    <t>10-15人</t>
  </si>
  <si>
    <t>1．教育部学籍在线验证报告：登陆“学信网”在“在线认证”一栏申请办理
一个教育部学籍在线验证报告（电子版），下载并打印；电子版：将生成的验证
1
报告电子文件，命名为：“1. 学籍信息”；
2．照片：本人近期一寸白底彩色身份证版式照片。电子版：照片请使用JPG
格式电子文件，命名为：“2.照片”；
3．专家推荐书：副教授及以上专家推荐书1份。电子版生成一份PDF格式的
电子文件，命名为：“3.推荐书” ；
4．本科阶段成绩单及本专业排名证明(学校教务部门或院系盖章)。电子版：
各生成PDF格式的电子文件，命名为：“4.1成绩单，4.2专业排名”；
5．英语水平证明：生成PDF格式的电子文件，命名为：“5.英语水平”；
6．其他证明材料：包括各类获奖证书复印件；体现自身学术水平的代表性学
术论文、出版物或原创性工作成果等)。电子版：生成PDF格式的电子文件，如材
料较多请建立文件夹，命名为：“6.其他证明材料”。
7．自荐信：格式不限，可包括简历、为何申请相关学院及专业、未来学习研
究计划等。电子版：生成PDF或Word格式的电子文件，命名为“7.自荐信”。
8.视频短片：请自行录制1分钟视频短片，要求内容积极向上、声音画面清
晰，可以是大学日常学习实录、业余生活、兴趣爱好，充分展现自我。命名为“8.
视频短片”</t>
  </si>
  <si>
    <t>学院提供活动期间食宿、交通补贴、
精美纪念品</t>
  </si>
  <si>
    <t>在学期间学习成绩优秀，无补考或不合格记录，本科总成绩年级排名前30%（港澳台留学生和首医“5+3”长学制本科生可适当放宽条件</t>
  </si>
  <si>
    <t>英语水平应达到以下条件之一：①TOEFL≥90分（IBT）；②新GRE≥305分；③WSK（PETS 5）考试合格；④大学英语六级CET6≥425分；⑤国家英语专业四级（TEM-4）考试合格；⑥IELTS（A类）≥6.0；⑦在官方语言为英语的国家或地区参加过英文授课学位项目学习并获得学位。上述英语成绩5年内有效（即成绩应为2020年1月1日之后取得）</t>
  </si>
  <si>
    <t>线下主体活动：
时间：拟定于2025年7月底，具体时间安排另行通知。
活动内容主要包括：学院总体情况介绍、学科专业介绍、科研/临床环境介绍、研究生培养情况介绍等环节。
线上综合活动：
时间：2025年8月，具体时间安排另行通知。
活动内容主要包括：参与导师组会、专题学术沙龙、教学查房；参加学院招生政策咨询答疑、学术活动等。</t>
  </si>
  <si>
    <t>7月7日起至2025年7月15日12:00</t>
  </si>
  <si>
    <t>2025年7月底</t>
  </si>
  <si>
    <t>50-100人</t>
  </si>
  <si>
    <t>1．教育部学籍在线验证报告：登陆“学信网”在“在线认证”一栏申请办理一个教育部学籍在线验证报告（电子版），下载并打印。
2．照片：本人近期一寸白底彩色身份证版式照片。
3．专家推荐书：副教授及以上专家推荐书1份（附件1）。电子版需专家签字后扫描生成。
4．本科阶段成绩单及本专业排名证明(学校教务部门或院系盖章)。
5. 思想政治情况表(附件2，学校教务部门或院系盖章后扫描)。
6．英语水平证明：英语六级水平证书或托福、雅思等相关英语成绩证明（官方认证的纸质成绩单复印件）。
7．其他证明材料：包括各类获奖证书复印件；体现自身学术水平的代表性学术论文、出版物或原创性工作成果；社会实践证明材料等。
8．自荐信：格式不限，可包括简历、为何报考相关学院及专业、未来学习研究计划等。</t>
  </si>
  <si>
    <t>医院为入选营员免费提供午餐；往返交通费用、住宿费营员自理</t>
  </si>
  <si>
    <t>英语熟练掌握听、
说、读、写，全国大学英语六级成绩450分以上或同等水平以上；</t>
  </si>
  <si>
    <t>实地参观、导师讲座、师生零距离对话、学长分享、手术展示、前沿热点科研项目介绍等精彩活动</t>
  </si>
  <si>
    <t>2025年7月17日17:00前</t>
  </si>
  <si>
    <t>7 月24-25 日举办（具体日程建群后通知）</t>
  </si>
  <si>
    <t>1．教育部学籍在线验证报告：登陆“学信网”在“在线认证”一栏申请办
理《教育部学籍在线验证报告（电子版）》，下载并打印。电子版：将生成的验
证报告电子文件命名为：“1. 学籍信息-姓名”；
2．照片：本人近期免冠正面照。电子版：照片请使用JPG格式电子文件，
命名为：“2.照片-姓名-联系方式”；
3．本科阶段成绩单及本专业排名证明(学校教务部门或院系盖章)。电子版：
各生成PDF格式的电子文件，命名为：“3.1成绩单-姓名，3.2专业排名-姓名”；
4．证明材料：要求将英语水平证书、获奖证书等所有证明材料，扫描为一
个PDF文件，命名为：“4.证明材料-姓名”。
5．个人简历和自荐信：要求A4纸一页，包含基本信息，联系方式，本科院
校，专业，主要课程，成绩体现，英语成绩，个人特长等。电子版：PDF格式，
命名为“5.个人简历-姓名-联系方式”。
6.个人成果（若有）：发表的科研论文、出版的出版物或原创性工作成果等。
科研论文请制作目录表格，包括文章名、作者、标注第几作者、署名单位，期刊
分区和影响因子等。电子版：目录Excel格式、其他PDF格式，请单独建立文件
夹，命名为：“6.个人成果-姓名”。</t>
  </si>
  <si>
    <t>入营营员住宿自理，我所提供午餐，并给予适当食宿和交通补贴</t>
  </si>
  <si>
    <t>北京协和医院、阜外医院、肿瘤医院、整形外科医院、血液病医院（天津）、皮肤病医院（南京）、中日友好医院、首都儿科研究所；
基础学院、医学动物研究所、药用植物研究所、医药生物技术研究所、医学信息研究所、放射医学研究所（天津）、医学生物学研究所（昆明）、国家卫生健康委科研所、护理学院、卫生健康管理政策学院、病原生物学研究所、马克思主义学院 人文和社会科学学院、系统医学研究所（苏州）、国家食品安全风险评估中心。</t>
  </si>
  <si>
    <t>本科期间学习成绩优异，无不及格科目</t>
  </si>
  <si>
    <t>英语水平优良，全国大学英语六级考试（CET-6）500分及以上优先</t>
  </si>
  <si>
    <t>本次暑期夏令营共两个部分内容。第一部分是招生政策讲座与医学进展讲座，第二部分是培养单位综合交流活动。首日讲座需全营员参与，次日可按日程表自行参与交流活动（具体安排入营后通知）。</t>
  </si>
  <si>
    <t>截止至2025年7月15日24:00</t>
  </si>
  <si>
    <t>2025年7月23、24日</t>
  </si>
  <si>
    <t>个人简历（应包括个人信息、学术背景、曾经做过的研究工作、未来学习和研究的计划及目标等)；
截止报名时的本科历年成绩单１份（加盖教务部门公章）；
专业总评成绩排名证明材料（加盖教务部门公章）；
大学英语四六级考试成绩或TOEFL、 IELTS、 GRE 成绩等体现自身英语水平的证明；
其他有关能力的证明材料（如发表论文、专利，各类获奖证书等）；</t>
  </si>
  <si>
    <t>学习成绩优异，综合表现优秀</t>
  </si>
  <si>
    <t>7月16日：全天报到
7月17日：开营仪式、学科专业介绍、名师讲堂、师生交流及实验室参观
7月18日：学术交流</t>
  </si>
  <si>
    <t>报名截止时间：7月12日24时。</t>
  </si>
  <si>
    <t>7月16日-7月18日</t>
  </si>
  <si>
    <t>（1）本科学习期间成绩单；
（2）本科学习期间排名证明材料，需要加盖教务或学生工作办公室公章；
（3）四、六级成绩单或获证证书扫描件；
（4）其他科技创新类奖项获奖证明。</t>
  </si>
  <si>
    <t>①参加研学营的学生餐食及营服统一安排，费用全免；
②要求所有营员自行购买短期意外保险，报到时请携带保险单据等相关购买证明，营员若发生医疗费用及因个人行为导致的意外事故由本人负责；
③参加研学营同学自行预定酒店。
对于入选研学营的异地学生,如最终录取为我校2026年推免生，可报销参加研学营时的往返路费和酒店费用，请务必保留好车票和住宿发票：火车硬卧（硬座打印纸质车票）、高铁（动车）二等座（纸质车票）、轮船三等舱、飞机经济舱（报销需行程单）等费用，其他交通工具按照火车硬卧标准折算。酒店费用标准为350元/天</t>
  </si>
  <si>
    <t>学习成绩优异（本科期间综合成绩年级排名前30%），综合素质高，有志于从事科学研究工作，有一定的创新研究能力和潜能。</t>
  </si>
  <si>
    <t>具有良好的英语表达和沟通能力，全国大学外语四级水平考试成绩优良，或全国大学外语六级水平成绩合格（425分以上），或TOEFL、GRE等考试成绩优秀者。</t>
  </si>
  <si>
    <t>1. 开放日师生集中见面会：
院领导、导师代表、我院研究生代表、
2025年7月24日上午8:30 湘雅三医院科教楼3楼学术报告厅
2.各科室见面会（集中见面会后）：
由各学科组织，内容包括但不限于：参观各学科教学、科研平台、临床中心等场所，由各学科负责人、导师代表负责组织讲解和展示本学科特色、导师队伍，师生相互介绍和交流等内容。具体时间安排同科室联络人确认（详见附件1）。</t>
  </si>
  <si>
    <t>2025年7月8日—7月13日</t>
  </si>
  <si>
    <t>2025年7月24日—7月25日</t>
  </si>
  <si>
    <t>（一）本人身份证和学生证；
（二）网上报名《申请表》一份；
（三）个人自述：含个人简历、参加本次开放日活动的原因、目的和期望等；
（四）学习成绩单及成绩排名证明（由所在学校或院系教务部门加盖公章）；
（五）大学英语四级或六级考试成绩单；
（六）学术成果（包括公开发表论文、出版著作、获得专利、获得学术科技奖项、承担课题或者其他具有学术水平的工作成果）；
（七）获得的各类荣誉、表彰、奖励证书等；
（八）本科就读学校专家（副教授及其以上职称）推荐表。
纸质材料原件在开放日当天提交給所在学科秘书老师。</t>
  </si>
  <si>
    <t>在学期间学习成绩优秀，无补考或不合格记录，本科总成绩年级排名前30%；</t>
  </si>
  <si>
    <t>英语水平应达到以下条件之一：①TOEFL≥90分（IBT）；②新GRE≥305分；③WSK
（PETS 5）考试合格；④大学英语六级 CET6≥425分；⑤国家英语专业四级（TEM-4）考
试合格；⑥IELTS（A类）≥6.0；⑦在官方语言为英语的国家或地区参加过英文授课学位
项目学习并获得学位。上述英语成绩5年内有效（即成绩应为2020年1月1日之后取得）</t>
  </si>
  <si>
    <t>1．线下主体活动：
时间：拟定于2025年7月下旬，具体时间安排另行通知。
地点：首都医科大学附属北京朝阳医院常营院区。
活动内容主要包括医院总体情况介绍、专家讲座、专业概况与特色、师生晤谈交流、
在读研究生交流、院内参观等环节。
2．线上综合活动：
时间：2025年8月，具体时间安排另行通知。
活动内容主要包括：参与导师组会、专题学术讲座交流等。</t>
  </si>
  <si>
    <t>7月8日起至2025年7月15日12:00</t>
  </si>
  <si>
    <t>100 名</t>
  </si>
  <si>
    <t>1．教育部学籍在线验证报告：登陆“学信网”在“在线认证”一栏申请办理一个教育
部学籍在线验证报告（电子版），下载并打印；
2．照片：本人近期一寸白底彩色身份证版式照片。电子版：照片请使用JPG格式电子文件；
3．专家推荐书：副教授及以上专家推荐书1份（附件1）。生成一份PDF格式的电
子文件；
4．本科阶段成绩单及本专业排名证明(学校教务部门或院系盖章)。生成一份PDF格式
的电子文件；
5．英语水平证明：生成一份PDF格式的电子文件；
6．自荐信：格式不限，可包括简历、为何报考相关学院及专业、未来学习研究计划等。
生成一份PDF格式的电子文件。
7．思想政治情况表（附件2）：学校或学院盖章。生成一份PDF格式的电子文件。
8．其他证明材料：包括各类获奖证书复印件；体现自身学术水平的代表性学术论文、
出版物或原创性工作成果等)。生成一份PDF格式的电子文件</t>
  </si>
  <si>
    <t>我院为入选营员提供线下活动期间工作餐，交通及住宿费用需自理。</t>
  </si>
  <si>
    <t>外语水平须达到 CET6≥425 （TOEFL≥90或IELTS≥6.0）</t>
  </si>
  <si>
    <t>7 月14日-7 月27日24点前</t>
  </si>
  <si>
    <t>2025年8月5-7日</t>
  </si>
  <si>
    <t>1. 《上海儿童医学中心2026年全国优秀大学生夏令营报名登记表》（报名系统生成，本人签字）；
2. 身份证、学生证的复印件各1份，原件备查；
3. 本科期间成绩单复印件1份（教务处盖章）；
4. 截至目前，成绩在所学专业和年级的排名证明，已获绩点/绩点总分的证明（教务处盖章）；
5. 两位副高（含）以上职称的专家推荐信（仅需博士生提供，无固定模板，学生可根据个人情况提交）；
6. 其他证明材料复印件（国家英语四、六级等各类英语考试成绩单、获奖或资格证书、论文著作等）各1份。</t>
  </si>
  <si>
    <t>医学科学院、天健先进生物医学实验室</t>
  </si>
  <si>
    <t>在校期间学习成绩优异，获得推免资格或预期可获得推免资格。</t>
  </si>
  <si>
    <t>第一天（7月31日）：下午(13:00-18:00) 学员报到登记，安排住宿。
第二天（8月1日）：导师交流，参观实验室。
第三天（8月2日）：优秀营员遴选，闭营离校。</t>
  </si>
  <si>
    <t>2025年7月10日08:00-2025年7月21日17:00</t>
  </si>
  <si>
    <t>2025年7月31日-2025年8月2日</t>
  </si>
  <si>
    <t>1.个人身份证（正反面）；
2.本科阶段成绩单（须加盖教务处或院系公章），JPG或PDF格式。
3.外语水平证明，如CET-4、CET-6、雅思、托福、专业外语成绩等。
4.其他证明材料：获奖证书和学术科研成果，如发表论文、出版物或其他原创性工作等。</t>
  </si>
  <si>
    <t>本科期间成绩年级排名要求：“双一流”建设高校年级成绩排名前30%者，其他院校年级成绩排名前10%者</t>
  </si>
  <si>
    <t>报名开始时间：2025年7月12日10:00
报名截止时间：2025年7月20日24:00</t>
  </si>
  <si>
    <t>2025年8月6日~8月9日</t>
  </si>
  <si>
    <t>1. 《上海交通大学口腔医学院 2024年全国优秀大学生招生夏令营报名登记表》（报名系统生成）；
2. 身份证、学生证复印件各1份；
3. 本科期间成绩单原件1份（教务处盖章）；
4. 成绩年级排名证明1份（教务处盖章）；
5. 2名所在学院副高及以上职称专家推荐信；
6. 其他证明材料扫描件（发表论文、英语、奖项等）各1份；
7. 夏令营期间拟举办“大学生创新论坛”，报名营员可自愿填写《创新论坛学术交流申请表》参与交流讨论，并作为附件上传。</t>
  </si>
  <si>
    <t>线上会议</t>
  </si>
  <si>
    <t>8:30-9:30
开幕式及学院总体情况介绍
9:30-10:00
牙周学科介绍及交流
10:00-10:30
黏膜学科介绍及交流
10:30-11:00
预防学科介绍及交流
11:00-11:30
病理学科介绍及交流
午休
13:00-13:30
正畸学科介绍及交流
13:30-14:00
修复学科介绍及交流
14:00-14:30
口外学科介绍及交流
14:30-15:00
影像学科介绍及交流
15:00-15:30
牙体学科介绍及交流
15:30-16:00
儿牙学科介绍及交流
16:00-16:30
全科学科介绍及交流</t>
  </si>
  <si>
    <t>即日起至7月24日</t>
  </si>
  <si>
    <t>北京大学口腔医学院2025年全国优秀大学生夏令营申请表</t>
  </si>
  <si>
    <t>本科学习成绩优秀，具有较强动手能力和较好科研潜质，总成绩排名原则上在所读学校同年级本专业前30%以内（在其他方面有突出表现的学生除外），获得（或者可能获得）所在高校推荐免试生资格者优先。就读本科院校为全国著名高校或就读本科院校的学科为全国优势学科，且将于2026年6月前毕业</t>
  </si>
  <si>
    <t xml:space="preserve">  5日（周二）上午：营员报到；
  5日（周二）下午：开营仪式，医院研究生教育情况介绍，参观医院临床科室和实验室；
  6日（周三）：参加医院MDT，结束后参加学术讲座，上午、下午各2-3个专题；
  7日（周四）上午：师生交流；
  7日（周四）下午：结营仪式。</t>
  </si>
  <si>
    <t>2025年7月21日12:00前</t>
  </si>
  <si>
    <t>2025年8月5日-7日</t>
  </si>
  <si>
    <t xml:space="preserve"> 1.《中山大学附属第七医院2025年全国优秀大学生夏令营申请表》（发送签字扫描版本，填写模板请下载文末附件）；
  2.个人简历（限1个页面）；
  3.身份证扫描件（正反面扫描在同一张A4纸内）；
  4.《教育部学籍在线验证报告》，办理方式详见中国高等教育学生信息网http://www.chsi.com.cn/xlcx/bgys.jsp；
  5.本科阶段成绩单、成绩总评排名的证明材料扫描件（加盖学校教务部门公章）；
  6.英语水平的证明材料扫描件（大学英语四六级考试成绩、TOEFL、IELTS、GRE成绩等体现英语水平的证明材料）；
  7.其他证明材料，如代表性学术论文（首页即可-即题目、摘要、作者所在页）、其他原创性工作成果、获奖证书等，学术论文以正式见刊为准。</t>
  </si>
  <si>
    <t>我院将为学员提供在活动期间的免费食宿，同时提供往返中山七院的交通补助（补助标准按相关规定执行）</t>
  </si>
  <si>
    <t>英语水平满足下列条件之一：CET-6≥425分；CET-4≥500分；雅思≥5.5分；或其他外语成绩相当水平</t>
  </si>
  <si>
    <t>第一天下午：报到；开营仪式、相关介绍；
第二天全天：学术创新论坛；
第三天上午：学校、学院参观；课题组导师面对面、优秀学长学姐介绍；
第三天下午：营员考核、闭营仪式、离营。</t>
  </si>
  <si>
    <t>即日起至7月31日</t>
  </si>
  <si>
    <t>1．申请表（见附件）；
2．本科历年成绩单（加盖教务处公章）；
3．英语水平的证明材料：全国大学生英语四、六级考试成绩单或相关证书；
4．其他相关能力的证明材料（如发表论文、专利、各类获奖证书等）；
5．本人有效期内的身份证和学生证。</t>
  </si>
  <si>
    <t>为入选营员提供夏令营期间的免费餐宿(合肥高校或家在合肥的学生不安排住宿)，并报销学校所在城市(或家庭所在城市)至合肥的长途汽车座票(正式车票)、高铁/动车二等座(卧铺、飞机票不予报销)的往返实付路费（上限500元）。</t>
  </si>
  <si>
    <t>表现优异者报考2026年安徽医科大学口腔医学院硕士研究生，且达到报考专业初试和复试相关要求，同等条件下可优先拟录取。</t>
  </si>
  <si>
    <t xml:space="preserve">国内高校本科毕业生需符合以下要求之一： 
（1）来自本校“伯乐计划”，或教育部“拔尖计划”、“强基计划”
且成绩年级排名前50% 
（2）C9高校学科排名B+以上且成绩排名前20%的学生； 
（3）全国A类学科普通班成绩排名前15%的学生。 </t>
  </si>
  <si>
    <t>满足上海交通大学本科直博的基本条件</t>
  </si>
  <si>
    <t>截止时间：8月4日12:00</t>
  </si>
  <si>
    <t>于8月中旬</t>
  </si>
  <si>
    <t>填写并提交《上海交通大学致远荣
誉计划申请表》（附件2），同时提交：个人简历、本科成绩单和成绩排
名证明、科研计划书、专家推荐信（两份）等材料。</t>
  </si>
  <si>
    <t>拟开展全国重点实验室研学、科研小课题、导师面对面、人工智能眼科显微手术模拟训练课等多样化活动。</t>
  </si>
  <si>
    <t>报名截止时间：7月17日24:00</t>
  </si>
  <si>
    <t>举办时间：8月6日-8日</t>
  </si>
  <si>
    <t>1.暑期夏令营活动报名表；
2.本人第二代居民身份证和学生证；
3.学籍在线验证报告（登录中国高等教育学生信息网（www.chsi.com.cn），进入“学信档案”-“在线验证报告”，在线申请验证并下载“教育部学籍在线验证报告”）；
4. 英语CET-6成绩单或其他英语水平测试成绩单；
5. 上述申请条件（五）的佐证材料</t>
  </si>
  <si>
    <t>一志愿报考我校或通过推免的方式被我校录取的合格营员入学当年可享受一等学业奖学金（1.2万元/生·年）。</t>
  </si>
  <si>
    <t>夏令营活动内容：学院学科介绍、校园参观、学术交流活动（具体活动安排入营后通知）</t>
  </si>
  <si>
    <t>即日起至2025年7月16日24:00</t>
  </si>
  <si>
    <t>2025年7月21-22日</t>
  </si>
  <si>
    <t>1.填写问卷星：
https://www.wjx.cn/vm/tHyUyCv.aspx
2.个人简历（应包括个人信息、学术背景、曾经做过的研究工作、未来学习和研究的计划及目标等)；
3.学生证扫描件；
4.截止报名时的本科历年成绩单１份（加盖教务部门公章）；
5.专业总评成绩排名证明材料（提供本人排名/专业总人数）或绩点排名证明（需签字加盖教务部门公章）；
6.大学英语四六级考试成绩或TOEFL、IELTS、GRE成绩等体现自身英语水平的证明；
7.其他有关能力的证明材料（如发表论文、专利，项目成果、凭证，各类获奖证书等）；
8.以上所有材料电子版通过扫描方式处理，按照2-7的顺序生成一份电子文件（PDF格式），文件名为“XX大学-XX专业-XX（姓名）2025年夏令营申请材料”，于2025年7月16日24点前发送至邮箱pumcspmphyh@163.com；
9.纸质材料：将2-7所有申请材料原件装档案袋，档案袋正面注明姓名、所在学校及院系，夏令营入营报到时，请携带学生证及上述材料原件进行报到注册。</t>
  </si>
  <si>
    <t xml:space="preserve"> 本科期间学习优秀，无补考、重修，能如期毕业</t>
  </si>
  <si>
    <t>英语至少应达到国家四级以上水平，具有较强的英语写作和口语表达能力</t>
  </si>
  <si>
    <t>7月24日下午：报到；
7月25日上午：院情介绍、学科介绍、奖助和就业等介绍、参观；
7月25日下午：学长交流、导师面对面交流；
7月25日下午或7月26日上午：踏上归程。</t>
  </si>
  <si>
    <t>报名截止日期：2025年7月18日</t>
  </si>
  <si>
    <t>夏令营活动：2025年7月24-7月26日。</t>
  </si>
  <si>
    <t>计划招生营员30-50人</t>
  </si>
  <si>
    <t>1．安徽医科大学生命科学学院优秀大学生夏令营申请表；
2．本科历年成绩单或相应证明；
3．个人简历和其它相关能力的；
证明材料（如发表论文、专利、各类获奖和英语考级证书等）；
4．本人有效期内的身份证和学生证；
5．安徽医科大学生命科学学院优秀大学生夏令营报名汇总表；
6. 优惠政策：夏令营表现优异营员报考2026年安徽医科大学生命科学学院硕士研究生，且达到初试成绩和复试相关要求，同等条件下优先录取。</t>
  </si>
  <si>
    <t>我院将免费为入选营员提供活动期间食宿，路费自付。</t>
  </si>
  <si>
    <t>学习成绩优异，具有浓厚科研兴趣，有较强的研究能力；专业成绩排名和综合素质排名均在本专业名列前茅或有望取得就读学校推荐免试研究生资格。</t>
  </si>
  <si>
    <t>英语水平良好，</t>
  </si>
  <si>
    <t>7月23日下午报到，7月24日夏令营开幕式、参观学校、学科介绍会、专题讲座，7月25日研招政策解读、经验交流会、优秀营员颁奖、离营。
具体以实际通知为准。</t>
  </si>
  <si>
    <t>2025年7月14日8:00-7月18日17:00</t>
  </si>
  <si>
    <t>7月23日-25日</t>
  </si>
  <si>
    <t>计划营员人数20-30名</t>
  </si>
  <si>
    <t>.网上报名：具体报名材料如下
①《安徽医科大学护理学院全国优秀大学生夏令营申请表》（见附件1）及《汇总表》（见附件2）；
②外语水平证明，如CET四级、CET六级、雅思、托福等；
③本科阶段历年成绩单和专业排名证明（均须由教务部门盖章）各1份，JPG或PDF格式;
④有关获奖证书和学术科研成果，如体现自身学术水平的代表性学术论文 PDF格式、获奖证书扫描件等。</t>
  </si>
  <si>
    <t>活动开展期间提供工作餐和住宿费（合肥市内高校或家在合肥的学生不安排住宿），交通费营员自理。</t>
  </si>
  <si>
    <t>表现优异者报考2026年安徽医科大学护理学院硕士研究生，且达到报考专业初试及复试相关要求，同等条件下优先拟录取。</t>
  </si>
  <si>
    <t>经教育部批准具有推荐免试攻读硕士学位研究生资格高校的2026届优秀本科生；
学习成绩优异，综合素质高，有志于从事科学研究工作，有较强的研究能力。</t>
  </si>
  <si>
    <t>由各学科自主组织线上宣讲</t>
  </si>
  <si>
    <t>2025年7月15—19日</t>
  </si>
  <si>
    <t>2025年7月23—25日</t>
  </si>
  <si>
    <t>（一）本人身份证和学生证；
（二）网上报名《申请表》一份；
（三）个人自述：含个人简历、参加本次开放日活动的原因、目的和期望等；
（四）学习成绩单及成绩排名证明（由所在学校或院系教务部门加盖公章）；
（五）大学英语四级或六级考试成绩单；
（六）学术成果（包括公开发表论文、出版著作、获得专利、获得学术科技奖项、承担课题或者其他具有学术水平的工作成果）；
（七）获得的各类荣誉、表彰、奖励证书等；
（八）本科就读学校专家（副教授及其以上职称）推荐表。</t>
  </si>
  <si>
    <t>医学实验动物研究所</t>
  </si>
  <si>
    <t>英语水平优良，全国大学英语四级英语考试（CET-4）500分以上、六级考试（CET-6）430分及以上优先。</t>
  </si>
  <si>
    <t>课题组研究方向介绍；专家系列讲座；了解学生生活学习情况等。</t>
  </si>
  <si>
    <t>2025年7月14日---16日24:00</t>
  </si>
  <si>
    <t>填写问卷星：
https://www.wjx.cn/vm/rapN5Bv.aspx
个人简历；
学生证扫描件；
截止报名时的本科历年成绩单１份（加盖教务部门公章）；
大学英语四六级考试成绩或体现自身英语水平的证明；
获得代表性成果证明材料；</t>
  </si>
  <si>
    <t>所院提供夏令营活动期间内餐饮及为入营同学购买活动期间的团体意外保险。住宿及往返交通等其他费用由营员自理。</t>
  </si>
  <si>
    <t>入营同学需准备自我介绍PPT便于进入科室内进行介绍，内容包括个人基本信息，学习成绩、科研学术工作及成果、实践经历、个人获奖情况、科研学习规划等，时间10min。</t>
  </si>
  <si>
    <t>截至本科当前学业成绩综合排名在全年级名列前茅，</t>
  </si>
  <si>
    <t>具体安排以实际入营后通知为准</t>
  </si>
  <si>
    <t>2025年7月15日至7月27日中午12:00期间</t>
  </si>
  <si>
    <t>2025年8月中旬（拟定8月13日-16日）</t>
  </si>
  <si>
    <t>为所有入选营员免费提供夏令营期间（第一天晚至第四天中午）的食宿。
往返交通费需营员自理。</t>
  </si>
  <si>
    <t>北京中医医院</t>
  </si>
  <si>
    <t>具体时间及活动安排，以钉钉群通知为准： 
1) 深入了解学院培养特色、学科优势、科研实力与师资力量，亲身感受学院中医文化、学术氛围。组织开营仪式、参观交流、师生零距离对话、结营仪式等。
2) 结营考核：根据综合考核评选"优秀营员"。具体安排及要求入营后详见学院通知。</t>
  </si>
  <si>
    <t>7月21日24:00前</t>
  </si>
  <si>
    <t>8月4日﹣8月5日</t>
  </si>
  <si>
    <t>入选营员约20人</t>
  </si>
  <si>
    <t>1．教育部学籍在线验证报告：登陆"学信网"在"在线认证"一栏申请办理一个教育部学籍在线验证报告（电子版），下载并打印：电子版：将生成的验证报告电子文件，命名为："1．学籍信息":
2．照片：本人近期一寸白底彩色身份证版式照片。电子版：照片请使用JPG 格式电子文件，命名为："2．照片":
3．专家推荐书：副教授及以上专家推荐书1份（附件1)。电子版生成一份PDF格式的电子文件，命名为："3．推荐书"
4．本科阶段成绩单及本专业排名证明（学校教务部门或院系盖章）。电子版：各生成PDF格式的电子文件，命名为："4.1成绩单，4.2专业排名":
5．英语水平证明：生成PDF格式的电子文件，命名为："5．英语水平":
6．其他证明材料：包括各类获奖证书复印件：体现自身学术水平的代表性学术论文、出版物或原创性工作成果等）。电子版：生成PDF格式的电子文件，如材料较多请建立文件夹，命名为："6．其他证明材料"。
7．自荐信：格式不限，可包括简历、为何申请相关学院及专业、未来学习研究计划等。电子版：生成PDF或Word格式的电子文件，命名为"7．自荐信"。</t>
  </si>
  <si>
    <t>入营学员可选择在学院集体宿舍住宿（需要学生自带生活用品），也可自行解决住宿，伙食费、交通费用自理。</t>
  </si>
  <si>
    <t>8:15-8:45
学生报到、领取活动物资
医院会议室
9:00-10:30
开幕式、直播、招生宣讲
医院会议室
从"仁爱"启航
10:40-11:40
优势科室深度参访
科室
:
午餐会＋在读研究生经验分享
医院食堂
在"精业"中感受毫厘之差
时间
活动内容
地点
13:15-15:00
参观实验室，感受那个时代的医学之路
实验室
从继承到创新之路
时间
活动内容
地点
15:15-16:00
校史馆文化研学
校史馆
16:00-17:00
图书馆学术资源体验
学校图书馆
17:00-17:30
闭幕式</t>
  </si>
  <si>
    <t>2025年7月16日9:00-7月18日24:00</t>
  </si>
  <si>
    <t>活动期间免费提供午餐、活动物资、防暑用品及人身意外伤害保险，其余住宿、餐饮费用需自理。</t>
  </si>
  <si>
    <t>学习成绩排名前列，能够获得所在学校推荐免试资格；或有志参加山东第一医科大学附属省立医院研究生招生考试的学生（原则上本科阶段的学业成绩排名在本专业前30%）</t>
  </si>
  <si>
    <t>英语水平优秀。满足以下之一：CET4≥425分；或托福85分及以上；或雅思6.0以上。</t>
  </si>
  <si>
    <t>活动举办期间，将全面介绍我院医教研情况，包括实验室及科研平台、招生政策、优势学科团队、导师队伍等，根据学生需求参观院内优势专业、实验室平台，并举办名师交流等活动。</t>
  </si>
  <si>
    <t>2025.7.16-27</t>
  </si>
  <si>
    <t>　　（1）学生证、身份证扫描件；
　　（2）个人电子照片：近期拍摄，正面免冠彩色照片；
　　（3）夏令营申请表（需签字盖章，上传扫描件）；
　　（4）本科成绩单（需加盖教务处公章）；
　　（5）英语成绩证明：英语四级成绩单、TOEFL成绩、GRE成绩等证明材料扫描件；
　　（6）科研成果相关证明材料：申请人可提交体现自身学术水平的代表性学术论文、出版物或原创性工作成果及获奖证书。无科研成果者可不提交本项材料。</t>
  </si>
  <si>
    <t>河南医药大学</t>
  </si>
  <si>
    <t>本次夏令营活动内容主要包括学术讲座、学生与导师面对面交流、参观医院科研平台、专业科室实地走访等。</t>
  </si>
  <si>
    <t>2025.7.10-7.20</t>
  </si>
  <si>
    <t>2025.7.23-25</t>
  </si>
  <si>
    <t>1. 夏令营申请表（点击下载文末附件）；
2. 学生证和身份证复印件；
3. 其他证明材料（如体现个人学习能力、科研情况、英语考试成绩证明、专业成绩排名、学术论文或其他原创性工作成果复印件、获奖证书复印件等）。
以上材料按顺序整理扫描后合并成为一个带有目录的PDF版电子文档，以“姓名+夏令营材料名称+电话”格式命名发送至yjsglbgs@126.com。</t>
  </si>
  <si>
    <t>夏令营期间食宿免费，发放文化衫，往返交通费用自理。如果被本院录取为推荐免试生，可凭票报销夏令营期间往返硬座火车票或高铁二等座车票（需上交往返票根或报销凭证）；</t>
  </si>
  <si>
    <t>第五临床学院</t>
  </si>
  <si>
    <t>1.开营仪式
2.医院领导介绍研究生招生和培养情况
3.各学科负责人介绍研究方向4.知名教师讲授科研经验
5.研究生导师与营员交流</t>
  </si>
  <si>
    <t>2025.7.15-20</t>
  </si>
  <si>
    <t>2025.7.24-25</t>
  </si>
  <si>
    <t>1.个人简历;
2.学生证和身份证复印件
3.英语相关考试成绩证明;
4.其他证明材料(如体现个人学习能力、科研情况、专业成绩排名、学术论文或其他原创性工作成果复印件获奖证书复印件等)。</t>
  </si>
  <si>
    <t>学习成绩优秀（本科期间综合成绩排名前30%），在科研技能、创新创业、社会实践等方面有优异成果者，可放宽成绩要求（须提供成果证明或省级及以上获奖证书）。</t>
  </si>
  <si>
    <t>全国大学外语四级水平考试成绩优良，或全国大学外语六级水平合格或TOEFL、GRE等考试成绩优秀。</t>
  </si>
  <si>
    <t>夏令营期间将安排学科介绍、学员与导师交流、参观校园、实验室、附属医院GCP中心等活动。
25日下午报到，26日全天营员活动。具体日程，在报到后，以学院当天安排为准</t>
  </si>
  <si>
    <t>2025.7.14-7.20</t>
  </si>
  <si>
    <t>2025.7.25-26</t>
  </si>
  <si>
    <t>1. 完成报名表（附件1）和汇总表（附件2）填写。
2. 本科成绩单和专业排名证明（各1份，需加盖所在教务处公章）。
3. 大学英语四/六级成绩单、TOEFL、GRE成绩单等英语成绩证明材料。
4. 相关获奖证书复印件、其他有关能力证明的材料复印件。</t>
  </si>
  <si>
    <t>1. 为入选营员提供夏令营期间的住宿及免费工作午餐（合肥市内高校或家在合肥的学生不安排住宿）。
2. 交通费原则上自理，家庭经济困难学生可提交相关证明材料申请报销。</t>
  </si>
  <si>
    <t>江西中医药大学</t>
  </si>
  <si>
    <t>8月23日8:00-8:30报到8:30-11:30开营仪式、学院介绍、合影14:00-17:00中药绘图(基础)8月24日8:30-17:00中药绘图(升级)8月25日8:30-11:30中药绘图14:00-17:00导师与学生学术交流会，闭营仪式</t>
  </si>
  <si>
    <t>2025.7.16-8.16</t>
  </si>
  <si>
    <t>2025.8.23-8.25</t>
  </si>
  <si>
    <t>10-20人</t>
  </si>
  <si>
    <t>住宿本校及在昌学生，一般不安排住宿。外地学校的学生住宿提供安排
就餐除早餐外，统一用餐
交通费用学校向外地营员提供来昌交通补贴(本省外校每人200元)</t>
  </si>
  <si>
    <t>英语水平良好，达到大学英语六级考试(≥425分)、雅思(&gt;6.0分)、托福(&gt;90分)或相当水平。科研潜力突出者可适当放宽。</t>
  </si>
  <si>
    <t>2025.7.25</t>
  </si>
  <si>
    <t>1.“北京协和医学院医学信息研究所2025年夏令营”申请表1份(协和信息所2025年夏令营申请表.doc)，同时箦填写线上问卷(https://www.wix.cn/ym/YDqiD6t.aspx#)。2.个人简历(带照片)。3.截止报名时的成绩单1份(加盖教务部门公章)。4.专业/班级总评成绩排名证明材料1份(加盖教务部门公章)。5.大学英语六级考试、雅思托福成绩单等证明英语水平的材料6.大学期间获得的各类获奖证书。7发表的学术论文(限第一、二作者或通讯作者)。8.参与或承担课题等体现学术水平的材料。</t>
  </si>
  <si>
    <t>我单位为入选营员统一购买活动期间的团体意外保险。夏令营期间食宿、交通费用自理，我单位提供夏令营当天午餐和晚餐。</t>
  </si>
  <si>
    <t>姑苏学院</t>
  </si>
  <si>
    <t>所在专业总成绩年级排名前20%</t>
  </si>
  <si>
    <t>六级成绩450分及以上</t>
  </si>
  <si>
    <t>8月4日13：00-15：00报到；
8月4日至8月6日活动
暑期开放日主要活动包括：南京医科大学姑苏学院、南京医科大学附属苏州医院（苏州市立医院）介绍；参观临床科室、医院相关平台、导师见面交流等。</t>
  </si>
  <si>
    <t>2025.7.17-7.27</t>
  </si>
  <si>
    <t>2025.8.4-8.6</t>
  </si>
  <si>
    <t>（1) 暑期开放日申请表（见附件）
（2) 本科阶段成绩单及所在专业总成绩排名1份（由教务部门或院系盖章）；
（3) 本人身份证、学生证扫描件和教育部学籍在线验证报告（有效验证期内）；
（4) 英语六级成绩证明；
（5) 能体现自身能力的其他获奖证书、学术论文等电子版材料；</t>
  </si>
  <si>
    <t>（1）食宿：我院将为入选学员提供暑期开放日期间的食宿，家庭所在地是苏州的学员原则上不安排住宿，住宿时间：8月4日15:00～8月6日12:00；
（2）交通：我院将参照学院本科学校所在地至苏州的“高铁二等座票”、“动车二等座票”或者“普快列车硬座票”的标准及购票实际情况予以交通费补助（学员请自行预定往返车票）。</t>
  </si>
  <si>
    <t xml:space="preserve">线下 </t>
  </si>
  <si>
    <t>2025.7.17-7.31</t>
  </si>
  <si>
    <t>2025.8.18-8.20</t>
  </si>
  <si>
    <t>80人（40人省内，40人省外）</t>
  </si>
  <si>
    <t>1、《中山大学附属第六医院2025年全国优秀大学生夏令营申请表》(我院网站--教学--研究生招生栏目下载）；
2、本科阶段成绩单及同年级总成绩排名（由教务部门或院系盖章）扫描件；
3、英语四六级证书扫描件。
4、个人简历
5、体现自身英语水平的证明以及其他证明材料（如体现自身学术水平的代表性学术论文（包括包括相关杂志封面、目录页及文章正文页）或其他原创性工作成果复印件、获奖证书复印件等）。</t>
  </si>
  <si>
    <t>入选为参加本次活动的广州市外高校学生，我院统一安排食宿（广州本地学校学生不提供住宿）。来回交通费请参加活动的同学自理。</t>
  </si>
  <si>
    <t>大学本科成绩优秀，达到该院校推免要求;原则上要求截止目前本科期间成绩达到本专业年级排名前10%(双一流建设高校可放宽至前30%);</t>
  </si>
  <si>
    <t>CET-62450;</t>
  </si>
  <si>
    <t>2025.7.19-7.21 18：00</t>
  </si>
  <si>
    <t>2025.7.30</t>
  </si>
  <si>
    <t>(1)《2025年暑(纸质版签字期夏令营活动申请表》并扫描);(2)个人简历1份;(3)本科成绩单(截至目前)，全专业成绩排名证明;(4)英语等级考试成绩单(大学英语六级考试成绩、TOEFL成绩等);(5)身份证(正反)、学生证扫描件;(6)学术科研成果(论文、专利等)和竞赛获奖证书;(7)文体特长等级证书、获奖证书等证明材料。</t>
  </si>
  <si>
    <t>满足以下条件之一：
1. 大学期间无不及格课程，截至目前的成绩平均绩点≥4.0（绩点5分制）或成绩排名在专业前30%；
2. 大学期间获校级三等及以上奖学金或校级及以上荣誉称号；
3. 以团队负责人参与校级及以上学科竞赛并获三等及以上奖项；
4. 以第一负责人发表学术论著或参与市级及以上科研项目。</t>
  </si>
  <si>
    <t>2025.7.21-7.27</t>
  </si>
  <si>
    <t>2025.8.5-6</t>
  </si>
  <si>
    <t>1. 暑期夏令营活动报名表；
2. 申请材料真实性保证书；
3. 本人第二代居民身份证和学生证；
4. 学籍在线验证报告（登录中国高等教育学生信息网（www.chsi.com.cn），进入“学信档案”-“在线验证报告”，在线申请验证并下载“教育部学籍在线验证报告”）；
5. 英语CET-6成绩单或其他英语水平测试成绩单；
6. 上述申请条件（四）的佐证材料。</t>
  </si>
  <si>
    <t>深圳医院</t>
  </si>
  <si>
    <t>热爱医学，具有较强实践能力和较好科研潜质。有科研相关经历、发表论文、申请专利或在科技创新研究方面有突出表现者优先，在省级以上临床技能竞赛等重大活动中获奖者优先。</t>
  </si>
  <si>
    <t>具有良好的外语水平，满足下列条件之一者可优先:1.六级≥425分；2.雅思≥6.0分；3.托福≥90分。获国家级英语比赛三等奖以上奖项者优先。</t>
  </si>
  <si>
    <t>活动内容: 邀请知名专家学者开展学术讲座，组织参加科研及临床实践、
优秀论文评比等。(注:具体安排详见后期学院通知)</t>
  </si>
  <si>
    <t>2025.7.21-8.3 18：00</t>
  </si>
  <si>
    <t>2025.8.11-15日</t>
  </si>
  <si>
    <t>60-80人</t>
  </si>
  <si>
    <t>（1）2025年广东省深圳临床医学专业暑期学校申请表(附件1-2)；
（2）身份证及学生证扫描件或者照片（须能看清楚发证学校和注册章等信息）；
（3）已修全部课程的正式成绩单（加盖院系或教务处公章）；
（4）英语水平证明材料（四六级英语证书，托福、雅思成绩等）；
（5）代表性学术论文（若尚未正式发表需同时提供接收函），活动中会遴选优秀进行展示评比；
（6）其他能够体现本人学习及科研能力的证明材料（各类获奖证书、专利授权证明等，全部放入一个文档并命名为“其他证明材料”）。</t>
  </si>
  <si>
    <t>（一）我院免费为学员提供活动期间住宿（深圳市内除外），就餐免费，广东省外学员可报销往返交通费（硬卧或动车/高铁二等座标准，限额1千元）。
（二）为学员提供活动礼品；
（三）优秀论文获奖者颁发证书及奖励，全程参加且考核合格学员发放活动证书；
（四）带领学员参观深圳前海，领略中国改革开放前沿城市风采。</t>
  </si>
  <si>
    <t>本科期间学习成绩优异，无不及格科目。</t>
  </si>
  <si>
    <t>英语水平优良，全国大学英语六级考试(CET-6)500分及以上优先。</t>
  </si>
  <si>
    <t>2025.7.23-7.27</t>
  </si>
  <si>
    <t>学生证扫描件、身份证正反面扫描件、截止报名时的本科历年成绩单1份(加盖教务部门公章)、专业总评成绩排名证明材料(加盖教务部门公章)、大学英语四六级考试成绩或雅思、托福成绩等体现自身英语水平的证明、其他有关能力的证明材料(如发表论文、专利，各类获奖证书等)等</t>
  </si>
  <si>
    <t>本次活动仅提供夏令营期间在院所内指定地点与时间段的餐饮。住宿及往返交通等其他费用由营员自理。</t>
  </si>
  <si>
    <t>附属妇女儿童医疗中心</t>
  </si>
  <si>
    <t>英语水平良好，具备基本的英语交流能力:全国大学英语四级考试(CET-4)成绩&gt;500分，或六级考试(CET-6)成绩&gt;440分，或与之相当的水平;</t>
  </si>
  <si>
    <t>2025.7.20-7.25 17：00</t>
  </si>
  <si>
    <t>2025.8.5-8.7</t>
  </si>
  <si>
    <t>30-50名</t>
  </si>
  <si>
    <t>1.研学体验营报名申请表(附件1)
2.身份证(双面)
3.学生证(有个人信息的所有页面)
4.《教育部学籍在线验证报告》
5.本科阶段成绩单盖章原件及成绩排名证明
6.外语水平证明扫描版(四六级或雅思托福证书等)
7.其他证明材料(个人获奖证书、代表作品等)</t>
  </si>
  <si>
    <t>①本次研学体验营不收取任何费用。中心将统一安排营期用餐及住宿。②外地院校营员请自行预定往返火车票，中心将资助外地营员往返交通费(从目前就读大学所在地至广州，报销标准为火车硬座、硬卧，高铁/动车二等座或汽车票、长途客车、船票(三等舱)等按照票价给予报销;飞机票报销价格≤高铁(动车)二等座报销价格，则按照飞机票价格给予报销。需出示票根，实报实销，超出部分营员自行承担)
③中心为参营人员购买体验营活动期间人身意外伤害保险。</t>
  </si>
  <si>
    <t>中医临床医学院</t>
  </si>
  <si>
    <t>专业排名需在前30%(创新型、荣誉型特色学院，以及基地班，卓越班、创新班等除外);有科研成果或潜力的同学以及能达到所在高校推免资格的同学除外;</t>
  </si>
  <si>
    <t>2025.7.23-7.31</t>
  </si>
  <si>
    <t>2025.8.14-15</t>
  </si>
  <si>
    <t>约100人</t>
  </si>
  <si>
    <t>1.《上海中医药大学市中医临床医学院2025年大学生暑期学校申请表》(见附件1);2.有效身份证件(正反面在一页上);3.本人学籍认证报告，学信网上在线验证并下载;4.学生证(照片、学号页即可);5.本科成绩单(院系或教务处盖章;可提供学校网络截图);6.英语水平证明材料(英语成绩证书等);7.个人简历(中英文均可，无格式要求);8.《身体健康情况申报表》(见附件2);9《2025年上海中医药大学优秀大学生暑期学校专家推荐信》(见附件3);10.获奖证书复印件(包括本科期间能突出特长、社会贡献、综合素质能力等各类证书);11.已发表的论文及专利，或其它原创性成果、其他有参考价值的科研实验工作证明材在料。</t>
  </si>
  <si>
    <t>线下参加此次暑期学校活动的营员在营活动期间的住宿和餐饮由学院负责;为了保障各位营员能够顺利完成暑期学校，建议各位线下参与的营员购买保险等。</t>
  </si>
  <si>
    <t>江苏大学</t>
  </si>
  <si>
    <t>2025.7.23-7.28 12：00</t>
  </si>
  <si>
    <t>①身份证和日12:00。学生证扫描件;②本科阶段历年成绩单;③外语水平证明，如CET-4CET-6、雅思、托福、专业外语成绩等。④获奖证书和学术科研成果，如发表论文、出版物、专利或其他原创性成果;⑤考生认为可以证明白身学业水平和能力等方面的其他材料。上述材料请扫描成图片，按顺序整合为1个PDF文件，自行添加封面(封面内容包含申请人姓名、申请学院、申请专业、毕业学校、毕业专业、联系方式)。</t>
  </si>
  <si>
    <t>2025.7.22-7.27 17：00</t>
  </si>
  <si>
    <t>2025.8.4-8.7</t>
  </si>
  <si>
    <t>①身份证扫描件；
②在读证明或学生证扫描件；
③本科阶段成绩单扫描件（含绩点，由学院或学校教务部门盖章）；
④英语水平相关证书或成绩单扫描件各1份（英语四、六级成绩单、TOEFL成绩等）；
⑤其它材料（如有可提供）：包括各项获奖证书；参加学生科研活动的证明；发表或参与发表的论文正文首页；社会服务证明等。</t>
  </si>
  <si>
    <t>本次活动不收取任何费用，本中心为营员提供活动期间的食宿（中山大学本校旁听生仅提供餐食，不提供住宿）；营员往返交通费自理</t>
  </si>
  <si>
    <t>本科前六个学期(四年制)/前八个学期(五年制)总评成绩在年级前30%。</t>
  </si>
  <si>
    <t>2025.7.24-7.31</t>
  </si>
  <si>
    <t>2025.8.17-22</t>
  </si>
  <si>
    <t>身份证复印件(正反面出现在一(1)张A4纸上);②学生证扫描件(含基本信息);③ 全国大学英语等级证书扫描件(只提供最高等级的证书);④ 本科成绩单，本科前六个学期(四年制)/前八个学期(五年制)的成绩单(需有所在学校教务处或院系公章，机打成绩单已有公章的不必另外加盖);⑤ 成绩排名证明，本科学校用于测算推免资格的排名证明(由所在院系或教务处盖章)，如不能提供，请所在院系或教务处给出不能提供成绩排名的证明;⑥ 其他证明材料，如发表论文、奖状、各类证书等;⑦对中医药等领域感兴趣的研究方向与内容(500字以内)。</t>
  </si>
  <si>
    <t>1.本次开放日不收取任何费用;2.免费提供校内住宿及餐饮，南京中医药大学校内学生不提供住宿:3.提供在学期间人身意外保险。</t>
  </si>
  <si>
    <t>总部</t>
  </si>
  <si>
    <t>学习成绩优秀，以下申请者优先：（1）“双一流”高校学生（截至目前总评成绩在本专业排名前50%）；（2）“所在学科教育部第四轮学科评估B+及以上”（学生截至目前总评成绩在本专业排名前20%）；（3）普通类高校学生（截至目前总评成绩在本专业排名前5%），（4）有推免资格者。</t>
  </si>
  <si>
    <t xml:space="preserve">　1.《2025年大学生夏令营报名申请表》(加盖公章提交扫描件)； 
　　2.本人有效期内的身份证与学生证（提交扫描件）； 
　　3.本科成绩单1份，并加盖院系教务部门公章(提交扫描件): 
　　4.外语水平证明，如CET-4、CET-6、雅思、托福、专业外语成绩等(提交扫描件)； 
　　5.其他可证明培养潜力和能力的材料(提交扫描件): 
　　5.1 在学术期刊上发表的文章、出版物或其他学术作品； 
　　5.2 专利； 
　　5.3 科研项目经历 
　　5.3 各类获奖证书等； 
　　6.《诚信承诺书》(需本人签字)。 
　　7.个人简历一份 </t>
  </si>
  <si>
    <t xml:space="preserve">　　1.夏令营期间提供免费食宿，交通费用自理。 
　　2.中心总部为入选营员统一购买活动期间的团体意外保险和营服。 </t>
  </si>
  <si>
    <t>在学期间专业排名前30%，无不及格科目</t>
  </si>
  <si>
    <t>站点1 学生报到时间：2025年8月4日 8：30-9：00地点：院内会议室活动内容：办理报到，领取物资。
站点2 开幕式时间：2025年8月4日 9：00-10：30地点：院内会议室活动内容：领导寄语，医院及相关专业宣讲。
站点3 朋辈领航时间：2025年8月4日 10：30-11：30地点：院内会议室活动内容：优秀学长学姐成长分享，互动问答。
站点4 科研求索时间：2025年8月4日 14：00-15：30地点：实验研究部、省重实验室活动内容：参观科研平台，与科研团队对话。
站点5 青春答卷时间：2025年8月4日 15：30-16：30地点：放疗中心、全国青年文明号活动内容：参观先进放射治疗设备，与青年医疗工作者交流。
站点6 走进临床时间：2025年8月5日 8：00-11：30地点：各临床科室活动内容：参访临床科室，跟随意向导师门诊、查房、手术等，与导师深度对话。
站点7 天府启新时间：2025年8月5日 14：00-15：30地点：天府院区活动内容：参访天府院区相关科室。
站点8 抗癌利器时间：2025年8月5日 15：30-16：30地点：质子中心活动内容：参访西部首个质子治疗中心。
站点9 闭幕式时间：2025年8月5日 16：30-17：00地点：天府院区活动内容：合影留念，领取纪念证书。</t>
  </si>
  <si>
    <t>2025.7.24-7.30 24：00</t>
  </si>
  <si>
    <t>2025.8.4-8.5</t>
  </si>
  <si>
    <t>1.医院为所有参加开放日活动准)的同学提供免费住宿和餐饮;2.医院为入选夏令营者统一购买意外保险。</t>
  </si>
  <si>
    <t>大学期间无不及格课程，截至目前的成绩平均绩点&gt;4.0(绩点5分制)或成绩排名在专业前30%(应包含所学专业同年级人数，须加盖学校教务处或院系公章);</t>
  </si>
  <si>
    <t>国家英语六级考试成绩须&gt;425分，或有其他证明本人外语能力的正式成绩证明(如托福总分不低于80分、雅思总分不低于5.5分);</t>
  </si>
  <si>
    <t xml:space="preserve">2025.7.24-7.30 </t>
  </si>
  <si>
    <t>2025.8.14-8.15</t>
  </si>
  <si>
    <t>1.温州医科大学第一临床医学院(信息与工程学院)2025年优秀大学生夏令营报名表;2.本人第二代居民身份证和学生证;3.学籍在线验证报告(登录中国高等教育学生信息网(www.chsi.com.cn)，进入“学信档案”“在线验证报告”，在线申请验证并下载“教育部学籍在线验证报告”);4.英语CET-6成绩单或其他英语水平测试成绩单;5.上述申请条件(四)的佐证材料注:凡参加夏令营者，须携带上述申请资料1-5中所涉及的相关材料原件至报到现场供核验。</t>
  </si>
  <si>
    <t>我校夏令营不收取任何费用，营员交通和食宿自理，根据营员本科高校所在地，按照以下标准一次性给予来校的交通食宿补贴:(1)温州市内:200元/人;(2)浙江省内(除温州市):500元/人;(3)华东地区(除浙江省):800元/人;(4)华南、华中、华北地区:1000元人;(5)东北、西北、西南地区:1200元/人。</t>
  </si>
  <si>
    <t>本科前六个学期（四年制）/前八个学期（五年制）总评成绩在年级前30%。</t>
  </si>
  <si>
    <t>本期开放日拟聘请国内中医药类领域的顶尖专家授课，组织中医药传统文化体验、江苏省中医药博物馆参访、导师见面交流会、学生个人能力展示等活动。具体安排待后续通知，全体同学需按要求全程参加开放日活动</t>
  </si>
  <si>
    <t>2025.7.25-7.31</t>
  </si>
  <si>
    <t>(1) 身份证复印件（正反面出现在一张A4纸上）；
(2) 学生证扫描件（含基本信息）；
(3) 全国大学英语等级证书扫描件（只提供最高等级的证书）；
(4) 本科成绩单，本科前六个学期（四年制）/前八个学期（五年制）的成绩单（需有所在学校教务处或院系公章，机打成绩单已有公章的不必另外加盖）；
(5) 成绩排名证明，本科学校用于测算推免资格的排名证明 (由所在院系或教务处盖章)，如不能提供，请所在院系或教务处给出不能提供成绩排名的证明；
(6) 其他证明材料，如发表论文、奖状、各类证书等；
(7) 对中医药等领域感兴趣的研究方向与内容（500字以内）。</t>
  </si>
  <si>
    <t>1.本次开放日不收取任何费用；
2.免费提供校内住宿及餐饮，南京中医药大学校内学生不提供住宿；
3.提供在学期间人身意外保险。</t>
  </si>
  <si>
    <t>2025.7.25-8.15</t>
  </si>
  <si>
    <t>2025.8.20-8.27</t>
  </si>
  <si>
    <t>（1）申请表；（2）个人简历1份；（3）在校学习其他获奖证明等材料。</t>
  </si>
  <si>
    <t>研学期间学校免费提供食宿，项目日程免费；学员往返差旅费自理。</t>
  </si>
  <si>
    <t>徐州医科大学</t>
  </si>
  <si>
    <t>急救与救援医学系</t>
  </si>
  <si>
    <t>2025.7.29-8.8</t>
  </si>
  <si>
    <t>2025.8.15-16</t>
  </si>
  <si>
    <t>1、本科成绩单和专业排名证明，需加盖教务处公章；2、相关英文能力证明（大学英语四、六级，雅思，托福或GRE等）；3、学生证+身份证复印件；4、推免资格证明（如有请提供）；5、专家推荐信（如有请提供，可提前联系2位副教授及以上职称专家提交推荐信）；6、其他证明材料（如已发表论文或出版物首页、各类证书奖状等）；</t>
  </si>
  <si>
    <t>夏令营期间不收取任何费用。主办方将提供活动期间营员的食宿及保险等，并为异地学生提供一定额度的交通补助（需凭票报销，具体说明将后续通知）。</t>
  </si>
  <si>
    <t>国家卫生健康委科学技术研究所</t>
  </si>
  <si>
    <t>开营仪式、观看北京协和医学院和科研所宣传短片、研究生培养情况介绍、各学科专业导师宣讲、营员个人能力展示等。</t>
  </si>
  <si>
    <t>2025年8月15日（周二）24时截止</t>
  </si>
  <si>
    <t>暂定8月下旬，具体安排另行通知。</t>
  </si>
  <si>
    <t>（1）个人简历（包括本人照片、个人基本信息、教育经历、本科期间参与的科研工作、未来学习研究计划、参与过的社团活动、兴趣爱好、联系方式等）；
（2）身份证明材料：身份证正反面和学生证扫描件；
（3）截止报名时的本科历年成绩单（加盖教务部门公章）；
（4）专业总评成绩排名证明材料（加盖教务处公章）；
（5）大学英语四、六级成绩或TOEFL、IELTS、GRE成绩等体现本人英语水平的证明；
（6）其他有关能力的证明材料（如发表论文、专利、获奖证书等）。
请将以上材料按顺序合并成为一个PDF格式的文件，文件名称为“本科学校+姓名+拟报考专业”，发送至电子邮箱xialingying_nrifp@163.com。邮件命名方式亦为“本科学校+姓名+拟报考专业”。截止时间为8月15日24时，逾期不再接受报名。</t>
  </si>
  <si>
    <t>学业成绩综合排名在全年级名列前茅</t>
  </si>
  <si>
    <t>见通知</t>
  </si>
  <si>
    <t>截止日期：2025年8月12日</t>
  </si>
  <si>
    <t>8月16日至8月20日</t>
  </si>
  <si>
    <t>1、必须提交的申请材料：
① 个人简历1份
② 截止目前完整成绩单1份（须加盖院系或学校教务部门公章）
③ 国家英语四、六级考试、托福、雅思、GRE等体现自身英语水平的成绩证明1份
④ 个人陈述（阐述为什么想参加阜外医院暑期学校）
2、选择提交的申请材料：
⑤获奖证书复印件各1份
⑥申请人还可提交体现自身学术水平的代表性学术论文、出版物或原创性工作成果1份</t>
  </si>
  <si>
    <t>本次暑期学校不收取任何学费。
· 为所有入选学员免费提供活动期间（8月16日晚至8月20日中午）的食宿。
· 往返交通按照报销标准据实报销</t>
  </si>
  <si>
    <t>达到本科院校的推免资格基本条件或学习成绩优秀的2026年应届本科生，本科综合成绩排名全年级同专业前50%，</t>
  </si>
  <si>
    <t>CET-4成绩达到500分及以上月50%，CET-6成绩达到425分及以上，或取得其他英语水平考试证书;</t>
  </si>
  <si>
    <t>8月27日:海口市外营员可以入住酒店;8月28日(第二日):9:00前全体营员报到，举办开营仪式、学术报告;参观学校校史馆、科研平台8月29日:参观院史长廊、各系、室科研平台、医院教学介绍、科研平台介绍、师生交流及面试;8月29日:17:00闭幕、离营。</t>
  </si>
  <si>
    <t>2025.8.28-8.29</t>
  </si>
  <si>
    <t>身份证;学生证首页及注册页;学习成绩单及成绩排名证明(由本科期间所在学校或院系教务部门加盖公章);体现自身英语水平的证明(国家英语四级和六级考试成绩单，或其他英语水平证明材料);其他材料:获得的奖励证明;公开发表论文、出版著作、获得专利、获得学术科技奖项、承担课题或者其他具有学术水平的工作成果等有参考价值的证明材料。</t>
  </si>
  <si>
    <t>本次夏令营不收取任何费用，学院为营员提供活动期间的伙食、住宿(海口本地高校营员只提供伙食);交通费用由营员自理。</t>
  </si>
  <si>
    <t>本科前三年成绩排名前30%（“双一流”高校可放宽至前40%）；</t>
  </si>
  <si>
    <t>英语水平（满足其一）：
（1）CET-4≥480分；（2）托福 ≥ 85 / 雅思 ≥ 6.0；（3）其他等效英语成绩（如专业英语四级等）。</t>
  </si>
  <si>
    <t>9月3日：
15:00-17:00 营员报到（临床技能实验教学中心5楼504）。
9月4日：
9:00 举办开营仪式、临床技能实验教学中心参观、优秀研究生发言等；
9月5日：
9:00 师生交流面试考核、结营仪式暨优秀营员表彰；
16:00 闭幕、离营。</t>
  </si>
  <si>
    <t>2025.8.20-2025.8.24 24：00</t>
  </si>
  <si>
    <t>2025.9.3-9.5</t>
  </si>
  <si>
    <t>1.身份证正反面扫描件；
2.学生证首页及注册页扫描件；
3.加盖公章的成绩单及专业排名证明；
4.英语水平证明（CET-4/CET-6/托福/雅思等）；
5.其他材料：获奖证书、论文、专利、科研证明等（如有）；
材料要求：按顺序合并为单一PDF文件，命名格式：105101_张三_XX大学_139XXXXXXXX.pdf（注：代码参考附件目录）。</t>
  </si>
  <si>
    <t>我单位将提供营员在夏令营期间的餐食，住宿和往返路费由学生个人自理。</t>
  </si>
  <si>
    <t>本科前三年成绩排名前30%(“双一流”高校可放宽至前40%);</t>
  </si>
  <si>
    <t>英语水平(满足其一)(1)CET-4&gt;480分;(2)托福&gt;85/雅思&gt;6.0;(3)其他等效英语成绩(如专业英语四级等)。</t>
  </si>
  <si>
    <t>9月3日:15:00-17:00营员报到(医院行政楼4楼教务科4办公室)9月4日:9:00举办开营仪式，平台介绍课题组介绍;医院及实验室参观等9月5日:9:00师生交流面试考核、结营仪式暨优秀营员表彰;16:00闭幕、离
营.</t>
  </si>
  <si>
    <t>2025.8.22-8.25 24：00</t>
  </si>
  <si>
    <t>1.身份证;2.学生证首页及注册页;3.学习成绩单及成绩排名证明(由本科期间所在学校或院系教务部门加盖公章);4.体现自身英语水平的证明(国家英语四级或六级考试成绩单，或其他英语水平证明材料);5.其他材料:获得的奖励证明;公开发表论文、出版著作、获得专利、获得学术科技奖项、承担课题或者其他具有学术水平的工作成果等有参考价值的证明材料。申</t>
  </si>
  <si>
    <t>我单位将提供营员在夏令营期间的餐食和住宿费用，往返路费由学生个人自理。</t>
  </si>
  <si>
    <t>其他</t>
    <phoneticPr fontId="5" type="noConversion"/>
  </si>
  <si>
    <t>学习成绩优秀，对学术研究有浓厚的兴趣，愿意从事学术研究工作。</t>
    <phoneticPr fontId="5" type="noConversion"/>
  </si>
  <si>
    <r>
      <t>1、提交报名材料（附件下载相关模板）
（1）网报信息真实承诺书1份（附件模板1）。
（2）夏令营申请表1份（附件模板2）
（3）夏令营个人陈述1份（附件模板3）。
（4）夏令营专家推荐信3封，需要3位副教授（含）以上职称的专家分别推荐，且密封并在封口骑缝处签字（附件模板4）。
（5）成绩单原件。
应届本科生需提供本科阶段成绩单（由教务部门盖章）1份，前两年半总评成绩排名证明（由教务部门盖章）1份（附件模板5。
应届/往届硕士生需提供历年在校学习成绩单（本科和硕士阶段，由教务部门盖章）1份。
（6）有效的英语证明复印件（如国家英语四、六级考试、或TOEFL、雅思与GRE考试等成绩的复印件）。
（7）在学证明或学位、学历证书。
 应届本科生和硕士生需提供由所在学校教务部门盖章在学证明，或学信网《教育部学籍在线验证报告》1份。
往届硕士生需提交学位、学历证书的复印件，境外获得的学位证书须提供教育部留学服务中心出具的《国（境）外学历学位认证书》1份。
（8）其他证明材料（如体现自身学术水平的代表性学术论文或其他原创性工作成果的首页复印件、获奖证书复印件等）1份。
（9）点击链接填写基本信息（附件模板6）。
将所有申请材料（除专家推荐信外）按照以上顺序，合并成一个PDF文件，同时填写基本信息登记问卷，于2024年6月1日17:00前通过邮件将以上文件电子版申请材料发送至昌平实验室材料接收邮箱：</t>
    </r>
    <r>
      <rPr>
        <u/>
        <sz val="11"/>
        <color rgb="FF0000FF"/>
        <rFont val="微软雅黑"/>
        <family val="2"/>
        <charset val="134"/>
      </rPr>
      <t>admissions@cpl.ac.cn</t>
    </r>
    <r>
      <rPr>
        <sz val="11"/>
        <color rgb="FF000000"/>
        <rFont val="微软雅黑"/>
        <family val="2"/>
        <charset val="134"/>
      </rPr>
      <t xml:space="preserve">。
</t>
    </r>
  </si>
  <si>
    <t>共120人（分两批次进行）  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</si>
</sst>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quot;年&quot;m&quot;月&quot;;@"/>
  </numFmts>
  <fonts count="65">
    <font>
      <sz val="12"/>
      <name val="等线"/>
      <charset val="134"/>
      <scheme val="minor"/>
    </font>
    <font>
      <b/>
      <sz val="12"/>
      <name val="微软雅黑"/>
      <family val="2"/>
      <charset val="134"/>
    </font>
    <font>
      <sz val="12"/>
      <name val="微软雅黑"/>
      <family val="2"/>
      <charset val="134"/>
    </font>
    <font>
      <b/>
      <sz val="12"/>
      <color rgb="FF000000"/>
      <name val="微软雅黑"/>
      <family val="2"/>
      <charset val="134"/>
    </font>
    <font>
      <sz val="12"/>
      <color rgb="FF000000"/>
      <name val="微软雅黑"/>
      <family val="2"/>
      <charset val="134"/>
    </font>
    <font>
      <sz val="9"/>
      <name val="等线"/>
      <family val="3"/>
      <charset val="134"/>
      <scheme val="minor"/>
    </font>
    <font>
      <b/>
      <sz val="28"/>
      <color rgb="FF000000"/>
      <name val="微软雅黑"/>
      <family val="2"/>
      <charset val="134"/>
    </font>
    <font>
      <sz val="28"/>
      <color rgb="FF000000"/>
      <name val="微软雅黑"/>
      <family val="2"/>
      <charset val="134"/>
    </font>
    <font>
      <b/>
      <sz val="28"/>
      <name val="微软雅黑"/>
      <family val="2"/>
      <charset val="134"/>
    </font>
    <font>
      <b/>
      <sz val="36"/>
      <color rgb="FF000000"/>
      <name val="微软雅黑"/>
      <family val="2"/>
      <charset val="134"/>
    </font>
    <font>
      <b/>
      <sz val="36"/>
      <name val="微软雅黑"/>
      <family val="2"/>
      <charset val="134"/>
    </font>
    <font>
      <b/>
      <sz val="12"/>
      <color theme="1"/>
      <name val="等线"/>
      <family val="3"/>
      <charset val="134"/>
      <scheme val="minor"/>
    </font>
    <font>
      <sz val="12"/>
      <color theme="1"/>
      <name val="等线"/>
      <family val="3"/>
      <charset val="134"/>
      <scheme val="minor"/>
    </font>
    <font>
      <sz val="12"/>
      <color rgb="FF000000"/>
      <name val="等线"/>
      <family val="3"/>
      <charset val="134"/>
      <scheme val="minor"/>
    </font>
    <font>
      <sz val="12"/>
      <color rgb="FF666666"/>
      <name val="Microsoft YaHei"/>
      <charset val="134"/>
    </font>
    <font>
      <sz val="12"/>
      <color rgb="FF000000"/>
      <name val="微锟斤拷锟脚猴拷"/>
      <charset val="134"/>
    </font>
    <font>
      <sz val="12"/>
      <color rgb="FF333333"/>
      <name val="微软雅黑"/>
      <family val="2"/>
      <charset val="134"/>
    </font>
    <font>
      <sz val="12"/>
      <color theme="1"/>
      <name val="Microsoft YaHei UI"/>
      <family val="2"/>
      <charset val="134"/>
    </font>
    <font>
      <sz val="12"/>
      <color theme="1"/>
      <name val="Verdana"/>
      <family val="2"/>
    </font>
    <font>
      <sz val="12"/>
      <color theme="1"/>
      <name val="宋体"/>
      <family val="3"/>
      <charset val="134"/>
    </font>
    <font>
      <sz val="12"/>
      <color rgb="FF333333"/>
      <name val="等线"/>
      <family val="3"/>
      <charset val="134"/>
      <scheme val="minor"/>
    </font>
    <font>
      <sz val="12"/>
      <color theme="1"/>
      <name val="黑体"/>
      <family val="3"/>
      <charset val="134"/>
    </font>
    <font>
      <sz val="12"/>
      <color rgb="FF333333"/>
      <name val="宋体"/>
      <family val="3"/>
      <charset val="134"/>
    </font>
    <font>
      <sz val="12"/>
      <color rgb="FF666666"/>
      <name val="宋体"/>
      <family val="3"/>
      <charset val="134"/>
    </font>
    <font>
      <sz val="12"/>
      <color theme="1"/>
      <name val="Arial"/>
      <family val="2"/>
    </font>
    <font>
      <sz val="12"/>
      <color rgb="FF333333"/>
      <name val="等线 Light"/>
      <family val="3"/>
      <charset val="134"/>
      <scheme val="major"/>
    </font>
    <font>
      <sz val="12"/>
      <color theme="1"/>
      <name val="等线 Light"/>
      <family val="3"/>
      <charset val="134"/>
      <scheme val="major"/>
    </font>
    <font>
      <sz val="12"/>
      <color rgb="FF404040"/>
      <name val="等线"/>
      <family val="3"/>
      <charset val="134"/>
      <scheme val="minor"/>
    </font>
    <font>
      <sz val="12"/>
      <color rgb="FF444444"/>
      <name val="等线"/>
      <family val="3"/>
      <charset val="134"/>
      <scheme val="minor"/>
    </font>
    <font>
      <sz val="12"/>
      <name val="等线"/>
      <family val="3"/>
      <charset val="134"/>
      <scheme val="minor"/>
    </font>
    <font>
      <sz val="12"/>
      <color rgb="FF636B6F"/>
      <name val="Calibri"/>
      <family val="2"/>
    </font>
    <font>
      <sz val="12"/>
      <color rgb="FF636B6F"/>
      <name val="仿宋"/>
      <family val="3"/>
      <charset val="134"/>
    </font>
    <font>
      <sz val="12"/>
      <color rgb="FF34495E"/>
      <name val="微软雅黑"/>
      <family val="2"/>
      <charset val="134"/>
    </font>
    <font>
      <sz val="12"/>
      <color rgb="FF3E3E3E"/>
      <name val="Optima-Regular"/>
      <family val="1"/>
    </font>
    <font>
      <sz val="12"/>
      <color rgb="FF000000"/>
      <name val="仿宋"/>
      <family val="3"/>
      <charset val="134"/>
    </font>
    <font>
      <sz val="12"/>
      <color rgb="FF616161"/>
      <name val="宋体"/>
      <family val="3"/>
      <charset val="134"/>
    </font>
    <font>
      <sz val="12"/>
      <color rgb="FF000000"/>
      <name val="宋体"/>
      <family val="3"/>
      <charset val="134"/>
    </font>
    <font>
      <u/>
      <sz val="12"/>
      <color theme="10"/>
      <name val="等线"/>
      <family val="3"/>
      <charset val="134"/>
      <scheme val="minor"/>
    </font>
    <font>
      <sz val="28"/>
      <name val="微软雅黑"/>
      <family val="2"/>
      <charset val="134"/>
    </font>
    <font>
      <sz val="28"/>
      <name val="Microsoft YaHei UI"/>
      <family val="2"/>
      <charset val="134"/>
    </font>
    <font>
      <sz val="28"/>
      <name val="Kaiti SC Regular"/>
      <family val="1"/>
    </font>
    <font>
      <sz val="28"/>
      <color rgb="FF333333"/>
      <name val="宋体"/>
      <family val="3"/>
      <charset val="134"/>
    </font>
    <font>
      <sz val="28"/>
      <color rgb="FF000000"/>
      <name val="等线"/>
      <family val="4"/>
      <charset val="134"/>
    </font>
    <font>
      <sz val="28"/>
      <name val="Helvetica Neue"/>
      <family val="2"/>
    </font>
    <font>
      <sz val="28"/>
      <name val="宋体-简"/>
      <family val="1"/>
      <charset val="134"/>
    </font>
    <font>
      <sz val="12"/>
      <color theme="1"/>
      <name val="等线"/>
      <family val="2"/>
      <scheme val="minor"/>
    </font>
    <font>
      <b/>
      <sz val="28"/>
      <color rgb="FF3E3E3E"/>
      <name val="Helvetica Neue"/>
      <family val="2"/>
    </font>
    <font>
      <sz val="28"/>
      <color rgb="FF3E3E3E"/>
      <name val="Helvetica Neue"/>
      <family val="2"/>
    </font>
    <font>
      <sz val="28"/>
      <color rgb="FF000000"/>
      <name val="宋体"/>
      <family val="3"/>
      <charset val="134"/>
    </font>
    <font>
      <sz val="28"/>
      <color rgb="FF000000"/>
      <name val="Times New Roman"/>
      <family val="1"/>
    </font>
    <font>
      <u/>
      <sz val="28"/>
      <color rgb="FF000000"/>
      <name val="微软雅黑"/>
      <family val="2"/>
      <charset val="134"/>
    </font>
    <font>
      <b/>
      <sz val="28"/>
      <color rgb="FF000000"/>
      <name val="Times New Roman"/>
      <family val="1"/>
    </font>
    <font>
      <sz val="28"/>
      <color rgb="FF000000"/>
      <name val="Arial"/>
      <family val="2"/>
    </font>
    <font>
      <sz val="28"/>
      <color theme="1"/>
      <name val="微软雅黑"/>
      <family val="2"/>
      <charset val="134"/>
    </font>
    <font>
      <sz val="11"/>
      <color theme="1"/>
      <name val="微软雅黑"/>
      <family val="2"/>
      <charset val="134"/>
    </font>
    <font>
      <sz val="11"/>
      <color rgb="FF000000"/>
      <name val="微软雅黑"/>
      <family val="2"/>
      <charset val="134"/>
    </font>
    <font>
      <sz val="11"/>
      <color rgb="FF2D2D2D"/>
      <name val="微软雅黑"/>
      <family val="2"/>
      <charset val="134"/>
    </font>
    <font>
      <u/>
      <sz val="11"/>
      <color rgb="FF0000FF"/>
      <name val="微软雅黑"/>
      <family val="2"/>
      <charset val="134"/>
    </font>
    <font>
      <sz val="11"/>
      <color rgb="FF0C0C0C"/>
      <name val="微软雅黑"/>
      <family val="2"/>
      <charset val="134"/>
    </font>
    <font>
      <sz val="11"/>
      <color rgb="FF0D0D0D"/>
      <name val="微软雅黑"/>
      <family val="2"/>
      <charset val="134"/>
    </font>
    <font>
      <sz val="11"/>
      <color rgb="FF333333"/>
      <name val="微软雅黑"/>
      <family val="2"/>
      <charset val="134"/>
    </font>
    <font>
      <sz val="11"/>
      <name val="微软雅黑"/>
      <family val="2"/>
      <charset val="134"/>
    </font>
    <font>
      <u/>
      <sz val="11"/>
      <color rgb="FF800080"/>
      <name val="微软雅黑"/>
      <family val="2"/>
      <charset val="134"/>
    </font>
    <font>
      <b/>
      <sz val="11"/>
      <color rgb="FF555555"/>
      <name val="微软雅黑"/>
      <family val="2"/>
      <charset val="134"/>
    </font>
    <font>
      <sz val="11"/>
      <color rgb="FF444444"/>
      <name val="微软雅黑"/>
      <family val="2"/>
      <charset val="134"/>
    </font>
  </fonts>
  <fills count="10">
    <fill>
      <patternFill patternType="none"/>
    </fill>
    <fill>
      <patternFill patternType="gray125"/>
    </fill>
    <fill>
      <patternFill patternType="solid">
        <fgColor rgb="FFFFFF00"/>
        <bgColor indexed="64"/>
      </patternFill>
    </fill>
    <fill>
      <patternFill patternType="solid">
        <fgColor theme="9" tint="0.39994506668294322"/>
        <bgColor indexed="64"/>
      </patternFill>
    </fill>
    <fill>
      <patternFill patternType="solid">
        <fgColor theme="9" tint="0.39997558519241921"/>
        <bgColor indexed="64"/>
      </patternFill>
    </fill>
    <fill>
      <patternFill patternType="solid">
        <fgColor theme="9" tint="0.39991454817346722"/>
        <bgColor indexed="64"/>
      </patternFill>
    </fill>
    <fill>
      <patternFill patternType="solid">
        <fgColor theme="9" tint="-0.249977111117893"/>
        <bgColor indexed="64"/>
      </patternFill>
    </fill>
    <fill>
      <patternFill patternType="solid">
        <fgColor theme="9" tint="0.39988402966399123"/>
        <bgColor indexed="64"/>
      </patternFill>
    </fill>
    <fill>
      <patternFill patternType="solid">
        <fgColor rgb="FF70AD47"/>
        <bgColor indexed="64"/>
      </patternFill>
    </fill>
    <fill>
      <patternFill patternType="solid">
        <fgColor theme="9"/>
        <bgColor indexed="64"/>
      </patternFill>
    </fill>
  </fills>
  <borders count="10">
    <border>
      <left/>
      <right/>
      <top/>
      <bottom/>
      <diagonal/>
    </border>
    <border>
      <left style="thin">
        <color rgb="FF2B2B2B"/>
      </left>
      <right style="thin">
        <color rgb="FF2B2B2B"/>
      </right>
      <top style="thin">
        <color rgb="FF2B2B2B"/>
      </top>
      <bottom style="thin">
        <color rgb="FF2B2B2B"/>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right style="thin">
        <color auto="1"/>
      </right>
      <top/>
      <bottom/>
      <diagonal/>
    </border>
    <border>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2">
    <xf numFmtId="0" fontId="0" fillId="0" borderId="0">
      <alignment vertical="center"/>
    </xf>
    <xf numFmtId="0" fontId="37" fillId="0" borderId="0" applyNumberFormat="0" applyFill="0" applyBorder="0" applyAlignment="0" applyProtection="0">
      <alignment vertical="center"/>
    </xf>
  </cellStyleXfs>
  <cellXfs count="178">
    <xf numFmtId="0" fontId="0" fillId="0" borderId="0" xfId="0">
      <alignment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2" fillId="0" borderId="0" xfId="0" applyFont="1" applyAlignment="1">
      <alignment horizontal="center" vertical="center"/>
    </xf>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6" fillId="2" borderId="1"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7" fillId="0" borderId="1" xfId="0" applyFont="1" applyBorder="1" applyAlignment="1">
      <alignment horizontal="center" vertical="center" wrapText="1"/>
    </xf>
    <xf numFmtId="176" fontId="7" fillId="0" borderId="1" xfId="0" applyNumberFormat="1" applyFont="1" applyBorder="1" applyAlignment="1">
      <alignment horizontal="center" vertical="center" wrapText="1"/>
    </xf>
    <xf numFmtId="0" fontId="8" fillId="3" borderId="1" xfId="0" applyFont="1" applyFill="1" applyBorder="1" applyAlignment="1">
      <alignment horizontal="center" vertical="center" wrapText="1"/>
    </xf>
    <xf numFmtId="31" fontId="6" fillId="3"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10" fillId="3" borderId="0" xfId="0" applyFont="1" applyFill="1" applyAlignment="1">
      <alignment horizontal="center" vertical="center"/>
    </xf>
    <xf numFmtId="0" fontId="11" fillId="2" borderId="2" xfId="0" applyFont="1" applyFill="1" applyBorder="1" applyAlignment="1">
      <alignment horizontal="center" vertical="center" wrapText="1"/>
    </xf>
    <xf numFmtId="0" fontId="12" fillId="0" borderId="2" xfId="0" applyFont="1" applyBorder="1" applyAlignment="1">
      <alignment vertical="center" wrapText="1"/>
    </xf>
    <xf numFmtId="0" fontId="12" fillId="0" borderId="2" xfId="0" applyFont="1" applyBorder="1" applyAlignment="1">
      <alignment horizontal="left" vertical="center" wrapText="1"/>
    </xf>
    <xf numFmtId="0" fontId="12" fillId="0" borderId="2" xfId="0" applyFont="1" applyBorder="1" applyAlignment="1">
      <alignment horizontal="center" vertical="center" wrapText="1"/>
    </xf>
    <xf numFmtId="0" fontId="12" fillId="0" borderId="0" xfId="0" applyFont="1" applyAlignment="1">
      <alignment vertical="center" wrapText="1"/>
    </xf>
    <xf numFmtId="58" fontId="12" fillId="0" borderId="2" xfId="0" applyNumberFormat="1" applyFont="1" applyBorder="1" applyAlignment="1">
      <alignment horizontal="left" vertical="center" wrapText="1"/>
    </xf>
    <xf numFmtId="0" fontId="13" fillId="0" borderId="2"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center" vertical="center" wrapText="1"/>
    </xf>
    <xf numFmtId="0" fontId="14" fillId="0" borderId="0" xfId="0" applyFont="1">
      <alignment vertical="center"/>
    </xf>
    <xf numFmtId="31" fontId="12" fillId="0" borderId="2" xfId="0" applyNumberFormat="1" applyFont="1" applyBorder="1" applyAlignment="1">
      <alignment horizontal="left" vertical="center" wrapText="1"/>
    </xf>
    <xf numFmtId="0" fontId="15" fillId="0" borderId="0" xfId="0" applyFont="1">
      <alignment vertical="center"/>
    </xf>
    <xf numFmtId="0" fontId="16" fillId="0" borderId="0" xfId="0" applyFont="1">
      <alignment vertical="center"/>
    </xf>
    <xf numFmtId="0" fontId="17" fillId="0" borderId="0" xfId="0" applyFont="1">
      <alignment vertical="center"/>
    </xf>
    <xf numFmtId="0" fontId="18" fillId="0" borderId="2" xfId="0" applyFont="1" applyBorder="1" applyAlignment="1">
      <alignment horizontal="justify" vertical="center" wrapText="1"/>
    </xf>
    <xf numFmtId="0" fontId="19" fillId="0" borderId="2" xfId="0" applyFont="1" applyBorder="1" applyAlignment="1">
      <alignment horizontal="justify" vertical="center" wrapText="1"/>
    </xf>
    <xf numFmtId="0" fontId="11" fillId="0" borderId="2" xfId="0" applyFont="1" applyBorder="1" applyAlignment="1">
      <alignment horizontal="left" vertical="center" wrapText="1"/>
    </xf>
    <xf numFmtId="0" fontId="20" fillId="0" borderId="0" xfId="0" applyFont="1">
      <alignment vertical="center"/>
    </xf>
    <xf numFmtId="0" fontId="21" fillId="0" borderId="2" xfId="0" applyFont="1" applyBorder="1" applyAlignment="1">
      <alignment horizontal="left" vertical="center" wrapText="1"/>
    </xf>
    <xf numFmtId="0" fontId="22" fillId="0" borderId="0" xfId="0" applyFont="1">
      <alignment vertical="center"/>
    </xf>
    <xf numFmtId="57" fontId="16" fillId="0" borderId="0" xfId="0" applyNumberFormat="1" applyFont="1">
      <alignment vertical="center"/>
    </xf>
    <xf numFmtId="0" fontId="12" fillId="0" borderId="2" xfId="0" applyFont="1" applyBorder="1" applyAlignment="1">
      <alignment horizontal="center" vertical="center"/>
    </xf>
    <xf numFmtId="0" fontId="12" fillId="0" borderId="2" xfId="0" applyFont="1" applyBorder="1" applyAlignment="1">
      <alignment horizontal="left" vertical="center"/>
    </xf>
    <xf numFmtId="0" fontId="12" fillId="0" borderId="2" xfId="0" applyFont="1" applyBorder="1">
      <alignment vertical="center"/>
    </xf>
    <xf numFmtId="0" fontId="23" fillId="0" borderId="0" xfId="0" applyFont="1">
      <alignment vertical="center"/>
    </xf>
    <xf numFmtId="0" fontId="24" fillId="0" borderId="0" xfId="0" applyFont="1">
      <alignment vertical="center"/>
    </xf>
    <xf numFmtId="57" fontId="12" fillId="0" borderId="2" xfId="0" applyNumberFormat="1" applyFont="1" applyBorder="1" applyAlignment="1">
      <alignment horizontal="left" vertical="center" wrapText="1"/>
    </xf>
    <xf numFmtId="0" fontId="25" fillId="0" borderId="0" xfId="0" applyFont="1">
      <alignment vertical="center"/>
    </xf>
    <xf numFmtId="0" fontId="26" fillId="0" borderId="2" xfId="0" applyFont="1" applyBorder="1" applyAlignment="1">
      <alignment vertical="center" wrapText="1"/>
    </xf>
    <xf numFmtId="0" fontId="20" fillId="0" borderId="2" xfId="0" applyFont="1" applyBorder="1" applyAlignment="1">
      <alignment horizontal="left" vertical="center" wrapText="1"/>
    </xf>
    <xf numFmtId="0" fontId="20" fillId="0" borderId="2" xfId="0" applyFont="1" applyBorder="1" applyAlignment="1">
      <alignment vertical="center" wrapText="1"/>
    </xf>
    <xf numFmtId="0" fontId="27" fillId="0" borderId="2" xfId="0" applyFont="1" applyBorder="1" applyAlignment="1">
      <alignment vertical="center" wrapText="1"/>
    </xf>
    <xf numFmtId="0" fontId="13" fillId="0" borderId="2" xfId="0" applyFont="1" applyBorder="1" applyAlignment="1">
      <alignment vertical="center" wrapText="1"/>
    </xf>
    <xf numFmtId="0" fontId="28" fillId="0" borderId="0" xfId="0" applyFont="1">
      <alignment vertical="center"/>
    </xf>
    <xf numFmtId="0" fontId="29" fillId="0" borderId="0" xfId="0" applyFont="1">
      <alignment vertical="center"/>
    </xf>
    <xf numFmtId="0" fontId="13" fillId="0" borderId="0" xfId="0" applyFont="1" applyAlignment="1">
      <alignment horizontal="left" vertical="center" wrapText="1"/>
    </xf>
    <xf numFmtId="0" fontId="12" fillId="0" borderId="0" xfId="0" applyFont="1" applyAlignment="1">
      <alignment horizontal="left" vertical="center"/>
    </xf>
    <xf numFmtId="0" fontId="12" fillId="0" borderId="0" xfId="0" applyFont="1" applyAlignment="1">
      <alignment horizontal="left" vertical="center" wrapText="1"/>
    </xf>
    <xf numFmtId="0" fontId="12" fillId="0" borderId="3" xfId="0" applyFont="1" applyBorder="1" applyAlignment="1">
      <alignment vertical="center" wrapText="1"/>
    </xf>
    <xf numFmtId="0" fontId="12" fillId="0" borderId="5" xfId="0" applyFont="1" applyBorder="1" applyAlignment="1">
      <alignment vertical="center" wrapText="1"/>
    </xf>
    <xf numFmtId="0" fontId="12" fillId="0" borderId="4" xfId="0" applyFont="1" applyBorder="1" applyAlignment="1">
      <alignment vertical="center" wrapText="1"/>
    </xf>
    <xf numFmtId="0" fontId="26" fillId="0" borderId="0" xfId="0" applyFont="1" applyAlignment="1">
      <alignment horizontal="justify" vertical="center"/>
    </xf>
    <xf numFmtId="0" fontId="30" fillId="0" borderId="0" xfId="0" applyFont="1">
      <alignment vertical="center"/>
    </xf>
    <xf numFmtId="0" fontId="32" fillId="0" borderId="0" xfId="0" applyFont="1">
      <alignment vertical="center"/>
    </xf>
    <xf numFmtId="0" fontId="33" fillId="0" borderId="0" xfId="0" applyFont="1">
      <alignment vertical="center"/>
    </xf>
    <xf numFmtId="0" fontId="22" fillId="0" borderId="0" xfId="0" applyFont="1" applyAlignment="1">
      <alignment horizontal="left" vertical="center"/>
    </xf>
    <xf numFmtId="0" fontId="34" fillId="0" borderId="0" xfId="0" applyFont="1">
      <alignment vertical="center"/>
    </xf>
    <xf numFmtId="0" fontId="29" fillId="0" borderId="2" xfId="0" applyFont="1" applyBorder="1" applyAlignment="1">
      <alignment vertical="center" wrapText="1"/>
    </xf>
    <xf numFmtId="0" fontId="29" fillId="0" borderId="2" xfId="0" applyFont="1" applyBorder="1" applyAlignment="1">
      <alignment horizontal="left" vertical="center" wrapText="1"/>
    </xf>
    <xf numFmtId="57" fontId="29" fillId="0" borderId="2" xfId="0" applyNumberFormat="1" applyFont="1" applyBorder="1" applyAlignment="1">
      <alignment horizontal="left" vertical="center" wrapText="1"/>
    </xf>
    <xf numFmtId="31" fontId="29" fillId="0" borderId="2" xfId="0" applyNumberFormat="1" applyFont="1" applyBorder="1" applyAlignment="1">
      <alignment horizontal="left" vertical="center" wrapText="1"/>
    </xf>
    <xf numFmtId="0" fontId="19" fillId="0" borderId="2" xfId="0" applyFont="1" applyBorder="1" applyAlignment="1">
      <alignment horizontal="left" vertical="center" wrapText="1"/>
    </xf>
    <xf numFmtId="31" fontId="19" fillId="0" borderId="2" xfId="0" applyNumberFormat="1" applyFont="1" applyBorder="1" applyAlignment="1">
      <alignment horizontal="left" vertical="center" wrapText="1"/>
    </xf>
    <xf numFmtId="0" fontId="22" fillId="0" borderId="2" xfId="0" applyFont="1" applyBorder="1" applyAlignment="1">
      <alignment horizontal="left" vertical="center" wrapText="1"/>
    </xf>
    <xf numFmtId="58" fontId="22" fillId="0" borderId="2" xfId="0" applyNumberFormat="1" applyFont="1" applyBorder="1" applyAlignment="1">
      <alignment horizontal="left" vertical="center" wrapText="1"/>
    </xf>
    <xf numFmtId="0" fontId="35" fillId="0" borderId="2" xfId="0" applyFont="1" applyBorder="1" applyAlignment="1">
      <alignment horizontal="left" vertical="center" wrapText="1"/>
    </xf>
    <xf numFmtId="0" fontId="36" fillId="0" borderId="2" xfId="0" applyFont="1" applyBorder="1" applyAlignment="1">
      <alignment horizontal="left" vertical="center" wrapText="1"/>
    </xf>
    <xf numFmtId="0" fontId="0" fillId="0" borderId="0" xfId="0" applyAlignment="1"/>
    <xf numFmtId="0" fontId="6"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14" fontId="7" fillId="0" borderId="1" xfId="0" applyNumberFormat="1" applyFont="1" applyBorder="1" applyAlignment="1">
      <alignment horizontal="center" vertical="center" wrapText="1"/>
    </xf>
    <xf numFmtId="0" fontId="8" fillId="4" borderId="1" xfId="0" applyFont="1" applyFill="1" applyBorder="1" applyAlignment="1">
      <alignment horizontal="center" vertical="center" wrapText="1"/>
    </xf>
    <xf numFmtId="0" fontId="8" fillId="5" borderId="1" xfId="0" applyFont="1" applyFill="1" applyBorder="1" applyAlignment="1">
      <alignment horizontal="center" vertical="center" wrapText="1"/>
    </xf>
    <xf numFmtId="14" fontId="6" fillId="4" borderId="1" xfId="0" applyNumberFormat="1" applyFont="1" applyFill="1" applyBorder="1" applyAlignment="1">
      <alignment horizontal="center" vertical="center" wrapText="1"/>
    </xf>
    <xf numFmtId="0" fontId="6" fillId="6" borderId="1" xfId="0" applyFont="1" applyFill="1" applyBorder="1" applyAlignment="1">
      <alignment horizontal="center" vertical="center" wrapText="1"/>
    </xf>
    <xf numFmtId="0" fontId="38" fillId="0" borderId="0" xfId="0" applyFont="1" applyAlignment="1">
      <alignment horizontal="center" vertical="center"/>
    </xf>
    <xf numFmtId="0" fontId="6" fillId="4" borderId="0" xfId="0" applyFont="1" applyFill="1" applyAlignment="1">
      <alignment horizontal="center" vertical="center" wrapText="1"/>
    </xf>
    <xf numFmtId="0" fontId="8" fillId="4" borderId="1" xfId="0" applyFont="1" applyFill="1" applyBorder="1" applyAlignment="1">
      <alignment horizontal="center" vertical="center"/>
    </xf>
    <xf numFmtId="0" fontId="8" fillId="5" borderId="1" xfId="0" applyFont="1" applyFill="1" applyBorder="1" applyAlignment="1">
      <alignment horizontal="center" vertical="center"/>
    </xf>
    <xf numFmtId="0" fontId="38" fillId="0" borderId="1" xfId="0" applyFont="1" applyBorder="1" applyAlignment="1">
      <alignment horizontal="center" vertical="center"/>
    </xf>
    <xf numFmtId="0" fontId="38" fillId="0" borderId="1" xfId="0" applyFont="1" applyBorder="1" applyAlignment="1">
      <alignment horizontal="center" vertical="center" wrapText="1"/>
    </xf>
    <xf numFmtId="0" fontId="6" fillId="7"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8" fillId="7" borderId="1" xfId="0" applyFont="1" applyFill="1" applyBorder="1" applyAlignment="1">
      <alignment horizontal="center" vertical="center"/>
    </xf>
    <xf numFmtId="0" fontId="8" fillId="5" borderId="0" xfId="0" applyFont="1" applyFill="1" applyAlignment="1">
      <alignment horizontal="center" vertical="center"/>
    </xf>
    <xf numFmtId="0" fontId="6" fillId="2" borderId="2" xfId="0" applyFont="1" applyFill="1" applyBorder="1" applyAlignment="1">
      <alignment horizontal="justify" vertical="center" wrapText="1"/>
    </xf>
    <xf numFmtId="0" fontId="8" fillId="2" borderId="2" xfId="0" applyFont="1" applyFill="1" applyBorder="1" applyAlignment="1">
      <alignment horizontal="justify" vertical="center"/>
    </xf>
    <xf numFmtId="0" fontId="6" fillId="2" borderId="9" xfId="0" applyFont="1" applyFill="1" applyBorder="1" applyAlignment="1">
      <alignment horizontal="justify" vertical="center" wrapText="1"/>
    </xf>
    <xf numFmtId="0" fontId="3" fillId="0" borderId="0" xfId="0" applyFont="1" applyAlignment="1">
      <alignment horizontal="justify" vertical="center"/>
    </xf>
    <xf numFmtId="0" fontId="6" fillId="8" borderId="2" xfId="0" applyFont="1" applyFill="1" applyBorder="1" applyAlignment="1">
      <alignment horizontal="justify" vertical="center"/>
    </xf>
    <xf numFmtId="0" fontId="7" fillId="0" borderId="2" xfId="0" applyFont="1" applyBorder="1" applyAlignment="1">
      <alignment horizontal="justify" vertical="center"/>
    </xf>
    <xf numFmtId="0" fontId="7" fillId="0" borderId="2" xfId="0" applyFont="1" applyBorder="1" applyAlignment="1">
      <alignment horizontal="justify" vertical="center" wrapText="1"/>
    </xf>
    <xf numFmtId="57" fontId="7" fillId="0" borderId="2" xfId="0" applyNumberFormat="1" applyFont="1" applyBorder="1" applyAlignment="1">
      <alignment horizontal="justify" vertical="center"/>
    </xf>
    <xf numFmtId="0" fontId="7" fillId="0" borderId="9" xfId="0" applyFont="1" applyBorder="1" applyAlignment="1">
      <alignment horizontal="justify" vertical="center"/>
    </xf>
    <xf numFmtId="0" fontId="4" fillId="0" borderId="0" xfId="0" applyFont="1" applyAlignment="1">
      <alignment horizontal="justify" vertical="center"/>
    </xf>
    <xf numFmtId="0" fontId="7" fillId="0" borderId="9" xfId="0" applyFont="1" applyBorder="1" applyAlignment="1">
      <alignment horizontal="justify" vertical="center" wrapText="1"/>
    </xf>
    <xf numFmtId="0" fontId="48" fillId="0" borderId="2" xfId="0" applyFont="1" applyBorder="1" applyAlignment="1">
      <alignment horizontal="justify" vertical="center" wrapText="1"/>
    </xf>
    <xf numFmtId="0" fontId="6" fillId="8" borderId="2" xfId="0" applyFont="1" applyFill="1" applyBorder="1" applyAlignment="1">
      <alignment horizontal="justify" vertical="center" wrapText="1"/>
    </xf>
    <xf numFmtId="31" fontId="7" fillId="0" borderId="2" xfId="0" applyNumberFormat="1" applyFont="1" applyBorder="1" applyAlignment="1">
      <alignment horizontal="justify" vertical="center"/>
    </xf>
    <xf numFmtId="0" fontId="50" fillId="0" borderId="2" xfId="0" applyFont="1" applyBorder="1" applyAlignment="1">
      <alignment horizontal="justify" vertical="center"/>
    </xf>
    <xf numFmtId="58" fontId="7" fillId="0" borderId="2" xfId="0" applyNumberFormat="1" applyFont="1" applyBorder="1" applyAlignment="1">
      <alignment horizontal="justify" vertical="center"/>
    </xf>
    <xf numFmtId="0" fontId="6" fillId="8" borderId="2" xfId="1" applyFont="1" applyFill="1" applyBorder="1" applyAlignment="1">
      <alignment horizontal="justify" vertical="center" wrapText="1"/>
    </xf>
    <xf numFmtId="31" fontId="7" fillId="0" borderId="2" xfId="0" applyNumberFormat="1" applyFont="1" applyBorder="1" applyAlignment="1">
      <alignment horizontal="justify" vertical="center" wrapText="1"/>
    </xf>
    <xf numFmtId="14" fontId="7" fillId="0" borderId="2" xfId="0" applyNumberFormat="1" applyFont="1" applyBorder="1" applyAlignment="1">
      <alignment horizontal="justify" vertical="center"/>
    </xf>
    <xf numFmtId="0" fontId="54" fillId="2" borderId="2" xfId="0" applyFont="1" applyFill="1" applyBorder="1" applyAlignment="1">
      <alignment horizontal="left" vertical="center" wrapText="1"/>
    </xf>
    <xf numFmtId="0" fontId="54" fillId="2" borderId="2" xfId="0" applyFont="1" applyFill="1" applyBorder="1" applyAlignment="1">
      <alignment horizontal="center" vertical="center" wrapText="1"/>
    </xf>
    <xf numFmtId="0" fontId="55" fillId="0" borderId="2" xfId="0" applyFont="1" applyBorder="1" applyAlignment="1">
      <alignment horizontal="left" vertical="center" wrapText="1"/>
    </xf>
    <xf numFmtId="0" fontId="56" fillId="0" borderId="2" xfId="0" applyFont="1" applyBorder="1" applyAlignment="1">
      <alignment horizontal="left" vertical="center" wrapText="1"/>
    </xf>
    <xf numFmtId="0" fontId="2" fillId="0" borderId="2" xfId="0" applyFont="1" applyBorder="1">
      <alignment vertical="center"/>
    </xf>
    <xf numFmtId="0" fontId="58" fillId="0" borderId="2" xfId="0" applyFont="1" applyBorder="1" applyAlignment="1">
      <alignment horizontal="left" vertical="center" wrapText="1"/>
    </xf>
    <xf numFmtId="0" fontId="59" fillId="0" borderId="2" xfId="0" applyFont="1" applyBorder="1" applyAlignment="1">
      <alignment horizontal="left" vertical="center" wrapText="1"/>
    </xf>
    <xf numFmtId="0" fontId="60" fillId="0" borderId="2" xfId="0" applyFont="1" applyBorder="1" applyAlignment="1">
      <alignment horizontal="left" vertical="center" wrapText="1"/>
    </xf>
    <xf numFmtId="0" fontId="2" fillId="0" borderId="2" xfId="0" applyFont="1" applyBorder="1" applyAlignment="1">
      <alignment horizontal="left" vertical="center"/>
    </xf>
    <xf numFmtId="57" fontId="2" fillId="0" borderId="2" xfId="0" applyNumberFormat="1" applyFont="1" applyBorder="1" applyAlignment="1">
      <alignment horizontal="left" vertical="center"/>
    </xf>
    <xf numFmtId="0" fontId="2" fillId="0" borderId="2" xfId="0" applyFont="1" applyBorder="1" applyAlignment="1">
      <alignment horizontal="left" vertical="center" wrapText="1"/>
    </xf>
    <xf numFmtId="31" fontId="2" fillId="0" borderId="2" xfId="0" applyNumberFormat="1" applyFont="1" applyBorder="1" applyAlignment="1">
      <alignment horizontal="left" vertical="center"/>
    </xf>
    <xf numFmtId="0" fontId="54" fillId="0" borderId="2" xfId="0" applyFont="1" applyBorder="1">
      <alignment vertical="center"/>
    </xf>
    <xf numFmtId="0" fontId="54" fillId="0" borderId="2" xfId="0" applyFont="1" applyBorder="1" applyAlignment="1">
      <alignment horizontal="left" vertical="center"/>
    </xf>
    <xf numFmtId="0" fontId="55" fillId="0" borderId="2" xfId="0" applyFont="1" applyBorder="1" applyAlignment="1">
      <alignment horizontal="left" vertical="center"/>
    </xf>
    <xf numFmtId="57" fontId="54" fillId="0" borderId="2" xfId="0" applyNumberFormat="1" applyFont="1" applyBorder="1" applyAlignment="1">
      <alignment horizontal="left" vertical="center"/>
    </xf>
    <xf numFmtId="31" fontId="54" fillId="0" borderId="2" xfId="0" applyNumberFormat="1" applyFont="1" applyBorder="1" applyAlignment="1">
      <alignment horizontal="left" vertical="center"/>
    </xf>
    <xf numFmtId="0" fontId="61" fillId="0" borderId="2" xfId="0" applyFont="1" applyBorder="1" applyAlignment="1">
      <alignment horizontal="left" vertical="center"/>
    </xf>
    <xf numFmtId="0" fontId="54" fillId="0" borderId="2" xfId="0" applyFont="1" applyBorder="1" applyAlignment="1">
      <alignment horizontal="left" vertical="center" wrapText="1"/>
    </xf>
    <xf numFmtId="0" fontId="62" fillId="0" borderId="2" xfId="1" applyFont="1" applyBorder="1" applyAlignment="1">
      <alignment horizontal="left" vertical="center"/>
    </xf>
    <xf numFmtId="0" fontId="2" fillId="0" borderId="2" xfId="0" applyFont="1" applyBorder="1" applyAlignment="1">
      <alignment vertical="center" wrapText="1"/>
    </xf>
    <xf numFmtId="0" fontId="63" fillId="0" borderId="2" xfId="0" applyFont="1" applyBorder="1" applyAlignment="1">
      <alignment horizontal="left" vertical="center" wrapText="1"/>
    </xf>
    <xf numFmtId="0" fontId="61" fillId="0" borderId="2" xfId="0" applyFont="1" applyBorder="1" applyAlignment="1">
      <alignment horizontal="left" vertical="center" wrapText="1"/>
    </xf>
    <xf numFmtId="0" fontId="60" fillId="0" borderId="2" xfId="0" applyFont="1" applyBorder="1" applyAlignment="1">
      <alignment vertical="center" wrapText="1"/>
    </xf>
    <xf numFmtId="0" fontId="64" fillId="0" borderId="2" xfId="0" applyFont="1" applyBorder="1" applyAlignment="1">
      <alignment horizontal="left" vertical="center" wrapText="1"/>
    </xf>
    <xf numFmtId="31" fontId="2" fillId="0" borderId="2" xfId="0" applyNumberFormat="1" applyFont="1" applyBorder="1" applyAlignment="1">
      <alignment horizontal="left" vertical="center" wrapText="1"/>
    </xf>
    <xf numFmtId="58" fontId="2" fillId="0" borderId="2" xfId="0" applyNumberFormat="1" applyFont="1" applyBorder="1" applyAlignment="1">
      <alignment horizontal="left" vertical="center" wrapText="1"/>
    </xf>
    <xf numFmtId="57" fontId="2" fillId="0" borderId="2" xfId="0" applyNumberFormat="1" applyFont="1" applyBorder="1" applyAlignment="1">
      <alignment horizontal="left" vertical="center" wrapText="1"/>
    </xf>
    <xf numFmtId="0" fontId="0" fillId="0" borderId="0" xfId="0" applyAlignment="1">
      <alignment horizontal="center" vertical="center"/>
    </xf>
    <xf numFmtId="0" fontId="55" fillId="9" borderId="2" xfId="0" quotePrefix="1" applyFont="1" applyFill="1" applyBorder="1" applyAlignment="1">
      <alignment horizontal="center" vertical="center" wrapText="1"/>
    </xf>
    <xf numFmtId="0" fontId="55" fillId="9" borderId="2" xfId="0" applyFont="1" applyFill="1" applyBorder="1" applyAlignment="1">
      <alignment horizontal="left" vertical="center" wrapText="1"/>
    </xf>
    <xf numFmtId="0" fontId="59" fillId="9" borderId="2" xfId="0" applyFont="1" applyFill="1" applyBorder="1" applyAlignment="1">
      <alignment horizontal="left" vertical="center" wrapText="1"/>
    </xf>
    <xf numFmtId="0" fontId="60" fillId="9" borderId="2" xfId="0" applyFont="1" applyFill="1" applyBorder="1" applyAlignment="1">
      <alignment horizontal="left" vertical="center" wrapText="1"/>
    </xf>
    <xf numFmtId="0" fontId="55" fillId="9" borderId="2" xfId="0" applyFont="1" applyFill="1" applyBorder="1" applyAlignment="1">
      <alignment horizontal="center" vertical="center" wrapText="1"/>
    </xf>
    <xf numFmtId="0" fontId="2" fillId="9" borderId="2" xfId="0" applyFont="1" applyFill="1" applyBorder="1" applyAlignment="1">
      <alignment horizontal="center" vertical="center"/>
    </xf>
    <xf numFmtId="0" fontId="2" fillId="9" borderId="2" xfId="0" applyFont="1" applyFill="1" applyBorder="1" applyAlignment="1">
      <alignment horizontal="left" vertical="center"/>
    </xf>
    <xf numFmtId="0" fontId="54" fillId="9" borderId="2" xfId="0" applyFont="1" applyFill="1" applyBorder="1" applyAlignment="1">
      <alignment horizontal="center" vertical="center"/>
    </xf>
    <xf numFmtId="0" fontId="54" fillId="9" borderId="2" xfId="0" applyFont="1" applyFill="1" applyBorder="1" applyAlignment="1">
      <alignment horizontal="left" vertical="center"/>
    </xf>
    <xf numFmtId="0" fontId="55" fillId="9" borderId="2" xfId="0" applyFont="1" applyFill="1" applyBorder="1" applyAlignment="1">
      <alignment horizontal="center" vertical="center"/>
    </xf>
    <xf numFmtId="0" fontId="55" fillId="9" borderId="2" xfId="0" applyFont="1" applyFill="1" applyBorder="1" applyAlignment="1">
      <alignment horizontal="left" vertical="center"/>
    </xf>
    <xf numFmtId="0" fontId="2" fillId="9" borderId="2" xfId="0" applyFont="1" applyFill="1" applyBorder="1" applyAlignment="1">
      <alignment horizontal="center" vertical="center" wrapText="1"/>
    </xf>
    <xf numFmtId="0" fontId="2" fillId="9" borderId="2" xfId="0" applyFont="1" applyFill="1" applyBorder="1" applyAlignment="1">
      <alignment horizontal="left" vertical="center" wrapText="1"/>
    </xf>
    <xf numFmtId="0" fontId="7" fillId="0" borderId="2" xfId="0" applyFont="1" applyBorder="1" applyAlignment="1">
      <alignment horizontal="justify" vertical="center"/>
    </xf>
    <xf numFmtId="0" fontId="12" fillId="4" borderId="4" xfId="0" applyFont="1" applyFill="1" applyBorder="1" applyAlignment="1">
      <alignment horizontal="center" vertical="center" wrapText="1"/>
    </xf>
    <xf numFmtId="0" fontId="12" fillId="4" borderId="5" xfId="0" applyFont="1" applyFill="1" applyBorder="1" applyAlignment="1">
      <alignment horizontal="center" vertical="center" wrapText="1"/>
    </xf>
    <xf numFmtId="0" fontId="19" fillId="4" borderId="2" xfId="0" applyFont="1" applyFill="1" applyBorder="1" applyAlignment="1">
      <alignment horizontal="left" vertical="center" wrapText="1"/>
    </xf>
    <xf numFmtId="0" fontId="12" fillId="4" borderId="2" xfId="0" applyFont="1" applyFill="1" applyBorder="1" applyAlignment="1">
      <alignment horizontal="center" vertical="center" wrapText="1"/>
    </xf>
    <xf numFmtId="0" fontId="12" fillId="4" borderId="6" xfId="0" applyFont="1" applyFill="1" applyBorder="1" applyAlignment="1">
      <alignment horizontal="center" vertical="center" wrapText="1"/>
    </xf>
    <xf numFmtId="0" fontId="12" fillId="4" borderId="7" xfId="0" applyFont="1" applyFill="1" applyBorder="1" applyAlignment="1">
      <alignment horizontal="center" vertical="center" wrapText="1"/>
    </xf>
    <xf numFmtId="0" fontId="12" fillId="4" borderId="8" xfId="0" applyFont="1" applyFill="1" applyBorder="1" applyAlignment="1">
      <alignment horizontal="center" vertical="center" wrapText="1"/>
    </xf>
    <xf numFmtId="0" fontId="29" fillId="4" borderId="2" xfId="0" applyFont="1" applyFill="1" applyBorder="1" applyAlignment="1">
      <alignment horizontal="center" vertical="center" wrapText="1"/>
    </xf>
    <xf numFmtId="0" fontId="29" fillId="4" borderId="3" xfId="0" applyFont="1" applyFill="1" applyBorder="1" applyAlignment="1">
      <alignment horizontal="center" vertical="center" wrapText="1"/>
    </xf>
    <xf numFmtId="0" fontId="29" fillId="4" borderId="4" xfId="0" applyFont="1" applyFill="1" applyBorder="1" applyAlignment="1">
      <alignment horizontal="center" vertical="center" wrapText="1"/>
    </xf>
    <xf numFmtId="0" fontId="29" fillId="4" borderId="5" xfId="0" applyFont="1" applyFill="1" applyBorder="1" applyAlignment="1">
      <alignment horizontal="center" vertical="center" wrapText="1"/>
    </xf>
    <xf numFmtId="0" fontId="12" fillId="4" borderId="2" xfId="0" applyFont="1" applyFill="1" applyBorder="1" applyAlignment="1">
      <alignment vertical="center" wrapText="1"/>
    </xf>
    <xf numFmtId="0" fontId="12" fillId="4" borderId="3" xfId="0" applyFont="1" applyFill="1" applyBorder="1" applyAlignment="1">
      <alignment horizontal="center" vertical="center" wrapText="1"/>
    </xf>
    <xf numFmtId="0" fontId="12" fillId="4" borderId="2" xfId="0" applyFont="1" applyFill="1" applyBorder="1" applyAlignment="1">
      <alignment horizontal="center" vertical="center"/>
    </xf>
    <xf numFmtId="0" fontId="12" fillId="0" borderId="2" xfId="0" applyFont="1" applyBorder="1" applyAlignment="1">
      <alignment horizontal="center" vertical="center" wrapText="1"/>
    </xf>
    <xf numFmtId="0" fontId="12" fillId="0" borderId="2" xfId="0" applyFont="1"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2" fillId="0" borderId="5" xfId="0" applyFont="1" applyBorder="1" applyAlignment="1">
      <alignment horizontal="left" vertical="center" wrapText="1"/>
    </xf>
    <xf numFmtId="0" fontId="13" fillId="0" borderId="2" xfId="0" applyFont="1" applyBorder="1" applyAlignment="1">
      <alignment horizontal="left" vertical="center" wrapText="1"/>
    </xf>
    <xf numFmtId="0" fontId="12" fillId="0" borderId="3" xfId="0" applyFont="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1" fillId="2" borderId="2" xfId="0" applyFont="1" applyFill="1" applyBorder="1" applyAlignment="1">
      <alignment horizontal="center" vertical="center" wrapText="1"/>
    </xf>
    <xf numFmtId="0" fontId="11" fillId="2" borderId="2" xfId="0" applyFont="1" applyFill="1" applyBorder="1" applyAlignment="1">
      <alignment horizontal="left" vertical="center" wrapText="1"/>
    </xf>
  </cellXfs>
  <cellStyles count="2">
    <cellStyle name="常规" xfId="0" builtinId="0"/>
    <cellStyle name="超链接"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06/relationships/rdRichValue" Target="richData/rdrichvalue.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7</xdr:col>
      <xdr:colOff>5118613</xdr:colOff>
      <xdr:row>68</xdr:row>
      <xdr:rowOff>2336094</xdr:rowOff>
    </xdr:from>
    <xdr:ext cx="1742786" cy="787075"/>
    <xdr:sp macro="" textlink="">
      <xdr:nvSpPr>
        <xdr:cNvPr id="2" name="矩形 1">
          <a:extLst>
            <a:ext uri="{FF2B5EF4-FFF2-40B4-BE49-F238E27FC236}">
              <a16:creationId xmlns:a16="http://schemas.microsoft.com/office/drawing/2014/main" id="{11303C3D-205E-47BC-87FF-0E9D200C8752}"/>
            </a:ext>
          </a:extLst>
        </xdr:cNvPr>
        <xdr:cNvSpPr/>
      </xdr:nvSpPr>
      <xdr:spPr>
        <a:xfrm rot="19002817">
          <a:off x="48147423" y="186314745"/>
          <a:ext cx="1742786" cy="787075"/>
        </a:xfrm>
        <a:prstGeom prst="rect">
          <a:avLst/>
        </a:prstGeom>
        <a:noFill/>
      </xdr:spPr>
      <xdr:txBody>
        <a:bodyPr wrap="none" lIns="91440" tIns="45720" rIns="91440" bIns="45720">
          <a:spAutoFit/>
        </a:bodyPr>
        <a:lstStyle/>
        <a:p>
          <a:pPr algn="ctr"/>
          <a:r>
            <a:rPr lang="zh-CN" altLang="en-US" sz="4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8</xdr:col>
      <xdr:colOff>0</xdr:colOff>
      <xdr:row>87</xdr:row>
      <xdr:rowOff>0</xdr:rowOff>
    </xdr:from>
    <xdr:ext cx="973343" cy="439736"/>
    <xdr:sp macro="" textlink="">
      <xdr:nvSpPr>
        <xdr:cNvPr id="3" name="矩形 2">
          <a:extLst>
            <a:ext uri="{FF2B5EF4-FFF2-40B4-BE49-F238E27FC236}">
              <a16:creationId xmlns:a16="http://schemas.microsoft.com/office/drawing/2014/main" id="{94BEE26B-FC0A-47EB-A306-A31E016C80EC}"/>
            </a:ext>
          </a:extLst>
        </xdr:cNvPr>
        <xdr:cNvSpPr/>
      </xdr:nvSpPr>
      <xdr:spPr>
        <a:xfrm rot="19002817">
          <a:off x="48532143" y="222108889"/>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8</xdr:col>
      <xdr:colOff>0</xdr:colOff>
      <xdr:row>17</xdr:row>
      <xdr:rowOff>0</xdr:rowOff>
    </xdr:from>
    <xdr:ext cx="973343" cy="439736"/>
    <xdr:sp macro="" textlink="">
      <xdr:nvSpPr>
        <xdr:cNvPr id="4" name="矩形 3">
          <a:extLst>
            <a:ext uri="{FF2B5EF4-FFF2-40B4-BE49-F238E27FC236}">
              <a16:creationId xmlns:a16="http://schemas.microsoft.com/office/drawing/2014/main" id="{4547E485-33C0-404B-B3C6-568F1D619901}"/>
            </a:ext>
          </a:extLst>
        </xdr:cNvPr>
        <xdr:cNvSpPr/>
      </xdr:nvSpPr>
      <xdr:spPr>
        <a:xfrm rot="19002817">
          <a:off x="48532143" y="48884921"/>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8</xdr:col>
      <xdr:colOff>0</xdr:colOff>
      <xdr:row>119</xdr:row>
      <xdr:rowOff>0</xdr:rowOff>
    </xdr:from>
    <xdr:ext cx="973343" cy="439736"/>
    <xdr:sp macro="" textlink="">
      <xdr:nvSpPr>
        <xdr:cNvPr id="5" name="矩形 4">
          <a:extLst>
            <a:ext uri="{FF2B5EF4-FFF2-40B4-BE49-F238E27FC236}">
              <a16:creationId xmlns:a16="http://schemas.microsoft.com/office/drawing/2014/main" id="{953E56B8-74DE-4632-BD9C-31A12BFC6E94}"/>
            </a:ext>
          </a:extLst>
        </xdr:cNvPr>
        <xdr:cNvSpPr/>
      </xdr:nvSpPr>
      <xdr:spPr>
        <a:xfrm rot="19002817">
          <a:off x="48532143" y="297119524"/>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6</xdr:col>
      <xdr:colOff>0</xdr:colOff>
      <xdr:row>143</xdr:row>
      <xdr:rowOff>0</xdr:rowOff>
    </xdr:from>
    <xdr:ext cx="973343" cy="439736"/>
    <xdr:sp macro="" textlink="">
      <xdr:nvSpPr>
        <xdr:cNvPr id="6" name="矩形 5">
          <a:extLst>
            <a:ext uri="{FF2B5EF4-FFF2-40B4-BE49-F238E27FC236}">
              <a16:creationId xmlns:a16="http://schemas.microsoft.com/office/drawing/2014/main" id="{709D313E-F346-4E2D-A216-57D83E8F9F49}"/>
            </a:ext>
          </a:extLst>
        </xdr:cNvPr>
        <xdr:cNvSpPr/>
      </xdr:nvSpPr>
      <xdr:spPr>
        <a:xfrm rot="19002817">
          <a:off x="34925000" y="355463929"/>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6</xdr:col>
      <xdr:colOff>0</xdr:colOff>
      <xdr:row>161</xdr:row>
      <xdr:rowOff>0</xdr:rowOff>
    </xdr:from>
    <xdr:ext cx="973343" cy="439736"/>
    <xdr:sp macro="" textlink="">
      <xdr:nvSpPr>
        <xdr:cNvPr id="7" name="矩形 6">
          <a:extLst>
            <a:ext uri="{FF2B5EF4-FFF2-40B4-BE49-F238E27FC236}">
              <a16:creationId xmlns:a16="http://schemas.microsoft.com/office/drawing/2014/main" id="{82EF99A3-7709-4B7A-89E6-2592EB65B7C9}"/>
            </a:ext>
          </a:extLst>
        </xdr:cNvPr>
        <xdr:cNvSpPr/>
      </xdr:nvSpPr>
      <xdr:spPr>
        <a:xfrm rot="19002817">
          <a:off x="34925000" y="400276786"/>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168</xdr:row>
      <xdr:rowOff>0</xdr:rowOff>
    </xdr:from>
    <xdr:ext cx="973343" cy="439736"/>
    <xdr:sp macro="" textlink="">
      <xdr:nvSpPr>
        <xdr:cNvPr id="8" name="矩形 7">
          <a:extLst>
            <a:ext uri="{FF2B5EF4-FFF2-40B4-BE49-F238E27FC236}">
              <a16:creationId xmlns:a16="http://schemas.microsoft.com/office/drawing/2014/main" id="{324A7AA7-AF38-4F99-BA96-95ED53112C62}"/>
            </a:ext>
          </a:extLst>
        </xdr:cNvPr>
        <xdr:cNvSpPr/>
      </xdr:nvSpPr>
      <xdr:spPr>
        <a:xfrm rot="19002817">
          <a:off x="18324286" y="413271607"/>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8</xdr:col>
      <xdr:colOff>0</xdr:colOff>
      <xdr:row>180</xdr:row>
      <xdr:rowOff>0</xdr:rowOff>
    </xdr:from>
    <xdr:ext cx="973343" cy="439736"/>
    <xdr:sp macro="" textlink="">
      <xdr:nvSpPr>
        <xdr:cNvPr id="9" name="矩形 8">
          <a:extLst>
            <a:ext uri="{FF2B5EF4-FFF2-40B4-BE49-F238E27FC236}">
              <a16:creationId xmlns:a16="http://schemas.microsoft.com/office/drawing/2014/main" id="{9FA0769D-DCBE-47FC-B5DE-1B705A9B8527}"/>
            </a:ext>
          </a:extLst>
        </xdr:cNvPr>
        <xdr:cNvSpPr/>
      </xdr:nvSpPr>
      <xdr:spPr>
        <a:xfrm rot="19002817">
          <a:off x="48554821" y="429146607"/>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191</xdr:row>
      <xdr:rowOff>0</xdr:rowOff>
    </xdr:from>
    <xdr:ext cx="973343" cy="439736"/>
    <xdr:sp macro="" textlink="">
      <xdr:nvSpPr>
        <xdr:cNvPr id="10" name="矩形 9">
          <a:extLst>
            <a:ext uri="{FF2B5EF4-FFF2-40B4-BE49-F238E27FC236}">
              <a16:creationId xmlns:a16="http://schemas.microsoft.com/office/drawing/2014/main" id="{0F59F9F9-06B3-4AFF-9D88-53080FB311E1}"/>
            </a:ext>
          </a:extLst>
        </xdr:cNvPr>
        <xdr:cNvSpPr/>
      </xdr:nvSpPr>
      <xdr:spPr>
        <a:xfrm rot="19002817">
          <a:off x="18324286" y="445066964"/>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6</xdr:col>
      <xdr:colOff>0</xdr:colOff>
      <xdr:row>210</xdr:row>
      <xdr:rowOff>0</xdr:rowOff>
    </xdr:from>
    <xdr:ext cx="973343" cy="439736"/>
    <xdr:sp macro="" textlink="">
      <xdr:nvSpPr>
        <xdr:cNvPr id="11" name="矩形 10">
          <a:extLst>
            <a:ext uri="{FF2B5EF4-FFF2-40B4-BE49-F238E27FC236}">
              <a16:creationId xmlns:a16="http://schemas.microsoft.com/office/drawing/2014/main" id="{7DACADE6-977F-43CC-9BFF-D8C1A6DEB9C9}"/>
            </a:ext>
          </a:extLst>
        </xdr:cNvPr>
        <xdr:cNvSpPr/>
      </xdr:nvSpPr>
      <xdr:spPr>
        <a:xfrm rot="19002817">
          <a:off x="34925000" y="476227321"/>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219</xdr:row>
      <xdr:rowOff>0</xdr:rowOff>
    </xdr:from>
    <xdr:ext cx="973343" cy="439736"/>
    <xdr:sp macro="" textlink="">
      <xdr:nvSpPr>
        <xdr:cNvPr id="12" name="矩形 11">
          <a:extLst>
            <a:ext uri="{FF2B5EF4-FFF2-40B4-BE49-F238E27FC236}">
              <a16:creationId xmlns:a16="http://schemas.microsoft.com/office/drawing/2014/main" id="{C51B4BDA-80A0-4978-9B73-689D3BCE07B0}"/>
            </a:ext>
          </a:extLst>
        </xdr:cNvPr>
        <xdr:cNvSpPr/>
      </xdr:nvSpPr>
      <xdr:spPr>
        <a:xfrm rot="19002817">
          <a:off x="18324286" y="48879125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6</xdr:col>
      <xdr:colOff>0</xdr:colOff>
      <xdr:row>228</xdr:row>
      <xdr:rowOff>0</xdr:rowOff>
    </xdr:from>
    <xdr:ext cx="973343" cy="439736"/>
    <xdr:sp macro="" textlink="">
      <xdr:nvSpPr>
        <xdr:cNvPr id="13" name="矩形 12">
          <a:extLst>
            <a:ext uri="{FF2B5EF4-FFF2-40B4-BE49-F238E27FC236}">
              <a16:creationId xmlns:a16="http://schemas.microsoft.com/office/drawing/2014/main" id="{42000020-1800-4B31-8919-06F445925E3C}"/>
            </a:ext>
          </a:extLst>
        </xdr:cNvPr>
        <xdr:cNvSpPr/>
      </xdr:nvSpPr>
      <xdr:spPr>
        <a:xfrm rot="19002817">
          <a:off x="34925000" y="502375714"/>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241</xdr:row>
      <xdr:rowOff>0</xdr:rowOff>
    </xdr:from>
    <xdr:ext cx="973343" cy="439736"/>
    <xdr:sp macro="" textlink="">
      <xdr:nvSpPr>
        <xdr:cNvPr id="14" name="矩形 13">
          <a:extLst>
            <a:ext uri="{FF2B5EF4-FFF2-40B4-BE49-F238E27FC236}">
              <a16:creationId xmlns:a16="http://schemas.microsoft.com/office/drawing/2014/main" id="{01740261-5709-43BB-BA3F-2E5728461143}"/>
            </a:ext>
          </a:extLst>
        </xdr:cNvPr>
        <xdr:cNvSpPr/>
      </xdr:nvSpPr>
      <xdr:spPr>
        <a:xfrm rot="19002817">
          <a:off x="18324286" y="521811250"/>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7</xdr:col>
      <xdr:colOff>0</xdr:colOff>
      <xdr:row>247</xdr:row>
      <xdr:rowOff>0</xdr:rowOff>
    </xdr:from>
    <xdr:ext cx="973343" cy="439736"/>
    <xdr:sp macro="" textlink="">
      <xdr:nvSpPr>
        <xdr:cNvPr id="15" name="矩形 14">
          <a:extLst>
            <a:ext uri="{FF2B5EF4-FFF2-40B4-BE49-F238E27FC236}">
              <a16:creationId xmlns:a16="http://schemas.microsoft.com/office/drawing/2014/main" id="{7277BE6A-DCF3-42CF-B475-C25BA5353CA5}"/>
            </a:ext>
          </a:extLst>
        </xdr:cNvPr>
        <xdr:cNvSpPr/>
      </xdr:nvSpPr>
      <xdr:spPr>
        <a:xfrm rot="19002817">
          <a:off x="43043929" y="532719643"/>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4</xdr:col>
      <xdr:colOff>0</xdr:colOff>
      <xdr:row>258</xdr:row>
      <xdr:rowOff>0</xdr:rowOff>
    </xdr:from>
    <xdr:ext cx="973343" cy="439736"/>
    <xdr:sp macro="" textlink="">
      <xdr:nvSpPr>
        <xdr:cNvPr id="16" name="矩形 15">
          <a:extLst>
            <a:ext uri="{FF2B5EF4-FFF2-40B4-BE49-F238E27FC236}">
              <a16:creationId xmlns:a16="http://schemas.microsoft.com/office/drawing/2014/main" id="{C5642259-EA62-4F82-B8DE-4B5773B9BDFA}"/>
            </a:ext>
          </a:extLst>
        </xdr:cNvPr>
        <xdr:cNvSpPr/>
      </xdr:nvSpPr>
      <xdr:spPr>
        <a:xfrm rot="19002817">
          <a:off x="18324286" y="556645536"/>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7</xdr:col>
      <xdr:colOff>0</xdr:colOff>
      <xdr:row>262</xdr:row>
      <xdr:rowOff>0</xdr:rowOff>
    </xdr:from>
    <xdr:ext cx="973343" cy="439736"/>
    <xdr:sp macro="" textlink="">
      <xdr:nvSpPr>
        <xdr:cNvPr id="17" name="矩形 16">
          <a:extLst>
            <a:ext uri="{FF2B5EF4-FFF2-40B4-BE49-F238E27FC236}">
              <a16:creationId xmlns:a16="http://schemas.microsoft.com/office/drawing/2014/main" id="{13012881-F048-4447-8EB2-C80DBD31AFFC}"/>
            </a:ext>
          </a:extLst>
        </xdr:cNvPr>
        <xdr:cNvSpPr/>
      </xdr:nvSpPr>
      <xdr:spPr>
        <a:xfrm rot="19002817">
          <a:off x="43043929" y="565013929"/>
          <a:ext cx="973343" cy="439736"/>
        </a:xfrm>
        <a:prstGeom prst="rect">
          <a:avLst/>
        </a:prstGeom>
        <a:noFill/>
      </xdr:spPr>
      <xdr:txBody>
        <a:bodyPr wrap="none" lIns="91440" tIns="45720" rIns="91440" bIns="45720">
          <a:spAutoFit/>
        </a:bodyPr>
        <a:lstStyle/>
        <a:p>
          <a:pPr algn="ctr"/>
          <a:r>
            <a:rPr lang="zh-CN" altLang="en-US" sz="2000" b="1" cap="none" spc="50">
              <a:ln w="0"/>
              <a:solidFill>
                <a:schemeClr val="bg2"/>
              </a:solidFill>
              <a:effectLst>
                <a:innerShdw blurRad="63500" dist="50800" dir="13500000">
                  <a:srgbClr val="000000">
                    <a:alpha val="50000"/>
                  </a:srgbClr>
                </a:innerShdw>
              </a:effectLst>
            </a:rPr>
            <a:t>从医行</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9</xdr:col>
      <xdr:colOff>13335</xdr:colOff>
      <xdr:row>311</xdr:row>
      <xdr:rowOff>91440</xdr:rowOff>
    </xdr:from>
    <xdr:to>
      <xdr:col>14</xdr:col>
      <xdr:colOff>741045</xdr:colOff>
      <xdr:row>323</xdr:row>
      <xdr:rowOff>107950</xdr:rowOff>
    </xdr:to>
    <xdr:pic>
      <xdr:nvPicPr>
        <xdr:cNvPr id="2" name="Picture 4">
          <a:extLst>
            <a:ext uri="{FF2B5EF4-FFF2-40B4-BE49-F238E27FC236}">
              <a16:creationId xmlns:a16="http://schemas.microsoft.com/office/drawing/2014/main" id="{A9252793-4527-4389-B60A-1F6E5EC832B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185785" y="739263190"/>
          <a:ext cx="4537710" cy="2378710"/>
        </a:xfrm>
        <a:prstGeom prst="rect">
          <a:avLst/>
        </a:prstGeom>
      </xdr:spPr>
    </xdr:pic>
    <xdr:clientData/>
  </xdr:twoCellAnchor>
  <xdr:twoCellAnchor editAs="oneCell">
    <xdr:from>
      <xdr:col>9</xdr:col>
      <xdr:colOff>27305</xdr:colOff>
      <xdr:row>312</xdr:row>
      <xdr:rowOff>144145</xdr:rowOff>
    </xdr:from>
    <xdr:to>
      <xdr:col>15</xdr:col>
      <xdr:colOff>2540</xdr:colOff>
      <xdr:row>324</xdr:row>
      <xdr:rowOff>111125</xdr:rowOff>
    </xdr:to>
    <xdr:pic>
      <xdr:nvPicPr>
        <xdr:cNvPr id="3" name="Picture 6">
          <a:extLst>
            <a:ext uri="{FF2B5EF4-FFF2-40B4-BE49-F238E27FC236}">
              <a16:creationId xmlns:a16="http://schemas.microsoft.com/office/drawing/2014/main" id="{ED4DE067-5857-49C8-9C8D-BA3DE3DE3CF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199755" y="741932095"/>
          <a:ext cx="4547235" cy="2329180"/>
        </a:xfrm>
        <a:prstGeom prst="rect">
          <a:avLst/>
        </a:prstGeom>
      </xdr:spPr>
    </xdr:pic>
    <xdr:clientData/>
  </xdr:twoCellAnchor>
  <xdr:oneCellAnchor>
    <xdr:from>
      <xdr:col>15</xdr:col>
      <xdr:colOff>354853</xdr:colOff>
      <xdr:row>1</xdr:row>
      <xdr:rowOff>933824</xdr:rowOff>
    </xdr:from>
    <xdr:ext cx="2281394" cy="1030410"/>
    <xdr:sp macro="" textlink="">
      <xdr:nvSpPr>
        <xdr:cNvPr id="10" name="矩形 9">
          <a:extLst>
            <a:ext uri="{FF2B5EF4-FFF2-40B4-BE49-F238E27FC236}">
              <a16:creationId xmlns:a16="http://schemas.microsoft.com/office/drawing/2014/main" id="{68F39285-6147-4D0E-AA63-F9F04AB82ED7}"/>
            </a:ext>
          </a:extLst>
        </xdr:cNvPr>
        <xdr:cNvSpPr/>
      </xdr:nvSpPr>
      <xdr:spPr>
        <a:xfrm rot="19002817">
          <a:off x="20643103" y="1625974"/>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9</xdr:row>
      <xdr:rowOff>0</xdr:rowOff>
    </xdr:from>
    <xdr:ext cx="2281394" cy="1030410"/>
    <xdr:sp macro="" textlink="">
      <xdr:nvSpPr>
        <xdr:cNvPr id="11" name="矩形 10">
          <a:extLst>
            <a:ext uri="{FF2B5EF4-FFF2-40B4-BE49-F238E27FC236}">
              <a16:creationId xmlns:a16="http://schemas.microsoft.com/office/drawing/2014/main" id="{449A6E03-1F27-4044-8C08-8D4B7FAA2C67}"/>
            </a:ext>
          </a:extLst>
        </xdr:cNvPr>
        <xdr:cNvSpPr/>
      </xdr:nvSpPr>
      <xdr:spPr>
        <a:xfrm rot="19002817">
          <a:off x="13950950" y="252793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15</xdr:col>
      <xdr:colOff>0</xdr:colOff>
      <xdr:row>21</xdr:row>
      <xdr:rowOff>0</xdr:rowOff>
    </xdr:from>
    <xdr:ext cx="2281394" cy="1030410"/>
    <xdr:sp macro="" textlink="">
      <xdr:nvSpPr>
        <xdr:cNvPr id="12" name="矩形 11">
          <a:extLst>
            <a:ext uri="{FF2B5EF4-FFF2-40B4-BE49-F238E27FC236}">
              <a16:creationId xmlns:a16="http://schemas.microsoft.com/office/drawing/2014/main" id="{B7B18B03-FAD7-4BCF-998D-5F681EA6CB5D}"/>
            </a:ext>
          </a:extLst>
        </xdr:cNvPr>
        <xdr:cNvSpPr/>
      </xdr:nvSpPr>
      <xdr:spPr>
        <a:xfrm rot="19002817">
          <a:off x="20288250" y="746569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15</xdr:col>
      <xdr:colOff>0</xdr:colOff>
      <xdr:row>64</xdr:row>
      <xdr:rowOff>0</xdr:rowOff>
    </xdr:from>
    <xdr:ext cx="2281394" cy="1030410"/>
    <xdr:sp macro="" textlink="">
      <xdr:nvSpPr>
        <xdr:cNvPr id="13" name="矩形 12">
          <a:extLst>
            <a:ext uri="{FF2B5EF4-FFF2-40B4-BE49-F238E27FC236}">
              <a16:creationId xmlns:a16="http://schemas.microsoft.com/office/drawing/2014/main" id="{BBCF275C-C903-44C4-BBFF-74824CC93679}"/>
            </a:ext>
          </a:extLst>
        </xdr:cNvPr>
        <xdr:cNvSpPr/>
      </xdr:nvSpPr>
      <xdr:spPr>
        <a:xfrm rot="19002817">
          <a:off x="20288250" y="1899221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15</xdr:col>
      <xdr:colOff>0</xdr:colOff>
      <xdr:row>94</xdr:row>
      <xdr:rowOff>0</xdr:rowOff>
    </xdr:from>
    <xdr:ext cx="2281394" cy="1030410"/>
    <xdr:sp macro="" textlink="">
      <xdr:nvSpPr>
        <xdr:cNvPr id="14" name="矩形 13">
          <a:extLst>
            <a:ext uri="{FF2B5EF4-FFF2-40B4-BE49-F238E27FC236}">
              <a16:creationId xmlns:a16="http://schemas.microsoft.com/office/drawing/2014/main" id="{EE2D69F5-471E-489A-A4A3-CDC020495282}"/>
            </a:ext>
          </a:extLst>
        </xdr:cNvPr>
        <xdr:cNvSpPr/>
      </xdr:nvSpPr>
      <xdr:spPr>
        <a:xfrm rot="19002817">
          <a:off x="20288250" y="2278824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116</xdr:row>
      <xdr:rowOff>0</xdr:rowOff>
    </xdr:from>
    <xdr:ext cx="2281394" cy="1030410"/>
    <xdr:sp macro="" textlink="">
      <xdr:nvSpPr>
        <xdr:cNvPr id="15" name="矩形 14">
          <a:extLst>
            <a:ext uri="{FF2B5EF4-FFF2-40B4-BE49-F238E27FC236}">
              <a16:creationId xmlns:a16="http://schemas.microsoft.com/office/drawing/2014/main" id="{59E2C1DD-1106-4306-A8C5-1A39F59ED270}"/>
            </a:ext>
          </a:extLst>
        </xdr:cNvPr>
        <xdr:cNvSpPr/>
      </xdr:nvSpPr>
      <xdr:spPr>
        <a:xfrm rot="19002817">
          <a:off x="13950950" y="2842323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9</xdr:col>
      <xdr:colOff>0</xdr:colOff>
      <xdr:row>135</xdr:row>
      <xdr:rowOff>0</xdr:rowOff>
    </xdr:from>
    <xdr:ext cx="2281394" cy="1030410"/>
    <xdr:sp macro="" textlink="">
      <xdr:nvSpPr>
        <xdr:cNvPr id="16" name="矩形 15">
          <a:extLst>
            <a:ext uri="{FF2B5EF4-FFF2-40B4-BE49-F238E27FC236}">
              <a16:creationId xmlns:a16="http://schemas.microsoft.com/office/drawing/2014/main" id="{A8BE8825-8FDB-4651-80B5-1D10A3B05CA8}"/>
            </a:ext>
          </a:extLst>
        </xdr:cNvPr>
        <xdr:cNvSpPr/>
      </xdr:nvSpPr>
      <xdr:spPr>
        <a:xfrm rot="19002817">
          <a:off x="8172450" y="3178492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9</xdr:col>
      <xdr:colOff>0</xdr:colOff>
      <xdr:row>156</xdr:row>
      <xdr:rowOff>0</xdr:rowOff>
    </xdr:from>
    <xdr:ext cx="2281394" cy="1030410"/>
    <xdr:sp macro="" textlink="">
      <xdr:nvSpPr>
        <xdr:cNvPr id="17" name="矩形 16">
          <a:extLst>
            <a:ext uri="{FF2B5EF4-FFF2-40B4-BE49-F238E27FC236}">
              <a16:creationId xmlns:a16="http://schemas.microsoft.com/office/drawing/2014/main" id="{5B1CBC19-E8D5-42B5-9821-EBEE83BC1BFB}"/>
            </a:ext>
          </a:extLst>
        </xdr:cNvPr>
        <xdr:cNvSpPr/>
      </xdr:nvSpPr>
      <xdr:spPr>
        <a:xfrm rot="19002817">
          <a:off x="8172450" y="3722052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166</xdr:row>
      <xdr:rowOff>0</xdr:rowOff>
    </xdr:from>
    <xdr:ext cx="2281394" cy="1030410"/>
    <xdr:sp macro="" textlink="">
      <xdr:nvSpPr>
        <xdr:cNvPr id="18" name="矩形 17">
          <a:extLst>
            <a:ext uri="{FF2B5EF4-FFF2-40B4-BE49-F238E27FC236}">
              <a16:creationId xmlns:a16="http://schemas.microsoft.com/office/drawing/2014/main" id="{C8643BD5-0402-4B60-A328-8321C48422B6}"/>
            </a:ext>
          </a:extLst>
        </xdr:cNvPr>
        <xdr:cNvSpPr/>
      </xdr:nvSpPr>
      <xdr:spPr>
        <a:xfrm rot="19002817">
          <a:off x="13950950" y="3959669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185</xdr:row>
      <xdr:rowOff>0</xdr:rowOff>
    </xdr:from>
    <xdr:ext cx="2281394" cy="1030410"/>
    <xdr:sp macro="" textlink="">
      <xdr:nvSpPr>
        <xdr:cNvPr id="19" name="矩形 18">
          <a:extLst>
            <a:ext uri="{FF2B5EF4-FFF2-40B4-BE49-F238E27FC236}">
              <a16:creationId xmlns:a16="http://schemas.microsoft.com/office/drawing/2014/main" id="{BB648995-A469-41C1-A5B1-D1567BD02786}"/>
            </a:ext>
          </a:extLst>
        </xdr:cNvPr>
        <xdr:cNvSpPr/>
      </xdr:nvSpPr>
      <xdr:spPr>
        <a:xfrm rot="19002817">
          <a:off x="13950950" y="4346638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203</xdr:row>
      <xdr:rowOff>0</xdr:rowOff>
    </xdr:from>
    <xdr:ext cx="2281394" cy="1030410"/>
    <xdr:sp macro="" textlink="">
      <xdr:nvSpPr>
        <xdr:cNvPr id="20" name="矩形 19">
          <a:extLst>
            <a:ext uri="{FF2B5EF4-FFF2-40B4-BE49-F238E27FC236}">
              <a16:creationId xmlns:a16="http://schemas.microsoft.com/office/drawing/2014/main" id="{6A25342A-8B87-4507-A331-123221B1EC8E}"/>
            </a:ext>
          </a:extLst>
        </xdr:cNvPr>
        <xdr:cNvSpPr/>
      </xdr:nvSpPr>
      <xdr:spPr>
        <a:xfrm rot="19002817">
          <a:off x="13950950" y="4744021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17</xdr:col>
      <xdr:colOff>0</xdr:colOff>
      <xdr:row>224</xdr:row>
      <xdr:rowOff>0</xdr:rowOff>
    </xdr:from>
    <xdr:ext cx="2281394" cy="1030410"/>
    <xdr:sp macro="" textlink="">
      <xdr:nvSpPr>
        <xdr:cNvPr id="21" name="矩形 20">
          <a:extLst>
            <a:ext uri="{FF2B5EF4-FFF2-40B4-BE49-F238E27FC236}">
              <a16:creationId xmlns:a16="http://schemas.microsoft.com/office/drawing/2014/main" id="{86A2F523-58D8-41C3-97CD-28C8CE8EFB6C}"/>
            </a:ext>
          </a:extLst>
        </xdr:cNvPr>
        <xdr:cNvSpPr/>
      </xdr:nvSpPr>
      <xdr:spPr>
        <a:xfrm rot="19002817">
          <a:off x="23196550" y="5287454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237</xdr:row>
      <xdr:rowOff>0</xdr:rowOff>
    </xdr:from>
    <xdr:ext cx="2281394" cy="1030410"/>
    <xdr:sp macro="" textlink="">
      <xdr:nvSpPr>
        <xdr:cNvPr id="22" name="矩形 21">
          <a:extLst>
            <a:ext uri="{FF2B5EF4-FFF2-40B4-BE49-F238E27FC236}">
              <a16:creationId xmlns:a16="http://schemas.microsoft.com/office/drawing/2014/main" id="{BCCA2781-C3EF-4142-A7E0-1FF0DCE86FC0}"/>
            </a:ext>
          </a:extLst>
        </xdr:cNvPr>
        <xdr:cNvSpPr/>
      </xdr:nvSpPr>
      <xdr:spPr>
        <a:xfrm rot="19002817">
          <a:off x="13950950" y="5616892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17</xdr:col>
      <xdr:colOff>0</xdr:colOff>
      <xdr:row>275</xdr:row>
      <xdr:rowOff>0</xdr:rowOff>
    </xdr:from>
    <xdr:ext cx="2281394" cy="1030410"/>
    <xdr:sp macro="" textlink="">
      <xdr:nvSpPr>
        <xdr:cNvPr id="23" name="矩形 22">
          <a:extLst>
            <a:ext uri="{FF2B5EF4-FFF2-40B4-BE49-F238E27FC236}">
              <a16:creationId xmlns:a16="http://schemas.microsoft.com/office/drawing/2014/main" id="{EC637CD1-9DD8-4491-BC1B-A485C954B9F7}"/>
            </a:ext>
          </a:extLst>
        </xdr:cNvPr>
        <xdr:cNvSpPr/>
      </xdr:nvSpPr>
      <xdr:spPr>
        <a:xfrm rot="19002817">
          <a:off x="23196550" y="6482016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15</xdr:col>
      <xdr:colOff>0</xdr:colOff>
      <xdr:row>324</xdr:row>
      <xdr:rowOff>0</xdr:rowOff>
    </xdr:from>
    <xdr:ext cx="2281394" cy="1030410"/>
    <xdr:sp macro="" textlink="">
      <xdr:nvSpPr>
        <xdr:cNvPr id="24" name="矩形 23">
          <a:extLst>
            <a:ext uri="{FF2B5EF4-FFF2-40B4-BE49-F238E27FC236}">
              <a16:creationId xmlns:a16="http://schemas.microsoft.com/office/drawing/2014/main" id="{9A659018-BE25-4289-9FD3-1683D788B925}"/>
            </a:ext>
          </a:extLst>
        </xdr:cNvPr>
        <xdr:cNvSpPr/>
      </xdr:nvSpPr>
      <xdr:spPr>
        <a:xfrm rot="19002817">
          <a:off x="20288250" y="7774241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373</xdr:row>
      <xdr:rowOff>0</xdr:rowOff>
    </xdr:from>
    <xdr:ext cx="2281394" cy="1030410"/>
    <xdr:sp macro="" textlink="">
      <xdr:nvSpPr>
        <xdr:cNvPr id="25" name="矩形 24">
          <a:extLst>
            <a:ext uri="{FF2B5EF4-FFF2-40B4-BE49-F238E27FC236}">
              <a16:creationId xmlns:a16="http://schemas.microsoft.com/office/drawing/2014/main" id="{5ED723B9-28B9-4835-BDE5-0AACE8FB2C04}"/>
            </a:ext>
          </a:extLst>
        </xdr:cNvPr>
        <xdr:cNvSpPr/>
      </xdr:nvSpPr>
      <xdr:spPr>
        <a:xfrm rot="19002817">
          <a:off x="13950950" y="9138983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15</xdr:col>
      <xdr:colOff>0</xdr:colOff>
      <xdr:row>416</xdr:row>
      <xdr:rowOff>0</xdr:rowOff>
    </xdr:from>
    <xdr:ext cx="2281394" cy="1030410"/>
    <xdr:sp macro="" textlink="">
      <xdr:nvSpPr>
        <xdr:cNvPr id="26" name="矩形 25">
          <a:extLst>
            <a:ext uri="{FF2B5EF4-FFF2-40B4-BE49-F238E27FC236}">
              <a16:creationId xmlns:a16="http://schemas.microsoft.com/office/drawing/2014/main" id="{DA2E78D5-8FAB-48EF-B82E-65EF21F2D288}"/>
            </a:ext>
          </a:extLst>
        </xdr:cNvPr>
        <xdr:cNvSpPr/>
      </xdr:nvSpPr>
      <xdr:spPr>
        <a:xfrm rot="19002817">
          <a:off x="20288250" y="10158031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463</xdr:row>
      <xdr:rowOff>0</xdr:rowOff>
    </xdr:from>
    <xdr:ext cx="2281394" cy="1030410"/>
    <xdr:sp macro="" textlink="">
      <xdr:nvSpPr>
        <xdr:cNvPr id="27" name="矩形 26">
          <a:extLst>
            <a:ext uri="{FF2B5EF4-FFF2-40B4-BE49-F238E27FC236}">
              <a16:creationId xmlns:a16="http://schemas.microsoft.com/office/drawing/2014/main" id="{C0E9A109-F1AC-42BC-B4F6-1683B86C047F}"/>
            </a:ext>
          </a:extLst>
        </xdr:cNvPr>
        <xdr:cNvSpPr/>
      </xdr:nvSpPr>
      <xdr:spPr>
        <a:xfrm rot="19002817">
          <a:off x="13950950" y="116645055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oneCellAnchor>
    <xdr:from>
      <xdr:col>11</xdr:col>
      <xdr:colOff>0</xdr:colOff>
      <xdr:row>504</xdr:row>
      <xdr:rowOff>0</xdr:rowOff>
    </xdr:from>
    <xdr:ext cx="2281394" cy="1030410"/>
    <xdr:sp macro="" textlink="">
      <xdr:nvSpPr>
        <xdr:cNvPr id="28" name="矩形 27">
          <a:extLst>
            <a:ext uri="{FF2B5EF4-FFF2-40B4-BE49-F238E27FC236}">
              <a16:creationId xmlns:a16="http://schemas.microsoft.com/office/drawing/2014/main" id="{0617A5EA-23E7-4EAC-858C-4365C4493164}"/>
            </a:ext>
          </a:extLst>
        </xdr:cNvPr>
        <xdr:cNvSpPr/>
      </xdr:nvSpPr>
      <xdr:spPr>
        <a:xfrm rot="19002817">
          <a:off x="13950950" y="1294942800"/>
          <a:ext cx="2281394" cy="1030410"/>
        </a:xfrm>
        <a:prstGeom prst="rect">
          <a:avLst/>
        </a:prstGeom>
        <a:noFill/>
      </xdr:spPr>
      <xdr:txBody>
        <a:bodyPr wrap="none" lIns="91440" tIns="45720" rIns="91440" bIns="45720">
          <a:spAutoFit/>
        </a:bodyPr>
        <a:lstStyle/>
        <a:p>
          <a:pPr algn="ctr"/>
          <a:r>
            <a:rPr lang="zh-CN" altLang="en-US" sz="5400" b="1" cap="none" spc="50">
              <a:ln w="0"/>
              <a:solidFill>
                <a:schemeClr val="bg2"/>
              </a:solidFill>
              <a:effectLst>
                <a:innerShdw blurRad="63500" dist="50800" dir="13500000">
                  <a:srgbClr val="000000">
                    <a:alpha val="50000"/>
                  </a:srgbClr>
                </a:innerShdw>
              </a:effectLst>
            </a:rPr>
            <a:t>从医行</a:t>
          </a:r>
        </a:p>
      </xdr:txBody>
    </xdr:sp>
    <xdr:clientData/>
  </xdr:one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Documents/WeChat%20Files/wxid_j8dfirc4cbhp22/FileStorage/Temp/2cddc86badc9ade06f4baa413317d4f.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kdocs.cn/l/cgL8GvEnoa53"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www.wjx.top/jq/22911294.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FFE3E-6970-4BBF-BF69-36A3FA90CDCC}">
  <dimension ref="A1:N291"/>
  <sheetViews>
    <sheetView tabSelected="1" topLeftCell="A271" workbookViewId="0">
      <selection activeCell="C283" sqref="C283"/>
    </sheetView>
  </sheetViews>
  <sheetFormatPr defaultRowHeight="15"/>
  <cols>
    <col min="1" max="1" width="14.46484375" style="138" customWidth="1"/>
    <col min="2" max="2" width="27.46484375" customWidth="1"/>
    <col min="3" max="12" width="39.33203125" customWidth="1"/>
    <col min="13" max="13" width="7.53125"/>
    <col min="14" max="14" width="76.265625" customWidth="1"/>
  </cols>
  <sheetData>
    <row r="1" spans="1:14" ht="20.05" customHeight="1">
      <c r="A1" s="111" t="s">
        <v>7667</v>
      </c>
      <c r="B1" s="110" t="s">
        <v>0</v>
      </c>
      <c r="C1" s="110" t="s">
        <v>1</v>
      </c>
      <c r="D1" s="110" t="s">
        <v>2</v>
      </c>
      <c r="E1" s="110" t="s">
        <v>3</v>
      </c>
      <c r="F1" s="110" t="s">
        <v>4</v>
      </c>
      <c r="G1" s="110" t="s">
        <v>5</v>
      </c>
      <c r="H1" s="110" t="s">
        <v>6</v>
      </c>
      <c r="I1" s="110" t="s">
        <v>7</v>
      </c>
      <c r="J1" s="110" t="s">
        <v>8</v>
      </c>
      <c r="K1" s="110" t="s">
        <v>9</v>
      </c>
      <c r="L1" s="110" t="s">
        <v>10</v>
      </c>
      <c r="M1" s="110" t="s">
        <v>11</v>
      </c>
      <c r="N1" s="111" t="s">
        <v>9151</v>
      </c>
    </row>
    <row r="2" spans="1:14" ht="20.05" customHeight="1">
      <c r="A2" s="139" t="s">
        <v>7668</v>
      </c>
      <c r="B2" s="140" t="s">
        <v>235</v>
      </c>
      <c r="C2" s="112" t="s">
        <v>43</v>
      </c>
      <c r="D2" s="112" t="s">
        <v>36</v>
      </c>
      <c r="E2" s="112" t="s">
        <v>37</v>
      </c>
      <c r="F2" s="112" t="s">
        <v>29</v>
      </c>
      <c r="G2" s="112" t="s">
        <v>43</v>
      </c>
      <c r="H2" s="113" t="s">
        <v>7669</v>
      </c>
      <c r="I2" s="113" t="s">
        <v>7670</v>
      </c>
      <c r="J2" s="113" t="s">
        <v>7671</v>
      </c>
      <c r="K2" s="112" t="s">
        <v>9153</v>
      </c>
      <c r="L2" s="112" t="s">
        <v>43</v>
      </c>
      <c r="M2" s="112" t="s">
        <v>43</v>
      </c>
      <c r="N2" s="114"/>
    </row>
    <row r="3" spans="1:14" ht="20.05" customHeight="1">
      <c r="A3" s="139" t="s">
        <v>7672</v>
      </c>
      <c r="B3" s="140" t="s">
        <v>109</v>
      </c>
      <c r="C3" s="112" t="s">
        <v>225</v>
      </c>
      <c r="D3" s="115" t="s">
        <v>7673</v>
      </c>
      <c r="E3" s="115" t="s">
        <v>7674</v>
      </c>
      <c r="F3" s="112" t="s">
        <v>29</v>
      </c>
      <c r="G3" s="115" t="s">
        <v>7675</v>
      </c>
      <c r="H3" s="115" t="s">
        <v>7676</v>
      </c>
      <c r="I3" s="115" t="s">
        <v>7677</v>
      </c>
      <c r="J3" s="115" t="s">
        <v>231</v>
      </c>
      <c r="K3" s="115" t="s">
        <v>7678</v>
      </c>
      <c r="L3" s="115" t="s">
        <v>2172</v>
      </c>
      <c r="M3" s="112" t="s">
        <v>43</v>
      </c>
      <c r="N3" s="114"/>
    </row>
    <row r="4" spans="1:14" ht="20.05" customHeight="1">
      <c r="A4" s="139" t="s">
        <v>7679</v>
      </c>
      <c r="B4" s="140" t="s">
        <v>109</v>
      </c>
      <c r="C4" s="112" t="s">
        <v>4228</v>
      </c>
      <c r="D4" s="112" t="s">
        <v>7680</v>
      </c>
      <c r="E4" s="112" t="s">
        <v>7681</v>
      </c>
      <c r="F4" s="112" t="s">
        <v>29</v>
      </c>
      <c r="G4" s="112" t="s">
        <v>7682</v>
      </c>
      <c r="H4" s="112" t="s">
        <v>7683</v>
      </c>
      <c r="I4" s="112" t="s">
        <v>468</v>
      </c>
      <c r="J4" s="112" t="s">
        <v>7684</v>
      </c>
      <c r="K4" s="112" t="s">
        <v>7685</v>
      </c>
      <c r="L4" s="112" t="s">
        <v>7686</v>
      </c>
      <c r="M4" s="112" t="s">
        <v>43</v>
      </c>
      <c r="N4" s="114"/>
    </row>
    <row r="5" spans="1:14" ht="20.05" customHeight="1">
      <c r="A5" s="139" t="s">
        <v>7687</v>
      </c>
      <c r="B5" s="140" t="s">
        <v>109</v>
      </c>
      <c r="C5" s="112" t="s">
        <v>148</v>
      </c>
      <c r="D5" s="112" t="s">
        <v>7688</v>
      </c>
      <c r="E5" s="112" t="s">
        <v>5954</v>
      </c>
      <c r="F5" s="112" t="s">
        <v>1783</v>
      </c>
      <c r="G5" s="112" t="s">
        <v>43</v>
      </c>
      <c r="H5" s="112" t="s">
        <v>7689</v>
      </c>
      <c r="I5" s="112" t="s">
        <v>7690</v>
      </c>
      <c r="J5" s="112" t="s">
        <v>7691</v>
      </c>
      <c r="K5" s="112" t="s">
        <v>7692</v>
      </c>
      <c r="L5" s="112" t="s">
        <v>7693</v>
      </c>
      <c r="M5" s="112" t="s">
        <v>43</v>
      </c>
      <c r="N5" s="114"/>
    </row>
    <row r="6" spans="1:14" ht="20.05" customHeight="1">
      <c r="A6" s="139" t="s">
        <v>7694</v>
      </c>
      <c r="B6" s="141" t="s">
        <v>109</v>
      </c>
      <c r="C6" s="116" t="s">
        <v>129</v>
      </c>
      <c r="D6" s="112" t="s">
        <v>6123</v>
      </c>
      <c r="E6" s="112"/>
      <c r="F6" s="112" t="s">
        <v>29</v>
      </c>
      <c r="G6" s="112" t="s">
        <v>6071</v>
      </c>
      <c r="H6" s="112" t="s">
        <v>6124</v>
      </c>
      <c r="I6" s="116" t="s">
        <v>866</v>
      </c>
      <c r="J6" s="116" t="s">
        <v>7695</v>
      </c>
      <c r="K6" s="112" t="s">
        <v>7696</v>
      </c>
      <c r="L6" s="112"/>
      <c r="M6" s="112"/>
      <c r="N6" s="114"/>
    </row>
    <row r="7" spans="1:14" ht="20.05" customHeight="1">
      <c r="A7" s="139" t="s">
        <v>7697</v>
      </c>
      <c r="B7" s="140" t="s">
        <v>5848</v>
      </c>
      <c r="C7" s="112" t="s">
        <v>43</v>
      </c>
      <c r="D7" s="112" t="s">
        <v>36</v>
      </c>
      <c r="E7" s="117" t="s">
        <v>60</v>
      </c>
      <c r="F7" s="112" t="s">
        <v>29</v>
      </c>
      <c r="G7" s="112" t="s">
        <v>43</v>
      </c>
      <c r="H7" s="112" t="s">
        <v>7698</v>
      </c>
      <c r="I7" s="112" t="s">
        <v>7699</v>
      </c>
      <c r="J7" s="112" t="s">
        <v>63</v>
      </c>
      <c r="K7" s="112" t="s">
        <v>5987</v>
      </c>
      <c r="L7" s="112" t="s">
        <v>43</v>
      </c>
      <c r="M7" s="112" t="s">
        <v>43</v>
      </c>
      <c r="N7" s="114"/>
    </row>
    <row r="8" spans="1:14" ht="20.05" customHeight="1">
      <c r="A8" s="139" t="s">
        <v>7700</v>
      </c>
      <c r="B8" s="142" t="s">
        <v>13</v>
      </c>
      <c r="C8" s="117" t="s">
        <v>1674</v>
      </c>
      <c r="D8" s="117" t="s">
        <v>36</v>
      </c>
      <c r="E8" s="112" t="s">
        <v>60</v>
      </c>
      <c r="F8" s="112" t="s">
        <v>29</v>
      </c>
      <c r="G8" s="112" t="s">
        <v>43</v>
      </c>
      <c r="H8" s="112" t="s">
        <v>7698</v>
      </c>
      <c r="I8" s="112" t="s">
        <v>7699</v>
      </c>
      <c r="J8" s="112" t="s">
        <v>43</v>
      </c>
      <c r="K8" s="112" t="s">
        <v>7701</v>
      </c>
      <c r="L8" s="112" t="s">
        <v>43</v>
      </c>
      <c r="M8" s="112" t="s">
        <v>43</v>
      </c>
      <c r="N8" s="114"/>
    </row>
    <row r="9" spans="1:14" ht="20.05" customHeight="1">
      <c r="A9" s="139" t="s">
        <v>7702</v>
      </c>
      <c r="B9" s="140" t="s">
        <v>133</v>
      </c>
      <c r="C9" s="112" t="s">
        <v>134</v>
      </c>
      <c r="D9" s="112" t="s">
        <v>7703</v>
      </c>
      <c r="E9" s="112" t="s">
        <v>7704</v>
      </c>
      <c r="F9" s="112" t="s">
        <v>29</v>
      </c>
      <c r="G9" s="112" t="s">
        <v>7705</v>
      </c>
      <c r="H9" s="112" t="s">
        <v>7706</v>
      </c>
      <c r="I9" s="112" t="s">
        <v>7707</v>
      </c>
      <c r="J9" s="112" t="s">
        <v>43</v>
      </c>
      <c r="K9" s="112" t="s">
        <v>7708</v>
      </c>
      <c r="L9" s="112" t="s">
        <v>7709</v>
      </c>
      <c r="M9" s="112" t="s">
        <v>43</v>
      </c>
      <c r="N9" s="114"/>
    </row>
    <row r="10" spans="1:14" ht="20.05" customHeight="1">
      <c r="A10" s="139" t="s">
        <v>7710</v>
      </c>
      <c r="B10" s="140" t="s">
        <v>13</v>
      </c>
      <c r="C10" s="112" t="s">
        <v>1661</v>
      </c>
      <c r="D10" s="112" t="s">
        <v>5897</v>
      </c>
      <c r="E10" s="112" t="s">
        <v>5898</v>
      </c>
      <c r="F10" s="112" t="s">
        <v>29</v>
      </c>
      <c r="G10" s="112" t="s">
        <v>43</v>
      </c>
      <c r="H10" s="112" t="s">
        <v>7711</v>
      </c>
      <c r="I10" s="112" t="s">
        <v>7712</v>
      </c>
      <c r="J10" s="112" t="s">
        <v>7713</v>
      </c>
      <c r="K10" s="112" t="s">
        <v>5901</v>
      </c>
      <c r="L10" s="112" t="s">
        <v>5902</v>
      </c>
      <c r="M10" s="112" t="s">
        <v>43</v>
      </c>
      <c r="N10" s="114"/>
    </row>
    <row r="11" spans="1:14" ht="20.05" customHeight="1">
      <c r="A11" s="143">
        <v>10</v>
      </c>
      <c r="B11" s="140" t="s">
        <v>101</v>
      </c>
      <c r="C11" s="112" t="s">
        <v>43</v>
      </c>
      <c r="D11" s="112" t="s">
        <v>5965</v>
      </c>
      <c r="E11" s="112" t="s">
        <v>5966</v>
      </c>
      <c r="F11" s="112" t="s">
        <v>29</v>
      </c>
      <c r="G11" s="112" t="s">
        <v>7714</v>
      </c>
      <c r="H11" s="112" t="s">
        <v>7715</v>
      </c>
      <c r="I11" s="112" t="s">
        <v>7699</v>
      </c>
      <c r="J11" s="112" t="s">
        <v>43</v>
      </c>
      <c r="K11" s="112" t="s">
        <v>7716</v>
      </c>
      <c r="L11" s="112" t="s">
        <v>43</v>
      </c>
      <c r="M11" s="112" t="s">
        <v>7717</v>
      </c>
      <c r="N11" s="114"/>
    </row>
    <row r="12" spans="1:14" ht="20.05" customHeight="1">
      <c r="A12" s="143">
        <v>11</v>
      </c>
      <c r="B12" s="140" t="s">
        <v>109</v>
      </c>
      <c r="C12" s="112" t="s">
        <v>6005</v>
      </c>
      <c r="D12" s="112" t="s">
        <v>918</v>
      </c>
      <c r="E12" s="112" t="s">
        <v>524</v>
      </c>
      <c r="F12" s="112" t="s">
        <v>29</v>
      </c>
      <c r="G12" s="112" t="s">
        <v>7718</v>
      </c>
      <c r="H12" s="112" t="s">
        <v>7719</v>
      </c>
      <c r="I12" s="112" t="s">
        <v>7720</v>
      </c>
      <c r="J12" s="112" t="s">
        <v>43</v>
      </c>
      <c r="K12" s="112" t="s">
        <v>7721</v>
      </c>
      <c r="L12" s="112" t="s">
        <v>6009</v>
      </c>
      <c r="M12" s="112" t="s">
        <v>7722</v>
      </c>
      <c r="N12" s="114"/>
    </row>
    <row r="13" spans="1:14" ht="20.05" customHeight="1">
      <c r="A13" s="143">
        <v>12</v>
      </c>
      <c r="B13" s="140" t="s">
        <v>109</v>
      </c>
      <c r="C13" s="112" t="s">
        <v>7723</v>
      </c>
      <c r="D13" s="112" t="s">
        <v>7724</v>
      </c>
      <c r="E13" s="112" t="s">
        <v>7725</v>
      </c>
      <c r="F13" s="112" t="s">
        <v>29</v>
      </c>
      <c r="G13" s="112" t="s">
        <v>7726</v>
      </c>
      <c r="H13" s="112" t="s">
        <v>7727</v>
      </c>
      <c r="I13" s="112" t="s">
        <v>7728</v>
      </c>
      <c r="J13" s="112" t="s">
        <v>7729</v>
      </c>
      <c r="K13" s="112" t="s">
        <v>7730</v>
      </c>
      <c r="L13" s="112" t="s">
        <v>7731</v>
      </c>
      <c r="M13" s="112" t="s">
        <v>43</v>
      </c>
      <c r="N13" s="114"/>
    </row>
    <row r="14" spans="1:14" ht="20.05" customHeight="1">
      <c r="A14" s="144">
        <v>13</v>
      </c>
      <c r="B14" s="145" t="s">
        <v>50</v>
      </c>
      <c r="C14" s="118" t="s">
        <v>51</v>
      </c>
      <c r="D14" s="118" t="s">
        <v>43</v>
      </c>
      <c r="E14" s="118" t="s">
        <v>7732</v>
      </c>
      <c r="F14" s="118" t="s">
        <v>29</v>
      </c>
      <c r="G14" s="118" t="s">
        <v>5973</v>
      </c>
      <c r="H14" s="118" t="s">
        <v>7733</v>
      </c>
      <c r="I14" s="118" t="s">
        <v>7734</v>
      </c>
      <c r="J14" s="118" t="s">
        <v>4834</v>
      </c>
      <c r="K14" s="118" t="s">
        <v>43</v>
      </c>
      <c r="L14" s="118" t="s">
        <v>43</v>
      </c>
      <c r="M14" s="118" t="s">
        <v>43</v>
      </c>
      <c r="N14" s="114"/>
    </row>
    <row r="15" spans="1:14" ht="20.05" customHeight="1">
      <c r="A15" s="144">
        <v>14</v>
      </c>
      <c r="B15" s="145" t="s">
        <v>26</v>
      </c>
      <c r="C15" s="118" t="s">
        <v>27</v>
      </c>
      <c r="D15" s="118" t="s">
        <v>7735</v>
      </c>
      <c r="E15" s="118" t="s">
        <v>43</v>
      </c>
      <c r="F15" s="118" t="s">
        <v>29</v>
      </c>
      <c r="G15" s="118" t="s">
        <v>7736</v>
      </c>
      <c r="H15" s="118" t="s">
        <v>7737</v>
      </c>
      <c r="I15" s="119">
        <v>45839</v>
      </c>
      <c r="J15" s="118" t="s">
        <v>43</v>
      </c>
      <c r="K15" s="120" t="s">
        <v>7738</v>
      </c>
      <c r="L15" s="118" t="s">
        <v>7739</v>
      </c>
      <c r="M15" s="118" t="s">
        <v>7740</v>
      </c>
      <c r="N15" s="114"/>
    </row>
    <row r="16" spans="1:14" ht="20.05" customHeight="1">
      <c r="A16" s="144">
        <v>15</v>
      </c>
      <c r="B16" s="145" t="s">
        <v>65</v>
      </c>
      <c r="C16" s="118" t="s">
        <v>35</v>
      </c>
      <c r="D16" s="118" t="s">
        <v>43</v>
      </c>
      <c r="E16" s="120" t="s">
        <v>7741</v>
      </c>
      <c r="F16" s="118" t="s">
        <v>29</v>
      </c>
      <c r="G16" s="118" t="s">
        <v>7742</v>
      </c>
      <c r="H16" s="118" t="s">
        <v>7743</v>
      </c>
      <c r="I16" s="118" t="s">
        <v>7744</v>
      </c>
      <c r="J16" s="118" t="s">
        <v>43</v>
      </c>
      <c r="K16" s="120" t="s">
        <v>7745</v>
      </c>
      <c r="L16" s="118" t="s">
        <v>7746</v>
      </c>
      <c r="M16" s="118" t="s">
        <v>7740</v>
      </c>
      <c r="N16" s="114"/>
    </row>
    <row r="17" spans="1:14" ht="20.05" customHeight="1">
      <c r="A17" s="144">
        <v>16</v>
      </c>
      <c r="B17" s="145" t="s">
        <v>50</v>
      </c>
      <c r="C17" s="118" t="s">
        <v>201</v>
      </c>
      <c r="D17" s="118" t="s">
        <v>43</v>
      </c>
      <c r="E17" s="118" t="s">
        <v>43</v>
      </c>
      <c r="F17" s="118" t="s">
        <v>29</v>
      </c>
      <c r="G17" s="118" t="s">
        <v>7747</v>
      </c>
      <c r="H17" s="121" t="s">
        <v>7748</v>
      </c>
      <c r="I17" s="118" t="s">
        <v>7734</v>
      </c>
      <c r="J17" s="118" t="s">
        <v>2077</v>
      </c>
      <c r="K17" s="118" t="s">
        <v>7749</v>
      </c>
      <c r="L17" s="118" t="s">
        <v>43</v>
      </c>
      <c r="M17" s="118" t="s">
        <v>43</v>
      </c>
      <c r="N17" s="114"/>
    </row>
    <row r="18" spans="1:14" ht="20.05" customHeight="1">
      <c r="A18" s="144">
        <v>17</v>
      </c>
      <c r="B18" s="145" t="s">
        <v>58</v>
      </c>
      <c r="C18" s="118" t="s">
        <v>267</v>
      </c>
      <c r="D18" s="118" t="s">
        <v>43</v>
      </c>
      <c r="E18" s="118" t="s">
        <v>43</v>
      </c>
      <c r="F18" s="118" t="s">
        <v>29</v>
      </c>
      <c r="G18" s="120" t="s">
        <v>7750</v>
      </c>
      <c r="H18" s="118" t="s">
        <v>7751</v>
      </c>
      <c r="I18" s="118" t="s">
        <v>7752</v>
      </c>
      <c r="J18" s="118" t="s">
        <v>43</v>
      </c>
      <c r="K18" s="120" t="s">
        <v>7753</v>
      </c>
      <c r="L18" s="118" t="s">
        <v>7754</v>
      </c>
      <c r="M18" s="118" t="s">
        <v>43</v>
      </c>
      <c r="N18" s="114"/>
    </row>
    <row r="19" spans="1:14" ht="20.05" customHeight="1">
      <c r="A19" s="144">
        <v>18</v>
      </c>
      <c r="B19" s="145" t="s">
        <v>73</v>
      </c>
      <c r="C19" s="118" t="s">
        <v>4397</v>
      </c>
      <c r="D19" s="118" t="s">
        <v>43</v>
      </c>
      <c r="E19" s="118" t="s">
        <v>43</v>
      </c>
      <c r="F19" s="118" t="s">
        <v>29</v>
      </c>
      <c r="G19" s="118" t="s">
        <v>7755</v>
      </c>
      <c r="H19" s="118" t="s">
        <v>7756</v>
      </c>
      <c r="I19" s="118" t="s">
        <v>7757</v>
      </c>
      <c r="J19" s="118" t="s">
        <v>43</v>
      </c>
      <c r="K19" s="120" t="s">
        <v>7758</v>
      </c>
      <c r="L19" s="118" t="s">
        <v>7759</v>
      </c>
      <c r="M19" s="118" t="s">
        <v>7740</v>
      </c>
      <c r="N19" s="114"/>
    </row>
    <row r="20" spans="1:14" ht="20.05" customHeight="1">
      <c r="A20" s="144">
        <v>19</v>
      </c>
      <c r="B20" s="145" t="s">
        <v>43</v>
      </c>
      <c r="C20" s="118" t="s">
        <v>1935</v>
      </c>
      <c r="D20" s="118" t="s">
        <v>43</v>
      </c>
      <c r="E20" s="118" t="s">
        <v>43</v>
      </c>
      <c r="F20" s="118" t="s">
        <v>29</v>
      </c>
      <c r="G20" s="118" t="s">
        <v>43</v>
      </c>
      <c r="H20" s="118" t="s">
        <v>7760</v>
      </c>
      <c r="I20" s="118" t="s">
        <v>7761</v>
      </c>
      <c r="J20" s="118" t="s">
        <v>43</v>
      </c>
      <c r="K20" s="120" t="s">
        <v>7762</v>
      </c>
      <c r="L20" s="118" t="s">
        <v>43</v>
      </c>
      <c r="M20" s="118" t="s">
        <v>7740</v>
      </c>
      <c r="N20" s="114"/>
    </row>
    <row r="21" spans="1:14" ht="20.05" customHeight="1">
      <c r="A21" s="144">
        <v>20</v>
      </c>
      <c r="B21" s="145" t="s">
        <v>7763</v>
      </c>
      <c r="C21" s="118" t="s">
        <v>1098</v>
      </c>
      <c r="D21" s="118" t="s">
        <v>7764</v>
      </c>
      <c r="E21" s="118" t="s">
        <v>5927</v>
      </c>
      <c r="F21" s="118" t="s">
        <v>7765</v>
      </c>
      <c r="G21" s="118" t="s">
        <v>7766</v>
      </c>
      <c r="H21" s="118" t="s">
        <v>7767</v>
      </c>
      <c r="I21" s="118" t="s">
        <v>43</v>
      </c>
      <c r="J21" s="118" t="s">
        <v>7768</v>
      </c>
      <c r="K21" s="120" t="s">
        <v>7769</v>
      </c>
      <c r="L21" s="118" t="s">
        <v>43</v>
      </c>
      <c r="M21" s="118" t="s">
        <v>43</v>
      </c>
      <c r="N21" s="114"/>
    </row>
    <row r="22" spans="1:14" ht="20.05" customHeight="1">
      <c r="A22" s="144">
        <v>21</v>
      </c>
      <c r="B22" s="145" t="s">
        <v>7763</v>
      </c>
      <c r="C22" s="118" t="s">
        <v>7770</v>
      </c>
      <c r="D22" s="118" t="s">
        <v>7771</v>
      </c>
      <c r="E22" s="118" t="s">
        <v>7772</v>
      </c>
      <c r="F22" s="118" t="s">
        <v>29</v>
      </c>
      <c r="G22" s="118" t="s">
        <v>7773</v>
      </c>
      <c r="H22" s="118" t="s">
        <v>7774</v>
      </c>
      <c r="I22" s="118" t="s">
        <v>7775</v>
      </c>
      <c r="J22" s="118" t="s">
        <v>3134</v>
      </c>
      <c r="K22" s="118" t="s">
        <v>7776</v>
      </c>
      <c r="L22" s="118"/>
      <c r="M22" s="118" t="s">
        <v>7740</v>
      </c>
      <c r="N22" s="114"/>
    </row>
    <row r="23" spans="1:14" ht="20.05" customHeight="1">
      <c r="A23" s="144">
        <v>22</v>
      </c>
      <c r="B23" s="145" t="s">
        <v>73</v>
      </c>
      <c r="C23" s="118" t="s">
        <v>74</v>
      </c>
      <c r="D23" s="118" t="s">
        <v>43</v>
      </c>
      <c r="E23" s="118" t="s">
        <v>7777</v>
      </c>
      <c r="F23" s="118" t="s">
        <v>29</v>
      </c>
      <c r="G23" s="118" t="s">
        <v>7778</v>
      </c>
      <c r="H23" s="118" t="s">
        <v>7779</v>
      </c>
      <c r="I23" s="118" t="s">
        <v>7780</v>
      </c>
      <c r="J23" s="118" t="s">
        <v>43</v>
      </c>
      <c r="K23" s="118" t="s">
        <v>7781</v>
      </c>
      <c r="L23" s="118" t="s">
        <v>7782</v>
      </c>
      <c r="M23" s="118" t="s">
        <v>7740</v>
      </c>
      <c r="N23" s="114"/>
    </row>
    <row r="24" spans="1:14" ht="20.05" customHeight="1">
      <c r="A24" s="144">
        <v>23</v>
      </c>
      <c r="B24" s="145" t="s">
        <v>73</v>
      </c>
      <c r="C24" s="118" t="s">
        <v>261</v>
      </c>
      <c r="D24" s="118" t="s">
        <v>43</v>
      </c>
      <c r="E24" s="118" t="s">
        <v>43</v>
      </c>
      <c r="F24" s="118" t="s">
        <v>88</v>
      </c>
      <c r="G24" s="118" t="s">
        <v>7783</v>
      </c>
      <c r="H24" s="118" t="s">
        <v>7784</v>
      </c>
      <c r="I24" s="118" t="s">
        <v>7785</v>
      </c>
      <c r="J24" s="118" t="s">
        <v>43</v>
      </c>
      <c r="K24" s="118" t="s">
        <v>7786</v>
      </c>
      <c r="L24" s="118" t="s">
        <v>43</v>
      </c>
      <c r="M24" s="118" t="s">
        <v>43</v>
      </c>
      <c r="N24" s="114"/>
    </row>
    <row r="25" spans="1:14" ht="20.05" customHeight="1">
      <c r="A25" s="144">
        <v>24</v>
      </c>
      <c r="B25" s="145" t="s">
        <v>50</v>
      </c>
      <c r="C25" s="118" t="s">
        <v>1218</v>
      </c>
      <c r="D25" s="118" t="s">
        <v>1219</v>
      </c>
      <c r="E25" s="118" t="s">
        <v>7787</v>
      </c>
      <c r="F25" s="118" t="s">
        <v>1707</v>
      </c>
      <c r="G25" s="118" t="s">
        <v>7788</v>
      </c>
      <c r="H25" s="118" t="s">
        <v>7789</v>
      </c>
      <c r="I25" s="118" t="s">
        <v>7775</v>
      </c>
      <c r="J25" s="118" t="s">
        <v>43</v>
      </c>
      <c r="K25" s="118" t="s">
        <v>7790</v>
      </c>
      <c r="L25" s="118" t="s">
        <v>7791</v>
      </c>
      <c r="M25" s="118" t="s">
        <v>7740</v>
      </c>
      <c r="N25" s="114"/>
    </row>
    <row r="26" spans="1:14" ht="20.05" customHeight="1">
      <c r="A26" s="144">
        <v>25</v>
      </c>
      <c r="B26" s="145" t="s">
        <v>58</v>
      </c>
      <c r="C26" s="118" t="s">
        <v>59</v>
      </c>
      <c r="D26" s="118" t="s">
        <v>43</v>
      </c>
      <c r="E26" s="118" t="s">
        <v>43</v>
      </c>
      <c r="F26" s="118" t="s">
        <v>29</v>
      </c>
      <c r="G26" s="120" t="s">
        <v>7792</v>
      </c>
      <c r="H26" s="118" t="s">
        <v>7793</v>
      </c>
      <c r="I26" s="118" t="s">
        <v>7794</v>
      </c>
      <c r="J26" s="118" t="s">
        <v>43</v>
      </c>
      <c r="K26" s="120" t="s">
        <v>7795</v>
      </c>
      <c r="L26" s="118" t="s">
        <v>7796</v>
      </c>
      <c r="M26" s="118" t="s">
        <v>7740</v>
      </c>
      <c r="N26" s="114"/>
    </row>
    <row r="27" spans="1:14" ht="20.05" customHeight="1">
      <c r="A27" s="144">
        <v>26</v>
      </c>
      <c r="B27" s="145" t="s">
        <v>789</v>
      </c>
      <c r="C27" s="118" t="s">
        <v>7797</v>
      </c>
      <c r="D27" s="118" t="s">
        <v>7798</v>
      </c>
      <c r="E27" s="118" t="s">
        <v>7799</v>
      </c>
      <c r="F27" s="118" t="s">
        <v>29</v>
      </c>
      <c r="G27" s="120" t="s">
        <v>7800</v>
      </c>
      <c r="H27" s="118" t="s">
        <v>7801</v>
      </c>
      <c r="I27" s="118" t="s">
        <v>7802</v>
      </c>
      <c r="J27" s="118" t="s">
        <v>43</v>
      </c>
      <c r="K27" s="120" t="s">
        <v>7803</v>
      </c>
      <c r="L27" s="118" t="s">
        <v>7804</v>
      </c>
      <c r="M27" s="118" t="s">
        <v>7740</v>
      </c>
      <c r="N27" s="114"/>
    </row>
    <row r="28" spans="1:14" ht="20.05" customHeight="1">
      <c r="A28" s="144">
        <v>27</v>
      </c>
      <c r="B28" s="145" t="s">
        <v>7763</v>
      </c>
      <c r="C28" s="118" t="s">
        <v>7805</v>
      </c>
      <c r="D28" s="118" t="s">
        <v>7806</v>
      </c>
      <c r="E28" s="118" t="s">
        <v>43</v>
      </c>
      <c r="F28" s="118" t="s">
        <v>29</v>
      </c>
      <c r="G28" s="118" t="s">
        <v>7807</v>
      </c>
      <c r="H28" s="118" t="s">
        <v>7808</v>
      </c>
      <c r="I28" s="118" t="s">
        <v>7809</v>
      </c>
      <c r="J28" s="118" t="s">
        <v>1931</v>
      </c>
      <c r="K28" s="118" t="s">
        <v>7810</v>
      </c>
      <c r="L28" s="118" t="s">
        <v>7811</v>
      </c>
      <c r="M28" s="118" t="s">
        <v>43</v>
      </c>
      <c r="N28" s="114"/>
    </row>
    <row r="29" spans="1:14" ht="20.05" customHeight="1">
      <c r="A29" s="144">
        <v>28</v>
      </c>
      <c r="B29" s="145" t="s">
        <v>7763</v>
      </c>
      <c r="C29" s="118" t="s">
        <v>7812</v>
      </c>
      <c r="D29" s="118" t="s">
        <v>43</v>
      </c>
      <c r="E29" s="118" t="s">
        <v>43</v>
      </c>
      <c r="F29" s="118" t="s">
        <v>1707</v>
      </c>
      <c r="G29" s="118" t="s">
        <v>43</v>
      </c>
      <c r="H29" s="118" t="s">
        <v>7813</v>
      </c>
      <c r="I29" s="118" t="s">
        <v>7814</v>
      </c>
      <c r="J29" s="118" t="s">
        <v>43</v>
      </c>
      <c r="K29" s="118" t="s">
        <v>7815</v>
      </c>
      <c r="L29" s="118" t="s">
        <v>43</v>
      </c>
      <c r="M29" s="118" t="s">
        <v>7740</v>
      </c>
      <c r="N29" s="114"/>
    </row>
    <row r="30" spans="1:14" ht="20.05" customHeight="1">
      <c r="A30" s="144">
        <v>29</v>
      </c>
      <c r="B30" s="145" t="s">
        <v>43</v>
      </c>
      <c r="C30" s="118" t="s">
        <v>4519</v>
      </c>
      <c r="D30" s="118" t="s">
        <v>7816</v>
      </c>
      <c r="E30" s="118" t="s">
        <v>7817</v>
      </c>
      <c r="F30" s="118" t="s">
        <v>29</v>
      </c>
      <c r="G30" s="118" t="s">
        <v>7818</v>
      </c>
      <c r="H30" s="118" t="s">
        <v>7819</v>
      </c>
      <c r="I30" s="119">
        <v>45839</v>
      </c>
      <c r="J30" s="118" t="s">
        <v>43</v>
      </c>
      <c r="K30" s="118" t="s">
        <v>7820</v>
      </c>
      <c r="L30" s="118" t="s">
        <v>43</v>
      </c>
      <c r="M30" s="118" t="s">
        <v>7740</v>
      </c>
      <c r="N30" s="114"/>
    </row>
    <row r="31" spans="1:14" ht="20.05" customHeight="1">
      <c r="A31" s="146">
        <v>30</v>
      </c>
      <c r="B31" s="147" t="s">
        <v>109</v>
      </c>
      <c r="C31" s="123" t="s">
        <v>5850</v>
      </c>
      <c r="D31" s="123"/>
      <c r="E31" s="123"/>
      <c r="F31" s="123"/>
      <c r="G31" s="123"/>
      <c r="H31" s="123" t="s">
        <v>2061</v>
      </c>
      <c r="I31" s="123" t="s">
        <v>7821</v>
      </c>
      <c r="J31" s="123"/>
      <c r="K31" s="123" t="s">
        <v>7822</v>
      </c>
      <c r="L31" s="123" t="s">
        <v>7823</v>
      </c>
      <c r="M31" s="123"/>
      <c r="N31" s="122"/>
    </row>
    <row r="32" spans="1:14" ht="20.05" customHeight="1">
      <c r="A32" s="148">
        <v>31</v>
      </c>
      <c r="B32" s="149" t="s">
        <v>50</v>
      </c>
      <c r="C32" s="124" t="s">
        <v>877</v>
      </c>
      <c r="D32" s="123"/>
      <c r="E32" s="123"/>
      <c r="F32" s="123" t="s">
        <v>5508</v>
      </c>
      <c r="G32" s="123" t="s">
        <v>7824</v>
      </c>
      <c r="H32" s="123" t="s">
        <v>7825</v>
      </c>
      <c r="I32" s="123" t="s">
        <v>7826</v>
      </c>
      <c r="J32" s="123"/>
      <c r="K32" s="123" t="s">
        <v>7827</v>
      </c>
      <c r="L32" s="123" t="s">
        <v>7828</v>
      </c>
      <c r="M32" s="123" t="s">
        <v>7829</v>
      </c>
      <c r="N32" s="122" t="s">
        <v>7830</v>
      </c>
    </row>
    <row r="33" spans="1:14" ht="20.05" customHeight="1">
      <c r="A33" s="148">
        <v>32</v>
      </c>
      <c r="B33" s="149" t="s">
        <v>4127</v>
      </c>
      <c r="C33" s="124" t="s">
        <v>7831</v>
      </c>
      <c r="D33" s="123"/>
      <c r="E33" s="123"/>
      <c r="F33" s="123" t="s">
        <v>29</v>
      </c>
      <c r="G33" s="123" t="s">
        <v>7832</v>
      </c>
      <c r="H33" s="123" t="s">
        <v>2176</v>
      </c>
      <c r="I33" s="123" t="s">
        <v>7833</v>
      </c>
      <c r="J33" s="123"/>
      <c r="K33" s="123" t="s">
        <v>7834</v>
      </c>
      <c r="L33" s="123" t="s">
        <v>7835</v>
      </c>
      <c r="M33" s="123"/>
      <c r="N33" s="122" t="s">
        <v>7836</v>
      </c>
    </row>
    <row r="34" spans="1:14" ht="20.05" customHeight="1">
      <c r="A34" s="148">
        <v>33</v>
      </c>
      <c r="B34" s="149" t="s">
        <v>1665</v>
      </c>
      <c r="C34" s="124" t="s">
        <v>6184</v>
      </c>
      <c r="D34" s="123"/>
      <c r="E34" s="123"/>
      <c r="F34" s="123" t="s">
        <v>29</v>
      </c>
      <c r="G34" s="123" t="s">
        <v>7837</v>
      </c>
      <c r="H34" s="123" t="s">
        <v>7838</v>
      </c>
      <c r="I34" s="123" t="s">
        <v>7839</v>
      </c>
      <c r="J34" s="123"/>
      <c r="K34" s="123" t="s">
        <v>7840</v>
      </c>
      <c r="L34" s="123"/>
      <c r="M34" s="123"/>
      <c r="N34" s="122" t="s">
        <v>7841</v>
      </c>
    </row>
    <row r="35" spans="1:14" ht="20.05" customHeight="1">
      <c r="A35" s="148">
        <v>34</v>
      </c>
      <c r="B35" s="149" t="s">
        <v>58</v>
      </c>
      <c r="C35" s="124" t="s">
        <v>4192</v>
      </c>
      <c r="D35" s="123"/>
      <c r="E35" s="123" t="s">
        <v>5862</v>
      </c>
      <c r="F35" s="123" t="s">
        <v>29</v>
      </c>
      <c r="G35" s="123" t="s">
        <v>7842</v>
      </c>
      <c r="H35" s="123" t="s">
        <v>7843</v>
      </c>
      <c r="I35" s="123" t="s">
        <v>7844</v>
      </c>
      <c r="J35" s="123"/>
      <c r="K35" s="123" t="s">
        <v>7845</v>
      </c>
      <c r="L35" s="123" t="s">
        <v>7846</v>
      </c>
      <c r="M35" s="123"/>
      <c r="N35" s="122" t="s">
        <v>7847</v>
      </c>
    </row>
    <row r="36" spans="1:14" ht="20.05" customHeight="1">
      <c r="A36" s="148">
        <v>35</v>
      </c>
      <c r="B36" s="149" t="s">
        <v>26</v>
      </c>
      <c r="C36" s="124" t="s">
        <v>295</v>
      </c>
      <c r="D36" s="123"/>
      <c r="E36" s="123"/>
      <c r="F36" s="123"/>
      <c r="G36" s="123"/>
      <c r="H36" s="123" t="s">
        <v>7848</v>
      </c>
      <c r="I36" s="123" t="s">
        <v>7849</v>
      </c>
      <c r="J36" s="123"/>
      <c r="K36" s="123" t="s">
        <v>7850</v>
      </c>
      <c r="L36" s="123"/>
      <c r="M36" s="123" t="s">
        <v>7851</v>
      </c>
      <c r="N36" s="122"/>
    </row>
    <row r="37" spans="1:14" ht="20.05" customHeight="1">
      <c r="A37" s="148">
        <v>36</v>
      </c>
      <c r="B37" s="149" t="s">
        <v>109</v>
      </c>
      <c r="C37" s="124" t="s">
        <v>4337</v>
      </c>
      <c r="D37" s="123"/>
      <c r="E37" s="123"/>
      <c r="F37" s="123" t="s">
        <v>29</v>
      </c>
      <c r="G37" s="123" t="s">
        <v>7852</v>
      </c>
      <c r="H37" s="123" t="s">
        <v>7853</v>
      </c>
      <c r="I37" s="123" t="s">
        <v>7854</v>
      </c>
      <c r="J37" s="123"/>
      <c r="K37" s="123" t="s">
        <v>7855</v>
      </c>
      <c r="L37" s="123" t="s">
        <v>7856</v>
      </c>
      <c r="M37" s="123"/>
      <c r="N37" s="122"/>
    </row>
    <row r="38" spans="1:14" ht="20.05" customHeight="1">
      <c r="A38" s="148">
        <v>37</v>
      </c>
      <c r="B38" s="149" t="s">
        <v>7857</v>
      </c>
      <c r="C38" s="124"/>
      <c r="D38" s="123"/>
      <c r="E38" s="123"/>
      <c r="F38" s="123" t="s">
        <v>29</v>
      </c>
      <c r="G38" s="123" t="s">
        <v>7858</v>
      </c>
      <c r="H38" s="123" t="s">
        <v>7859</v>
      </c>
      <c r="I38" s="123" t="s">
        <v>7860</v>
      </c>
      <c r="J38" s="123" t="s">
        <v>1931</v>
      </c>
      <c r="K38" s="123" t="s">
        <v>7861</v>
      </c>
      <c r="L38" s="123" t="s">
        <v>7862</v>
      </c>
      <c r="M38" s="123" t="s">
        <v>7863</v>
      </c>
      <c r="N38" s="122" t="s">
        <v>7864</v>
      </c>
    </row>
    <row r="39" spans="1:14" ht="20.05" customHeight="1">
      <c r="A39" s="148">
        <v>38</v>
      </c>
      <c r="B39" s="149" t="s">
        <v>383</v>
      </c>
      <c r="C39" s="124" t="s">
        <v>27</v>
      </c>
      <c r="D39" s="123"/>
      <c r="E39" s="123"/>
      <c r="F39" s="123" t="s">
        <v>29</v>
      </c>
      <c r="G39" s="123" t="s">
        <v>7865</v>
      </c>
      <c r="H39" s="123" t="s">
        <v>7866</v>
      </c>
      <c r="I39" s="123" t="s">
        <v>7867</v>
      </c>
      <c r="J39" s="123" t="s">
        <v>231</v>
      </c>
      <c r="K39" s="123" t="s">
        <v>7868</v>
      </c>
      <c r="L39" s="123" t="s">
        <v>7869</v>
      </c>
      <c r="M39" s="123" t="s">
        <v>7870</v>
      </c>
      <c r="N39" s="122" t="s">
        <v>7871</v>
      </c>
    </row>
    <row r="40" spans="1:14" ht="20.05" customHeight="1">
      <c r="A40" s="148">
        <v>39</v>
      </c>
      <c r="B40" s="149" t="s">
        <v>109</v>
      </c>
      <c r="C40" s="124" t="s">
        <v>110</v>
      </c>
      <c r="D40" s="123"/>
      <c r="E40" s="123"/>
      <c r="F40" s="123" t="s">
        <v>29</v>
      </c>
      <c r="G40" s="123" t="s">
        <v>7872</v>
      </c>
      <c r="H40" s="123" t="s">
        <v>7873</v>
      </c>
      <c r="I40" s="123" t="s">
        <v>7874</v>
      </c>
      <c r="J40" s="123"/>
      <c r="K40" s="123" t="s">
        <v>7875</v>
      </c>
      <c r="L40" s="123" t="s">
        <v>7876</v>
      </c>
      <c r="M40" s="123"/>
      <c r="N40" s="122"/>
    </row>
    <row r="41" spans="1:14" ht="20.05" customHeight="1">
      <c r="A41" s="148">
        <v>40</v>
      </c>
      <c r="B41" s="149" t="s">
        <v>109</v>
      </c>
      <c r="C41" s="124" t="s">
        <v>252</v>
      </c>
      <c r="D41" s="123"/>
      <c r="E41" s="123"/>
      <c r="F41" s="123"/>
      <c r="G41" s="123"/>
      <c r="H41" s="123" t="s">
        <v>7873</v>
      </c>
      <c r="I41" s="125" t="s">
        <v>7877</v>
      </c>
      <c r="J41" s="123" t="s">
        <v>9154</v>
      </c>
      <c r="K41" s="123"/>
      <c r="L41" s="123" t="s">
        <v>7878</v>
      </c>
      <c r="M41" s="123"/>
      <c r="N41" s="122"/>
    </row>
    <row r="42" spans="1:14" ht="20.05" customHeight="1">
      <c r="A42" s="148">
        <v>41</v>
      </c>
      <c r="B42" s="149" t="s">
        <v>935</v>
      </c>
      <c r="C42" s="124" t="s">
        <v>35</v>
      </c>
      <c r="D42" s="123" t="s">
        <v>7879</v>
      </c>
      <c r="E42" s="123" t="s">
        <v>7880</v>
      </c>
      <c r="F42" s="123"/>
      <c r="G42" s="123"/>
      <c r="H42" s="123" t="s">
        <v>7881</v>
      </c>
      <c r="I42" s="123" t="s">
        <v>7882</v>
      </c>
      <c r="J42" s="123"/>
      <c r="K42" s="123" t="s">
        <v>7883</v>
      </c>
      <c r="L42" s="123" t="s">
        <v>7884</v>
      </c>
      <c r="M42" s="123" t="s">
        <v>7885</v>
      </c>
      <c r="N42" s="122"/>
    </row>
    <row r="43" spans="1:14" ht="20.05" customHeight="1">
      <c r="A43" s="148">
        <v>42</v>
      </c>
      <c r="B43" s="149" t="s">
        <v>50</v>
      </c>
      <c r="C43" s="124" t="s">
        <v>1625</v>
      </c>
      <c r="D43" s="123"/>
      <c r="E43" s="123" t="s">
        <v>7886</v>
      </c>
      <c r="F43" s="123" t="s">
        <v>29</v>
      </c>
      <c r="G43" s="123"/>
      <c r="H43" s="123" t="s">
        <v>7887</v>
      </c>
      <c r="I43" s="123" t="s">
        <v>7877</v>
      </c>
      <c r="J43" s="123"/>
      <c r="K43" s="123" t="s">
        <v>7888</v>
      </c>
      <c r="L43" s="123"/>
      <c r="M43" s="123" t="s">
        <v>7889</v>
      </c>
      <c r="N43" s="122"/>
    </row>
    <row r="44" spans="1:14" ht="20.05" customHeight="1">
      <c r="A44" s="148">
        <v>43</v>
      </c>
      <c r="B44" s="149" t="s">
        <v>7763</v>
      </c>
      <c r="C44" s="124" t="s">
        <v>4267</v>
      </c>
      <c r="D44" s="123" t="s">
        <v>465</v>
      </c>
      <c r="E44" s="123" t="s">
        <v>7890</v>
      </c>
      <c r="F44" s="123" t="s">
        <v>29</v>
      </c>
      <c r="G44" s="123" t="s">
        <v>7891</v>
      </c>
      <c r="H44" s="123" t="s">
        <v>7873</v>
      </c>
      <c r="I44" s="123" t="s">
        <v>7892</v>
      </c>
      <c r="J44" s="123"/>
      <c r="K44" s="123" t="s">
        <v>7893</v>
      </c>
      <c r="L44" s="123" t="s">
        <v>7894</v>
      </c>
      <c r="M44" s="123" t="s">
        <v>7895</v>
      </c>
      <c r="N44" s="122"/>
    </row>
    <row r="45" spans="1:14" ht="20.05" customHeight="1">
      <c r="A45" s="148">
        <v>44</v>
      </c>
      <c r="B45" s="149" t="s">
        <v>73</v>
      </c>
      <c r="C45" s="124" t="s">
        <v>378</v>
      </c>
      <c r="D45" s="123"/>
      <c r="E45" s="123"/>
      <c r="F45" s="123" t="s">
        <v>29</v>
      </c>
      <c r="G45" s="123" t="s">
        <v>7896</v>
      </c>
      <c r="H45" s="123" t="s">
        <v>7897</v>
      </c>
      <c r="I45" s="123" t="s">
        <v>7757</v>
      </c>
      <c r="J45" s="123"/>
      <c r="K45" s="123" t="s">
        <v>7898</v>
      </c>
      <c r="L45" s="123" t="s">
        <v>7899</v>
      </c>
      <c r="M45" s="123"/>
      <c r="N45" s="122"/>
    </row>
    <row r="46" spans="1:14" ht="20.05" customHeight="1">
      <c r="A46" s="148">
        <v>45</v>
      </c>
      <c r="B46" s="149" t="s">
        <v>2190</v>
      </c>
      <c r="C46" s="124" t="s">
        <v>6235</v>
      </c>
      <c r="D46" s="123"/>
      <c r="E46" s="123" t="s">
        <v>7900</v>
      </c>
      <c r="F46" s="123" t="s">
        <v>29</v>
      </c>
      <c r="G46" s="123"/>
      <c r="H46" s="123" t="s">
        <v>7901</v>
      </c>
      <c r="I46" s="126">
        <v>45831</v>
      </c>
      <c r="J46" s="123" t="s">
        <v>7902</v>
      </c>
      <c r="K46" s="123" t="s">
        <v>7903</v>
      </c>
      <c r="L46" s="123"/>
      <c r="M46" s="123" t="s">
        <v>7904</v>
      </c>
      <c r="N46" s="122"/>
    </row>
    <row r="47" spans="1:14" ht="20.05" customHeight="1">
      <c r="A47" s="148">
        <v>46</v>
      </c>
      <c r="B47" s="149" t="s">
        <v>383</v>
      </c>
      <c r="C47" s="124" t="s">
        <v>390</v>
      </c>
      <c r="D47" s="123"/>
      <c r="E47" s="123"/>
      <c r="F47" s="123" t="s">
        <v>29</v>
      </c>
      <c r="G47" s="123" t="s">
        <v>7905</v>
      </c>
      <c r="H47" s="123" t="s">
        <v>7859</v>
      </c>
      <c r="I47" s="123" t="s">
        <v>7906</v>
      </c>
      <c r="J47" s="123" t="s">
        <v>2838</v>
      </c>
      <c r="K47" s="123" t="s">
        <v>7907</v>
      </c>
      <c r="L47" s="123" t="s">
        <v>7908</v>
      </c>
      <c r="M47" s="123" t="s">
        <v>7909</v>
      </c>
      <c r="N47" s="122"/>
    </row>
    <row r="48" spans="1:14" ht="20.05" customHeight="1">
      <c r="A48" s="148">
        <v>47</v>
      </c>
      <c r="B48" s="149" t="s">
        <v>7910</v>
      </c>
      <c r="C48" s="124"/>
      <c r="D48" s="123"/>
      <c r="E48" s="123" t="s">
        <v>7911</v>
      </c>
      <c r="F48" s="123" t="s">
        <v>29</v>
      </c>
      <c r="G48" s="123" t="s">
        <v>7912</v>
      </c>
      <c r="H48" s="123" t="s">
        <v>7913</v>
      </c>
      <c r="I48" s="123" t="s">
        <v>7914</v>
      </c>
      <c r="J48" s="123"/>
      <c r="K48" s="123" t="s">
        <v>7915</v>
      </c>
      <c r="L48" s="123" t="s">
        <v>7916</v>
      </c>
      <c r="M48" s="123"/>
      <c r="N48" s="122"/>
    </row>
    <row r="49" spans="1:14" ht="20.05" customHeight="1">
      <c r="A49" s="148">
        <v>48</v>
      </c>
      <c r="B49" s="149" t="s">
        <v>383</v>
      </c>
      <c r="C49" s="124" t="s">
        <v>27</v>
      </c>
      <c r="D49" s="123"/>
      <c r="E49" s="123"/>
      <c r="F49" s="123"/>
      <c r="G49" s="123"/>
      <c r="H49" s="123" t="s">
        <v>7866</v>
      </c>
      <c r="I49" s="123" t="s">
        <v>7867</v>
      </c>
      <c r="J49" s="123" t="s">
        <v>231</v>
      </c>
      <c r="K49" s="127" t="s">
        <v>7917</v>
      </c>
      <c r="L49" s="123"/>
      <c r="M49" s="123"/>
      <c r="N49" s="122"/>
    </row>
    <row r="50" spans="1:14" ht="20.05" customHeight="1">
      <c r="A50" s="148">
        <v>49</v>
      </c>
      <c r="B50" s="149" t="s">
        <v>7918</v>
      </c>
      <c r="C50" s="124" t="s">
        <v>7919</v>
      </c>
      <c r="D50" s="123"/>
      <c r="E50" s="123" t="s">
        <v>7920</v>
      </c>
      <c r="F50" s="123" t="s">
        <v>7921</v>
      </c>
      <c r="G50" s="123" t="s">
        <v>7922</v>
      </c>
      <c r="H50" s="123" t="s">
        <v>7917</v>
      </c>
      <c r="I50" s="123" t="s">
        <v>7814</v>
      </c>
      <c r="J50" s="123"/>
      <c r="K50" s="123" t="s">
        <v>7923</v>
      </c>
      <c r="L50" s="123"/>
      <c r="M50" s="123"/>
      <c r="N50" s="122"/>
    </row>
    <row r="51" spans="1:14" ht="20.05" customHeight="1">
      <c r="A51" s="148">
        <v>50</v>
      </c>
      <c r="B51" s="149" t="s">
        <v>156</v>
      </c>
      <c r="C51" s="124" t="s">
        <v>7924</v>
      </c>
      <c r="D51" s="123"/>
      <c r="E51" s="123"/>
      <c r="F51" s="123" t="s">
        <v>7925</v>
      </c>
      <c r="G51" s="123"/>
      <c r="H51" s="123"/>
      <c r="I51" s="123" t="s">
        <v>7926</v>
      </c>
      <c r="J51" s="123"/>
      <c r="K51" s="123"/>
      <c r="L51" s="123"/>
      <c r="M51" s="123"/>
      <c r="N51" s="122"/>
    </row>
    <row r="52" spans="1:14" ht="20.05" customHeight="1">
      <c r="A52" s="148">
        <v>51</v>
      </c>
      <c r="B52" s="149" t="s">
        <v>73</v>
      </c>
      <c r="C52" s="124" t="s">
        <v>35</v>
      </c>
      <c r="D52" s="123"/>
      <c r="E52" s="123"/>
      <c r="F52" s="123" t="s">
        <v>29</v>
      </c>
      <c r="G52" s="123" t="s">
        <v>7927</v>
      </c>
      <c r="H52" s="123" t="s">
        <v>7928</v>
      </c>
      <c r="I52" s="123" t="s">
        <v>7794</v>
      </c>
      <c r="J52" s="123"/>
      <c r="K52" s="123" t="s">
        <v>7929</v>
      </c>
      <c r="L52" s="123" t="s">
        <v>7930</v>
      </c>
      <c r="M52" s="123" t="s">
        <v>7931</v>
      </c>
      <c r="N52" s="122"/>
    </row>
    <row r="53" spans="1:14" ht="20.05" customHeight="1">
      <c r="A53" s="148">
        <v>52</v>
      </c>
      <c r="B53" s="149" t="s">
        <v>109</v>
      </c>
      <c r="C53" s="124" t="s">
        <v>7932</v>
      </c>
      <c r="D53" s="123"/>
      <c r="E53" s="123"/>
      <c r="F53" s="123" t="s">
        <v>7925</v>
      </c>
      <c r="G53" s="123"/>
      <c r="H53" s="123"/>
      <c r="I53" s="123" t="s">
        <v>7933</v>
      </c>
      <c r="J53" s="123"/>
      <c r="K53" s="123"/>
      <c r="L53" s="123"/>
      <c r="M53" s="123"/>
      <c r="N53" s="122"/>
    </row>
    <row r="54" spans="1:14" ht="20.05" customHeight="1">
      <c r="A54" s="148">
        <v>53</v>
      </c>
      <c r="B54" s="149" t="s">
        <v>58</v>
      </c>
      <c r="C54" s="124" t="s">
        <v>116</v>
      </c>
      <c r="D54" s="123" t="s">
        <v>43</v>
      </c>
      <c r="E54" s="123" t="s">
        <v>7934</v>
      </c>
      <c r="F54" s="123" t="s">
        <v>29</v>
      </c>
      <c r="G54" s="128" t="s">
        <v>7935</v>
      </c>
      <c r="H54" s="123" t="s">
        <v>7936</v>
      </c>
      <c r="I54" s="123" t="s">
        <v>138</v>
      </c>
      <c r="J54" s="123" t="s">
        <v>43</v>
      </c>
      <c r="K54" s="123" t="s">
        <v>7937</v>
      </c>
      <c r="L54" s="123" t="s">
        <v>43</v>
      </c>
      <c r="M54" s="123" t="s">
        <v>43</v>
      </c>
      <c r="N54" s="122"/>
    </row>
    <row r="55" spans="1:14" ht="20.05" customHeight="1">
      <c r="A55" s="148">
        <v>54</v>
      </c>
      <c r="B55" s="149" t="s">
        <v>318</v>
      </c>
      <c r="C55" s="124" t="s">
        <v>35</v>
      </c>
      <c r="D55" s="123" t="s">
        <v>43</v>
      </c>
      <c r="E55" s="123" t="s">
        <v>7938</v>
      </c>
      <c r="F55" s="123" t="s">
        <v>29</v>
      </c>
      <c r="G55" s="123" t="s">
        <v>43</v>
      </c>
      <c r="H55" s="123" t="s">
        <v>7939</v>
      </c>
      <c r="I55" s="123" t="s">
        <v>7940</v>
      </c>
      <c r="J55" s="123" t="s">
        <v>43</v>
      </c>
      <c r="K55" s="123" t="s">
        <v>43</v>
      </c>
      <c r="L55" s="123" t="s">
        <v>7941</v>
      </c>
      <c r="M55" s="123" t="s">
        <v>43</v>
      </c>
      <c r="N55" s="122"/>
    </row>
    <row r="56" spans="1:14" ht="20.05" customHeight="1">
      <c r="A56" s="148">
        <v>55</v>
      </c>
      <c r="B56" s="149" t="s">
        <v>7942</v>
      </c>
      <c r="C56" s="124" t="s">
        <v>4668</v>
      </c>
      <c r="D56" s="123" t="s">
        <v>43</v>
      </c>
      <c r="E56" s="123" t="s">
        <v>43</v>
      </c>
      <c r="F56" s="123" t="s">
        <v>43</v>
      </c>
      <c r="G56" s="123" t="s">
        <v>43</v>
      </c>
      <c r="H56" s="123" t="s">
        <v>7943</v>
      </c>
      <c r="I56" s="123" t="s">
        <v>43</v>
      </c>
      <c r="J56" s="123" t="s">
        <v>43</v>
      </c>
      <c r="K56" s="123" t="s">
        <v>43</v>
      </c>
      <c r="L56" s="123" t="s">
        <v>43</v>
      </c>
      <c r="M56" s="123" t="s">
        <v>43</v>
      </c>
      <c r="N56" s="122"/>
    </row>
    <row r="57" spans="1:14" ht="20.05" customHeight="1">
      <c r="A57" s="148">
        <v>56</v>
      </c>
      <c r="B57" s="149" t="s">
        <v>50</v>
      </c>
      <c r="C57" s="124" t="s">
        <v>663</v>
      </c>
      <c r="D57" s="123" t="s">
        <v>43</v>
      </c>
      <c r="E57" s="123" t="s">
        <v>7944</v>
      </c>
      <c r="F57" s="123" t="s">
        <v>43</v>
      </c>
      <c r="G57" s="123" t="s">
        <v>43</v>
      </c>
      <c r="H57" s="123" t="s">
        <v>7945</v>
      </c>
      <c r="I57" s="123" t="s">
        <v>43</v>
      </c>
      <c r="J57" s="123" t="s">
        <v>43</v>
      </c>
      <c r="K57" s="123" t="s">
        <v>7946</v>
      </c>
      <c r="L57" s="123" t="s">
        <v>43</v>
      </c>
      <c r="M57" s="123" t="s">
        <v>43</v>
      </c>
      <c r="N57" s="122"/>
    </row>
    <row r="58" spans="1:14" ht="20.05" customHeight="1">
      <c r="A58" s="148">
        <v>57</v>
      </c>
      <c r="B58" s="149" t="s">
        <v>383</v>
      </c>
      <c r="C58" s="124" t="s">
        <v>74</v>
      </c>
      <c r="D58" s="123" t="s">
        <v>43</v>
      </c>
      <c r="E58" s="123" t="s">
        <v>43</v>
      </c>
      <c r="F58" s="123" t="s">
        <v>43</v>
      </c>
      <c r="G58" s="123" t="s">
        <v>43</v>
      </c>
      <c r="H58" s="123" t="s">
        <v>7947</v>
      </c>
      <c r="I58" s="123" t="s">
        <v>7948</v>
      </c>
      <c r="J58" s="123" t="s">
        <v>43</v>
      </c>
      <c r="K58" s="128" t="s">
        <v>7949</v>
      </c>
      <c r="L58" s="128" t="s">
        <v>7950</v>
      </c>
      <c r="M58" s="123" t="s">
        <v>7740</v>
      </c>
      <c r="N58" s="122"/>
    </row>
    <row r="59" spans="1:14" ht="20.05" customHeight="1">
      <c r="A59" s="148">
        <v>58</v>
      </c>
      <c r="B59" s="149" t="s">
        <v>7951</v>
      </c>
      <c r="C59" s="124" t="s">
        <v>7952</v>
      </c>
      <c r="D59" s="123" t="s">
        <v>7953</v>
      </c>
      <c r="E59" s="123" t="s">
        <v>7954</v>
      </c>
      <c r="F59" s="123" t="s">
        <v>29</v>
      </c>
      <c r="G59" s="123" t="s">
        <v>43</v>
      </c>
      <c r="H59" s="123" t="s">
        <v>7955</v>
      </c>
      <c r="I59" s="123" t="s">
        <v>43</v>
      </c>
      <c r="J59" s="123" t="s">
        <v>43</v>
      </c>
      <c r="K59" s="128" t="s">
        <v>7956</v>
      </c>
      <c r="L59" s="123" t="s">
        <v>7957</v>
      </c>
      <c r="M59" s="123" t="s">
        <v>7740</v>
      </c>
      <c r="N59" s="122"/>
    </row>
    <row r="60" spans="1:14" ht="20.05" customHeight="1">
      <c r="A60" s="148">
        <v>59</v>
      </c>
      <c r="B60" s="149" t="s">
        <v>7958</v>
      </c>
      <c r="C60" s="124" t="s">
        <v>7959</v>
      </c>
      <c r="D60" s="123" t="s">
        <v>7960</v>
      </c>
      <c r="E60" s="123" t="s">
        <v>7961</v>
      </c>
      <c r="F60" s="123" t="s">
        <v>29</v>
      </c>
      <c r="G60" s="129" t="s">
        <v>7962</v>
      </c>
      <c r="H60" s="123" t="s">
        <v>7963</v>
      </c>
      <c r="I60" s="123" t="s">
        <v>7964</v>
      </c>
      <c r="J60" s="123" t="s">
        <v>7965</v>
      </c>
      <c r="K60" s="128" t="s">
        <v>7966</v>
      </c>
      <c r="L60" s="123" t="s">
        <v>7967</v>
      </c>
      <c r="M60" s="123" t="s">
        <v>43</v>
      </c>
      <c r="N60" s="122"/>
    </row>
    <row r="61" spans="1:14" ht="20.05" customHeight="1">
      <c r="A61" s="148">
        <v>60</v>
      </c>
      <c r="B61" s="149" t="s">
        <v>58</v>
      </c>
      <c r="C61" s="124" t="s">
        <v>7968</v>
      </c>
      <c r="D61" s="123" t="s">
        <v>43</v>
      </c>
      <c r="E61" s="123" t="s">
        <v>43</v>
      </c>
      <c r="F61" s="123" t="s">
        <v>29</v>
      </c>
      <c r="G61" s="123" t="s">
        <v>43</v>
      </c>
      <c r="H61" s="123" t="s">
        <v>7969</v>
      </c>
      <c r="I61" s="123" t="s">
        <v>7970</v>
      </c>
      <c r="J61" s="123">
        <v>40</v>
      </c>
      <c r="K61" s="128" t="s">
        <v>7971</v>
      </c>
      <c r="L61" s="128" t="s">
        <v>7972</v>
      </c>
      <c r="M61" s="123" t="s">
        <v>43</v>
      </c>
      <c r="N61" s="122"/>
    </row>
    <row r="62" spans="1:14" ht="20.05" customHeight="1">
      <c r="A62" s="148">
        <v>61</v>
      </c>
      <c r="B62" s="149" t="s">
        <v>58</v>
      </c>
      <c r="C62" s="124" t="s">
        <v>4668</v>
      </c>
      <c r="D62" s="123" t="s">
        <v>43</v>
      </c>
      <c r="E62" s="123" t="s">
        <v>7973</v>
      </c>
      <c r="F62" s="123" t="s">
        <v>29</v>
      </c>
      <c r="G62" s="128" t="s">
        <v>7974</v>
      </c>
      <c r="H62" s="123" t="s">
        <v>7975</v>
      </c>
      <c r="I62" s="123" t="s">
        <v>7976</v>
      </c>
      <c r="J62" s="123" t="s">
        <v>43</v>
      </c>
      <c r="K62" s="128" t="s">
        <v>7977</v>
      </c>
      <c r="L62" s="123" t="s">
        <v>6145</v>
      </c>
      <c r="M62" s="123" t="s">
        <v>43</v>
      </c>
      <c r="N62" s="122"/>
    </row>
    <row r="63" spans="1:14" ht="20.05" customHeight="1">
      <c r="A63" s="148">
        <v>62</v>
      </c>
      <c r="B63" s="149" t="s">
        <v>287</v>
      </c>
      <c r="C63" s="124" t="s">
        <v>7978</v>
      </c>
      <c r="D63" s="123" t="s">
        <v>43</v>
      </c>
      <c r="E63" s="123" t="s">
        <v>43</v>
      </c>
      <c r="F63" s="123" t="s">
        <v>29</v>
      </c>
      <c r="G63" s="123" t="s">
        <v>43</v>
      </c>
      <c r="H63" s="123" t="s">
        <v>7979</v>
      </c>
      <c r="I63" s="123" t="s">
        <v>7979</v>
      </c>
      <c r="J63" s="123" t="s">
        <v>43</v>
      </c>
      <c r="K63" s="123" t="s">
        <v>43</v>
      </c>
      <c r="L63" s="123" t="s">
        <v>43</v>
      </c>
      <c r="M63" s="123" t="s">
        <v>7980</v>
      </c>
      <c r="N63" s="122"/>
    </row>
    <row r="64" spans="1:14" ht="20.05" customHeight="1">
      <c r="A64" s="148">
        <v>63</v>
      </c>
      <c r="B64" s="149" t="s">
        <v>2190</v>
      </c>
      <c r="C64" s="124" t="s">
        <v>7981</v>
      </c>
      <c r="D64" s="123" t="s">
        <v>43</v>
      </c>
      <c r="E64" s="123" t="s">
        <v>7982</v>
      </c>
      <c r="F64" s="123" t="s">
        <v>29</v>
      </c>
      <c r="G64" s="123" t="s">
        <v>43</v>
      </c>
      <c r="H64" s="123" t="s">
        <v>7983</v>
      </c>
      <c r="I64" s="123"/>
      <c r="J64" s="123">
        <v>30</v>
      </c>
      <c r="K64" s="123" t="s">
        <v>7984</v>
      </c>
      <c r="L64" s="123" t="s">
        <v>7985</v>
      </c>
      <c r="M64" s="123" t="s">
        <v>43</v>
      </c>
      <c r="N64" s="122"/>
    </row>
    <row r="65" spans="1:14" ht="20.05" customHeight="1">
      <c r="A65" s="148">
        <v>64</v>
      </c>
      <c r="B65" s="149" t="s">
        <v>4781</v>
      </c>
      <c r="C65" s="124" t="s">
        <v>43</v>
      </c>
      <c r="D65" s="123" t="s">
        <v>43</v>
      </c>
      <c r="E65" s="123" t="s">
        <v>43</v>
      </c>
      <c r="F65" s="123" t="s">
        <v>29</v>
      </c>
      <c r="G65" s="123" t="s">
        <v>43</v>
      </c>
      <c r="H65" s="123" t="s">
        <v>7986</v>
      </c>
      <c r="I65" s="123" t="s">
        <v>43</v>
      </c>
      <c r="J65" s="123">
        <v>300</v>
      </c>
      <c r="K65" s="123" t="s">
        <v>43</v>
      </c>
      <c r="L65" s="123" t="s">
        <v>43</v>
      </c>
      <c r="M65" s="123" t="s">
        <v>43</v>
      </c>
      <c r="N65" s="122"/>
    </row>
    <row r="66" spans="1:14" ht="20.05" customHeight="1">
      <c r="A66" s="148">
        <v>65</v>
      </c>
      <c r="B66" s="149" t="s">
        <v>7987</v>
      </c>
      <c r="C66" s="124" t="s">
        <v>35</v>
      </c>
      <c r="D66" s="123" t="s">
        <v>43</v>
      </c>
      <c r="E66" s="123" t="s">
        <v>43</v>
      </c>
      <c r="F66" s="123" t="s">
        <v>29</v>
      </c>
      <c r="G66" s="123" t="s">
        <v>43</v>
      </c>
      <c r="H66" s="123" t="s">
        <v>7988</v>
      </c>
      <c r="I66" s="123" t="s">
        <v>7989</v>
      </c>
      <c r="J66" s="123">
        <v>70</v>
      </c>
      <c r="K66" s="128" t="s">
        <v>7990</v>
      </c>
      <c r="L66" s="123" t="s">
        <v>43</v>
      </c>
      <c r="M66" s="123" t="s">
        <v>43</v>
      </c>
      <c r="N66" s="122"/>
    </row>
    <row r="67" spans="1:14" ht="20.05" customHeight="1">
      <c r="A67" s="148">
        <v>66</v>
      </c>
      <c r="B67" s="149" t="s">
        <v>58</v>
      </c>
      <c r="C67" s="124" t="s">
        <v>74</v>
      </c>
      <c r="D67" s="123" t="s">
        <v>43</v>
      </c>
      <c r="E67" s="123" t="s">
        <v>43</v>
      </c>
      <c r="F67" s="123" t="s">
        <v>29</v>
      </c>
      <c r="G67" s="123" t="s">
        <v>43</v>
      </c>
      <c r="H67" s="123" t="s">
        <v>7991</v>
      </c>
      <c r="I67" s="123" t="s">
        <v>7992</v>
      </c>
      <c r="J67" s="123"/>
      <c r="K67" s="128" t="s">
        <v>7993</v>
      </c>
      <c r="L67" s="123" t="s">
        <v>43</v>
      </c>
      <c r="M67" s="123" t="s">
        <v>43</v>
      </c>
      <c r="N67" s="122"/>
    </row>
    <row r="68" spans="1:14" ht="20.05" customHeight="1">
      <c r="A68" s="148">
        <v>67</v>
      </c>
      <c r="B68" s="149" t="s">
        <v>333</v>
      </c>
      <c r="C68" s="124" t="s">
        <v>429</v>
      </c>
      <c r="D68" s="123" t="s">
        <v>7994</v>
      </c>
      <c r="E68" s="123" t="s">
        <v>43</v>
      </c>
      <c r="F68" s="123" t="s">
        <v>29</v>
      </c>
      <c r="G68" s="128" t="s">
        <v>7995</v>
      </c>
      <c r="H68" s="123" t="s">
        <v>7996</v>
      </c>
      <c r="I68" s="123" t="s">
        <v>7997</v>
      </c>
      <c r="J68" s="123" t="s">
        <v>43</v>
      </c>
      <c r="K68" s="128" t="s">
        <v>7998</v>
      </c>
      <c r="L68" s="123" t="s">
        <v>7999</v>
      </c>
      <c r="M68" s="123" t="s">
        <v>43</v>
      </c>
      <c r="N68" s="122"/>
    </row>
    <row r="69" spans="1:14" ht="20.05" customHeight="1">
      <c r="A69" s="148">
        <v>68</v>
      </c>
      <c r="B69" s="149" t="s">
        <v>653</v>
      </c>
      <c r="C69" s="124" t="s">
        <v>654</v>
      </c>
      <c r="D69" s="123" t="s">
        <v>8000</v>
      </c>
      <c r="E69" s="123"/>
      <c r="F69" s="123" t="s">
        <v>29</v>
      </c>
      <c r="G69" s="123"/>
      <c r="H69" s="123" t="s">
        <v>8001</v>
      </c>
      <c r="I69" s="123" t="s">
        <v>8002</v>
      </c>
      <c r="J69" s="123" t="s">
        <v>43</v>
      </c>
      <c r="K69" s="128" t="s">
        <v>8003</v>
      </c>
      <c r="L69" s="123" t="s">
        <v>7985</v>
      </c>
      <c r="M69" s="123" t="s">
        <v>43</v>
      </c>
      <c r="N69" s="122"/>
    </row>
    <row r="70" spans="1:14" ht="20.05" customHeight="1">
      <c r="A70" s="148">
        <v>69</v>
      </c>
      <c r="B70" s="149" t="s">
        <v>653</v>
      </c>
      <c r="C70" s="124" t="s">
        <v>27</v>
      </c>
      <c r="D70" s="123" t="s">
        <v>8004</v>
      </c>
      <c r="E70" s="123" t="s">
        <v>8005</v>
      </c>
      <c r="F70" s="123" t="s">
        <v>29</v>
      </c>
      <c r="G70" s="128" t="s">
        <v>8006</v>
      </c>
      <c r="H70" s="123" t="s">
        <v>8007</v>
      </c>
      <c r="I70" s="123" t="s">
        <v>8008</v>
      </c>
      <c r="J70" s="123" t="s">
        <v>43</v>
      </c>
      <c r="K70" s="128" t="s">
        <v>8009</v>
      </c>
      <c r="L70" s="123" t="s">
        <v>7985</v>
      </c>
      <c r="M70" s="123" t="s">
        <v>43</v>
      </c>
      <c r="N70" s="122"/>
    </row>
    <row r="71" spans="1:14" ht="20.05" customHeight="1">
      <c r="A71" s="148">
        <v>70</v>
      </c>
      <c r="B71" s="149" t="s">
        <v>1667</v>
      </c>
      <c r="C71" s="124" t="s">
        <v>116</v>
      </c>
      <c r="D71" s="123" t="s">
        <v>43</v>
      </c>
      <c r="E71" s="123" t="s">
        <v>43</v>
      </c>
      <c r="F71" s="123" t="s">
        <v>29</v>
      </c>
      <c r="G71" s="123" t="s">
        <v>8010</v>
      </c>
      <c r="H71" s="123" t="s">
        <v>8011</v>
      </c>
      <c r="I71" s="123" t="s">
        <v>8012</v>
      </c>
      <c r="J71" s="123" t="s">
        <v>43</v>
      </c>
      <c r="K71" s="128" t="s">
        <v>8013</v>
      </c>
      <c r="L71" s="123" t="s">
        <v>8014</v>
      </c>
      <c r="M71" s="123" t="s">
        <v>43</v>
      </c>
      <c r="N71" s="122"/>
    </row>
    <row r="72" spans="1:14" ht="20.05" customHeight="1">
      <c r="A72" s="148">
        <v>71</v>
      </c>
      <c r="B72" s="149" t="s">
        <v>58</v>
      </c>
      <c r="C72" s="124" t="s">
        <v>758</v>
      </c>
      <c r="D72" s="123" t="s">
        <v>43</v>
      </c>
      <c r="E72" s="123" t="s">
        <v>43</v>
      </c>
      <c r="F72" s="123" t="s">
        <v>29</v>
      </c>
      <c r="G72" s="123" t="s">
        <v>8015</v>
      </c>
      <c r="H72" s="123" t="s">
        <v>8016</v>
      </c>
      <c r="I72" s="123" t="s">
        <v>7997</v>
      </c>
      <c r="J72" s="123" t="s">
        <v>43</v>
      </c>
      <c r="K72" s="123" t="s">
        <v>8017</v>
      </c>
      <c r="L72" s="123" t="s">
        <v>8018</v>
      </c>
      <c r="M72" s="123" t="s">
        <v>43</v>
      </c>
      <c r="N72" s="122"/>
    </row>
    <row r="73" spans="1:14" ht="20.05" customHeight="1">
      <c r="A73" s="148">
        <v>72</v>
      </c>
      <c r="B73" s="149" t="s">
        <v>50</v>
      </c>
      <c r="C73" s="124" t="s">
        <v>8019</v>
      </c>
      <c r="D73" s="123" t="s">
        <v>43</v>
      </c>
      <c r="E73" s="123" t="s">
        <v>43</v>
      </c>
      <c r="F73" s="123" t="s">
        <v>1562</v>
      </c>
      <c r="G73" s="123" t="s">
        <v>43</v>
      </c>
      <c r="H73" s="123" t="s">
        <v>8020</v>
      </c>
      <c r="I73" s="123" t="s">
        <v>43</v>
      </c>
      <c r="J73" s="123">
        <v>50</v>
      </c>
      <c r="K73" s="123" t="s">
        <v>8017</v>
      </c>
      <c r="L73" s="123" t="s">
        <v>43</v>
      </c>
      <c r="M73" s="123" t="s">
        <v>43</v>
      </c>
      <c r="N73" s="122"/>
    </row>
    <row r="74" spans="1:14" ht="20.05" customHeight="1">
      <c r="A74" s="148">
        <v>73</v>
      </c>
      <c r="B74" s="149" t="s">
        <v>935</v>
      </c>
      <c r="C74" s="124" t="s">
        <v>74</v>
      </c>
      <c r="D74" s="123" t="s">
        <v>8021</v>
      </c>
      <c r="E74" s="123" t="s">
        <v>5008</v>
      </c>
      <c r="F74" s="123" t="s">
        <v>29</v>
      </c>
      <c r="G74" s="123" t="s">
        <v>43</v>
      </c>
      <c r="H74" s="123" t="s">
        <v>8022</v>
      </c>
      <c r="I74" s="123" t="s">
        <v>8023</v>
      </c>
      <c r="J74" s="123">
        <v>30</v>
      </c>
      <c r="K74" s="128" t="s">
        <v>8024</v>
      </c>
      <c r="L74" s="123" t="s">
        <v>8025</v>
      </c>
      <c r="M74" s="123"/>
      <c r="N74" s="122"/>
    </row>
    <row r="75" spans="1:14" ht="20.05" customHeight="1">
      <c r="A75" s="148">
        <v>74</v>
      </c>
      <c r="B75" s="149" t="s">
        <v>287</v>
      </c>
      <c r="C75" s="124" t="s">
        <v>116</v>
      </c>
      <c r="D75" s="123" t="s">
        <v>8026</v>
      </c>
      <c r="E75" s="123" t="s">
        <v>8027</v>
      </c>
      <c r="F75" s="123"/>
      <c r="G75" s="123"/>
      <c r="H75" s="123" t="s">
        <v>8028</v>
      </c>
      <c r="I75" s="123" t="s">
        <v>43</v>
      </c>
      <c r="J75" s="123" t="s">
        <v>43</v>
      </c>
      <c r="K75" s="128" t="s">
        <v>8029</v>
      </c>
      <c r="L75" s="123" t="s">
        <v>43</v>
      </c>
      <c r="M75" s="123" t="s">
        <v>7740</v>
      </c>
      <c r="N75" s="122"/>
    </row>
    <row r="76" spans="1:14" ht="20.05" customHeight="1">
      <c r="A76" s="148">
        <v>75</v>
      </c>
      <c r="B76" s="149" t="s">
        <v>333</v>
      </c>
      <c r="C76" s="124" t="s">
        <v>478</v>
      </c>
      <c r="D76" s="123" t="s">
        <v>8030</v>
      </c>
      <c r="E76" s="123" t="s">
        <v>43</v>
      </c>
      <c r="F76" s="123" t="s">
        <v>29</v>
      </c>
      <c r="G76" s="123" t="e" vm="1">
        <f ca="1">_xlfn.DISPIMG("ID_6163D35112E64B28B73292B337DD318A",1)</f>
        <v>#NAME?</v>
      </c>
      <c r="H76" s="123" t="s">
        <v>8031</v>
      </c>
      <c r="I76" s="123" t="s">
        <v>8032</v>
      </c>
      <c r="J76" s="123" t="s">
        <v>7902</v>
      </c>
      <c r="K76" s="128" t="s">
        <v>8033</v>
      </c>
      <c r="L76" s="123" t="s">
        <v>8034</v>
      </c>
      <c r="M76" s="123" t="s">
        <v>43</v>
      </c>
      <c r="N76" s="122"/>
    </row>
    <row r="77" spans="1:14" ht="20.05" customHeight="1">
      <c r="A77" s="148">
        <v>76</v>
      </c>
      <c r="B77" s="149" t="s">
        <v>287</v>
      </c>
      <c r="C77" s="124" t="s">
        <v>295</v>
      </c>
      <c r="D77" s="123" t="s">
        <v>43</v>
      </c>
      <c r="E77" s="123" t="s">
        <v>8035</v>
      </c>
      <c r="F77" s="123" t="s">
        <v>29</v>
      </c>
      <c r="G77" s="123" t="s">
        <v>43</v>
      </c>
      <c r="H77" s="123" t="s">
        <v>8036</v>
      </c>
      <c r="I77" s="123" t="s">
        <v>8037</v>
      </c>
      <c r="J77" s="123" t="s">
        <v>43</v>
      </c>
      <c r="K77" s="128" t="s">
        <v>8038</v>
      </c>
      <c r="L77" s="123" t="s">
        <v>8039</v>
      </c>
      <c r="M77" s="123" t="s">
        <v>8040</v>
      </c>
      <c r="N77" s="122"/>
    </row>
    <row r="78" spans="1:14" ht="20.05" customHeight="1">
      <c r="A78" s="148">
        <v>77</v>
      </c>
      <c r="B78" s="149" t="s">
        <v>50</v>
      </c>
      <c r="C78" s="124" t="s">
        <v>1647</v>
      </c>
      <c r="D78" s="123" t="s">
        <v>43</v>
      </c>
      <c r="E78" s="123" t="s">
        <v>8041</v>
      </c>
      <c r="F78" s="123" t="s">
        <v>720</v>
      </c>
      <c r="G78" s="123" t="s">
        <v>43</v>
      </c>
      <c r="H78" s="123" t="s">
        <v>8042</v>
      </c>
      <c r="I78" s="123" t="s">
        <v>368</v>
      </c>
      <c r="J78" s="123" t="s">
        <v>43</v>
      </c>
      <c r="K78" s="128" t="s">
        <v>8043</v>
      </c>
      <c r="L78" s="123" t="s">
        <v>43</v>
      </c>
      <c r="M78" s="123" t="s">
        <v>43</v>
      </c>
      <c r="N78" s="122"/>
    </row>
    <row r="79" spans="1:14" ht="20.05" customHeight="1">
      <c r="A79" s="148">
        <v>78</v>
      </c>
      <c r="B79" s="149" t="s">
        <v>287</v>
      </c>
      <c r="C79" s="124" t="s">
        <v>8044</v>
      </c>
      <c r="D79" s="123" t="s">
        <v>43</v>
      </c>
      <c r="E79" s="123" t="s">
        <v>43</v>
      </c>
      <c r="F79" s="123" t="s">
        <v>88</v>
      </c>
      <c r="G79" s="123" t="e" vm="1">
        <f ca="1">_xlfn.DISPIMG("ID_217BF8252C4A44B982FCEEF124DD99C0",1)</f>
        <v>#NAME?</v>
      </c>
      <c r="H79" s="123" t="s">
        <v>8045</v>
      </c>
      <c r="I79" s="123" t="s">
        <v>368</v>
      </c>
      <c r="J79" s="123" t="s">
        <v>43</v>
      </c>
      <c r="K79" s="123" t="s">
        <v>43</v>
      </c>
      <c r="L79" s="123" t="s">
        <v>43</v>
      </c>
      <c r="M79" s="123" t="s">
        <v>43</v>
      </c>
      <c r="N79" s="122"/>
    </row>
    <row r="80" spans="1:14" ht="20.05" customHeight="1">
      <c r="A80" s="148">
        <v>79</v>
      </c>
      <c r="B80" s="149" t="s">
        <v>287</v>
      </c>
      <c r="C80" s="124" t="s">
        <v>357</v>
      </c>
      <c r="D80" s="123" t="s">
        <v>8046</v>
      </c>
      <c r="E80" s="123" t="s">
        <v>2390</v>
      </c>
      <c r="F80" s="123" t="s">
        <v>29</v>
      </c>
      <c r="G80" s="123" t="s">
        <v>43</v>
      </c>
      <c r="H80" s="123" t="s">
        <v>8047</v>
      </c>
      <c r="I80" s="123" t="s">
        <v>8047</v>
      </c>
      <c r="J80" s="123" t="s">
        <v>43</v>
      </c>
      <c r="K80" s="128" t="s">
        <v>8048</v>
      </c>
      <c r="L80" s="123" t="s">
        <v>43</v>
      </c>
      <c r="M80" s="123" t="s">
        <v>43</v>
      </c>
      <c r="N80" s="122"/>
    </row>
    <row r="81" spans="1:14" ht="20.05" customHeight="1">
      <c r="A81" s="148">
        <v>80</v>
      </c>
      <c r="B81" s="149" t="s">
        <v>6170</v>
      </c>
      <c r="C81" s="124" t="s">
        <v>8049</v>
      </c>
      <c r="D81" s="123" t="s">
        <v>43</v>
      </c>
      <c r="E81" s="128" t="s">
        <v>8050</v>
      </c>
      <c r="F81" s="123" t="s">
        <v>29</v>
      </c>
      <c r="G81" s="123" t="s">
        <v>43</v>
      </c>
      <c r="H81" s="123" t="s">
        <v>8051</v>
      </c>
      <c r="I81" s="123" t="s">
        <v>8052</v>
      </c>
      <c r="J81" s="123" t="s">
        <v>8053</v>
      </c>
      <c r="K81" s="123" t="s">
        <v>8054</v>
      </c>
      <c r="L81" s="123" t="s">
        <v>8055</v>
      </c>
      <c r="M81" s="123" t="s">
        <v>43</v>
      </c>
      <c r="N81" s="122"/>
    </row>
    <row r="82" spans="1:14" ht="20.05" customHeight="1">
      <c r="A82" s="148">
        <v>81</v>
      </c>
      <c r="B82" s="149" t="s">
        <v>7763</v>
      </c>
      <c r="C82" s="124" t="s">
        <v>8056</v>
      </c>
      <c r="D82" s="123" t="s">
        <v>43</v>
      </c>
      <c r="E82" s="123" t="s">
        <v>43</v>
      </c>
      <c r="F82" s="123" t="s">
        <v>29</v>
      </c>
      <c r="G82" s="123" t="s">
        <v>43</v>
      </c>
      <c r="H82" s="123" t="s">
        <v>8057</v>
      </c>
      <c r="I82" s="123" t="s">
        <v>8058</v>
      </c>
      <c r="J82" s="123" t="s">
        <v>4373</v>
      </c>
      <c r="K82" s="128" t="s">
        <v>8059</v>
      </c>
      <c r="L82" s="123" t="s">
        <v>8060</v>
      </c>
      <c r="M82" s="123" t="s">
        <v>43</v>
      </c>
      <c r="N82" s="122"/>
    </row>
    <row r="83" spans="1:14" ht="20.05" customHeight="1">
      <c r="A83" s="148">
        <v>82</v>
      </c>
      <c r="B83" s="149" t="s">
        <v>20</v>
      </c>
      <c r="C83" s="124" t="s">
        <v>8061</v>
      </c>
      <c r="D83" s="123" t="s">
        <v>43</v>
      </c>
      <c r="E83" s="123" t="s">
        <v>43</v>
      </c>
      <c r="F83" s="123" t="s">
        <v>29</v>
      </c>
      <c r="G83" s="123" t="s">
        <v>43</v>
      </c>
      <c r="H83" s="123" t="s">
        <v>8062</v>
      </c>
      <c r="I83" s="123" t="s">
        <v>8063</v>
      </c>
      <c r="J83" s="123" t="s">
        <v>43</v>
      </c>
      <c r="K83" s="128" t="s">
        <v>8064</v>
      </c>
      <c r="L83" s="123" t="s">
        <v>8065</v>
      </c>
      <c r="M83" s="123" t="s">
        <v>43</v>
      </c>
      <c r="N83" s="122"/>
    </row>
    <row r="84" spans="1:14" ht="20.05" customHeight="1">
      <c r="A84" s="148">
        <v>83</v>
      </c>
      <c r="B84" s="149" t="s">
        <v>287</v>
      </c>
      <c r="C84" s="124" t="s">
        <v>8066</v>
      </c>
      <c r="D84" s="123" t="s">
        <v>8046</v>
      </c>
      <c r="E84" s="123" t="s">
        <v>2390</v>
      </c>
      <c r="F84" s="123" t="s">
        <v>43</v>
      </c>
      <c r="G84" s="123" t="s">
        <v>8067</v>
      </c>
      <c r="H84" s="123" t="s">
        <v>8068</v>
      </c>
      <c r="I84" s="123" t="s">
        <v>8069</v>
      </c>
      <c r="J84" s="123" t="s">
        <v>6651</v>
      </c>
      <c r="K84" s="128" t="s">
        <v>8070</v>
      </c>
      <c r="L84" s="123" t="s">
        <v>43</v>
      </c>
      <c r="M84" s="123" t="s">
        <v>7740</v>
      </c>
      <c r="N84" s="122"/>
    </row>
    <row r="85" spans="1:14" ht="20.05" customHeight="1">
      <c r="A85" s="148">
        <v>84</v>
      </c>
      <c r="B85" s="149" t="s">
        <v>4456</v>
      </c>
      <c r="C85" s="124" t="s">
        <v>295</v>
      </c>
      <c r="D85" s="123" t="s">
        <v>4457</v>
      </c>
      <c r="E85" s="123" t="s">
        <v>8071</v>
      </c>
      <c r="F85" s="123" t="s">
        <v>1562</v>
      </c>
      <c r="G85" s="128" t="s">
        <v>8072</v>
      </c>
      <c r="H85" s="123" t="s">
        <v>8073</v>
      </c>
      <c r="I85" s="123" t="s">
        <v>8074</v>
      </c>
      <c r="J85" s="123" t="s">
        <v>43</v>
      </c>
      <c r="K85" s="128" t="s">
        <v>8075</v>
      </c>
      <c r="L85" s="123" t="s">
        <v>8076</v>
      </c>
      <c r="M85" s="123" t="s">
        <v>7740</v>
      </c>
      <c r="N85" s="122"/>
    </row>
    <row r="86" spans="1:14" ht="20.05" customHeight="1">
      <c r="A86" s="144">
        <v>85</v>
      </c>
      <c r="B86" s="145" t="s">
        <v>58</v>
      </c>
      <c r="C86" s="118" t="s">
        <v>35</v>
      </c>
      <c r="D86" s="118" t="s">
        <v>43</v>
      </c>
      <c r="E86" s="118" t="s">
        <v>8077</v>
      </c>
      <c r="F86" s="118" t="s">
        <v>29</v>
      </c>
      <c r="G86" s="120" t="s">
        <v>8078</v>
      </c>
      <c r="H86" s="118" t="s">
        <v>8079</v>
      </c>
      <c r="I86" s="118" t="s">
        <v>368</v>
      </c>
      <c r="J86" s="118" t="s">
        <v>8080</v>
      </c>
      <c r="K86" s="118" t="s">
        <v>8081</v>
      </c>
      <c r="L86" s="118" t="s">
        <v>43</v>
      </c>
      <c r="M86" s="118" t="s">
        <v>43</v>
      </c>
      <c r="N86" s="114" t="s">
        <v>43</v>
      </c>
    </row>
    <row r="87" spans="1:14" ht="20.05" customHeight="1">
      <c r="A87" s="144">
        <v>86</v>
      </c>
      <c r="B87" s="145" t="s">
        <v>7763</v>
      </c>
      <c r="C87" s="118" t="s">
        <v>35</v>
      </c>
      <c r="D87" s="120" t="s">
        <v>8082</v>
      </c>
      <c r="E87" s="120" t="s">
        <v>8083</v>
      </c>
      <c r="F87" s="118" t="s">
        <v>29</v>
      </c>
      <c r="G87" s="120" t="s">
        <v>8084</v>
      </c>
      <c r="H87" s="118" t="s">
        <v>8085</v>
      </c>
      <c r="I87" s="118" t="s">
        <v>8086</v>
      </c>
      <c r="J87" s="118" t="s">
        <v>43</v>
      </c>
      <c r="K87" s="120" t="s">
        <v>8087</v>
      </c>
      <c r="L87" s="120" t="s">
        <v>8088</v>
      </c>
      <c r="M87" s="118" t="s">
        <v>43</v>
      </c>
      <c r="N87" s="114" t="s">
        <v>43</v>
      </c>
    </row>
    <row r="88" spans="1:14" ht="20.05" customHeight="1">
      <c r="A88" s="144">
        <v>87</v>
      </c>
      <c r="B88" s="145" t="s">
        <v>43</v>
      </c>
      <c r="C88" s="118" t="s">
        <v>8089</v>
      </c>
      <c r="D88" s="118" t="s">
        <v>8090</v>
      </c>
      <c r="E88" s="118" t="s">
        <v>8091</v>
      </c>
      <c r="F88" s="118" t="s">
        <v>29</v>
      </c>
      <c r="G88" s="118" t="s">
        <v>8092</v>
      </c>
      <c r="H88" s="118" t="s">
        <v>8093</v>
      </c>
      <c r="I88" s="118" t="s">
        <v>8094</v>
      </c>
      <c r="J88" s="118" t="s">
        <v>8095</v>
      </c>
      <c r="K88" s="120" t="s">
        <v>8096</v>
      </c>
      <c r="L88" s="120" t="s">
        <v>8097</v>
      </c>
      <c r="M88" s="118" t="s">
        <v>7740</v>
      </c>
      <c r="N88" s="114" t="s">
        <v>43</v>
      </c>
    </row>
    <row r="89" spans="1:14" ht="20.05" customHeight="1">
      <c r="A89" s="144">
        <v>88</v>
      </c>
      <c r="B89" s="145" t="s">
        <v>7763</v>
      </c>
      <c r="C89" s="118" t="s">
        <v>8098</v>
      </c>
      <c r="D89" s="120" t="s">
        <v>8099</v>
      </c>
      <c r="E89" s="118" t="s">
        <v>60</v>
      </c>
      <c r="F89" s="118" t="s">
        <v>29</v>
      </c>
      <c r="G89" s="120" t="s">
        <v>8100</v>
      </c>
      <c r="H89" s="118" t="s">
        <v>8101</v>
      </c>
      <c r="I89" s="118" t="s">
        <v>8102</v>
      </c>
      <c r="J89" s="118" t="s">
        <v>6427</v>
      </c>
      <c r="K89" s="120" t="s">
        <v>8103</v>
      </c>
      <c r="L89" s="118" t="s">
        <v>8104</v>
      </c>
      <c r="M89" s="118" t="s">
        <v>7740</v>
      </c>
      <c r="N89" s="114" t="s">
        <v>43</v>
      </c>
    </row>
    <row r="90" spans="1:14" ht="20.05" customHeight="1">
      <c r="A90" s="144">
        <v>89</v>
      </c>
      <c r="B90" s="145" t="s">
        <v>333</v>
      </c>
      <c r="C90" s="118" t="s">
        <v>116</v>
      </c>
      <c r="D90" s="118" t="s">
        <v>8105</v>
      </c>
      <c r="E90" s="118" t="s">
        <v>8106</v>
      </c>
      <c r="F90" s="118" t="s">
        <v>88</v>
      </c>
      <c r="G90" s="118" t="s">
        <v>43</v>
      </c>
      <c r="H90" s="118" t="s">
        <v>7859</v>
      </c>
      <c r="I90" s="118" t="s">
        <v>8107</v>
      </c>
      <c r="J90" s="118" t="s">
        <v>43</v>
      </c>
      <c r="K90" s="118" t="s">
        <v>8108</v>
      </c>
      <c r="L90" s="118" t="s">
        <v>43</v>
      </c>
      <c r="M90" s="118" t="s">
        <v>7980</v>
      </c>
      <c r="N90" s="114" t="s">
        <v>8109</v>
      </c>
    </row>
    <row r="91" spans="1:14" ht="20.05" customHeight="1">
      <c r="A91" s="144">
        <v>90</v>
      </c>
      <c r="B91" s="145" t="s">
        <v>309</v>
      </c>
      <c r="C91" s="118" t="s">
        <v>8110</v>
      </c>
      <c r="D91" s="118" t="s">
        <v>8111</v>
      </c>
      <c r="E91" s="118" t="s">
        <v>8112</v>
      </c>
      <c r="F91" s="118" t="s">
        <v>29</v>
      </c>
      <c r="G91" s="118" t="s">
        <v>8113</v>
      </c>
      <c r="H91" s="118" t="s">
        <v>8101</v>
      </c>
      <c r="I91" s="118" t="s">
        <v>8114</v>
      </c>
      <c r="J91" s="118" t="s">
        <v>8115</v>
      </c>
      <c r="K91" s="120" t="s">
        <v>8116</v>
      </c>
      <c r="L91" s="118" t="s">
        <v>8117</v>
      </c>
      <c r="M91" s="118" t="s">
        <v>43</v>
      </c>
      <c r="N91" s="114" t="s">
        <v>43</v>
      </c>
    </row>
    <row r="92" spans="1:14" ht="20.05" customHeight="1">
      <c r="A92" s="144">
        <v>91</v>
      </c>
      <c r="B92" s="145" t="s">
        <v>371</v>
      </c>
      <c r="C92" s="118" t="s">
        <v>35</v>
      </c>
      <c r="D92" s="118" t="s">
        <v>8118</v>
      </c>
      <c r="E92" s="118" t="s">
        <v>8119</v>
      </c>
      <c r="F92" s="118" t="s">
        <v>29</v>
      </c>
      <c r="G92" s="118" t="s">
        <v>373</v>
      </c>
      <c r="H92" s="118" t="s">
        <v>8120</v>
      </c>
      <c r="I92" s="118" t="s">
        <v>8121</v>
      </c>
      <c r="J92" s="118" t="s">
        <v>43</v>
      </c>
      <c r="K92" s="118" t="s">
        <v>8122</v>
      </c>
      <c r="L92" s="118" t="s">
        <v>8123</v>
      </c>
      <c r="M92" s="118" t="s">
        <v>7980</v>
      </c>
      <c r="N92" s="114" t="s">
        <v>43</v>
      </c>
    </row>
    <row r="93" spans="1:14" ht="20.05" customHeight="1">
      <c r="A93" s="144">
        <v>92</v>
      </c>
      <c r="B93" s="145" t="s">
        <v>455</v>
      </c>
      <c r="C93" s="118" t="s">
        <v>554</v>
      </c>
      <c r="D93" s="118" t="s">
        <v>8124</v>
      </c>
      <c r="E93" s="118" t="s">
        <v>5081</v>
      </c>
      <c r="F93" s="118" t="s">
        <v>29</v>
      </c>
      <c r="G93" s="118" t="s">
        <v>8125</v>
      </c>
      <c r="H93" s="118" t="s">
        <v>8126</v>
      </c>
      <c r="I93" s="118" t="s">
        <v>8127</v>
      </c>
      <c r="J93" s="118" t="s">
        <v>43</v>
      </c>
      <c r="K93" s="120" t="s">
        <v>8128</v>
      </c>
      <c r="L93" s="118" t="s">
        <v>8129</v>
      </c>
      <c r="M93" s="118" t="s">
        <v>7740</v>
      </c>
      <c r="N93" s="114" t="s">
        <v>43</v>
      </c>
    </row>
    <row r="94" spans="1:14" ht="20.05" customHeight="1">
      <c r="A94" s="144">
        <v>93</v>
      </c>
      <c r="B94" s="145" t="s">
        <v>58</v>
      </c>
      <c r="C94" s="118" t="s">
        <v>390</v>
      </c>
      <c r="D94" s="118" t="s">
        <v>8130</v>
      </c>
      <c r="E94" s="118" t="s">
        <v>4970</v>
      </c>
      <c r="F94" s="118" t="s">
        <v>29</v>
      </c>
      <c r="G94" s="120" t="s">
        <v>8131</v>
      </c>
      <c r="H94" s="118" t="s">
        <v>8132</v>
      </c>
      <c r="I94" s="118" t="s">
        <v>7757</v>
      </c>
      <c r="J94" s="118" t="s">
        <v>43</v>
      </c>
      <c r="K94" s="120" t="s">
        <v>8133</v>
      </c>
      <c r="L94" s="120" t="s">
        <v>6533</v>
      </c>
      <c r="M94" s="118" t="s">
        <v>7740</v>
      </c>
      <c r="N94" s="114" t="s">
        <v>43</v>
      </c>
    </row>
    <row r="95" spans="1:14" ht="20.05" customHeight="1">
      <c r="A95" s="144">
        <v>94</v>
      </c>
      <c r="B95" s="145" t="s">
        <v>58</v>
      </c>
      <c r="C95" s="118" t="s">
        <v>8134</v>
      </c>
      <c r="D95" s="118" t="s">
        <v>36</v>
      </c>
      <c r="E95" s="118" t="s">
        <v>60</v>
      </c>
      <c r="F95" s="118" t="s">
        <v>29</v>
      </c>
      <c r="G95" s="118" t="s">
        <v>8135</v>
      </c>
      <c r="H95" s="118" t="s">
        <v>8136</v>
      </c>
      <c r="I95" s="121">
        <v>45838</v>
      </c>
      <c r="J95" s="118" t="s">
        <v>43</v>
      </c>
      <c r="K95" s="118" t="s">
        <v>8137</v>
      </c>
      <c r="L95" s="118" t="s">
        <v>43</v>
      </c>
      <c r="M95" s="118" t="s">
        <v>43</v>
      </c>
      <c r="N95" s="114" t="s">
        <v>43</v>
      </c>
    </row>
    <row r="96" spans="1:14" ht="20.05" customHeight="1">
      <c r="A96" s="144">
        <v>95</v>
      </c>
      <c r="B96" s="145" t="s">
        <v>333</v>
      </c>
      <c r="C96" s="118" t="s">
        <v>74</v>
      </c>
      <c r="D96" s="118" t="s">
        <v>8138</v>
      </c>
      <c r="E96" s="118" t="s">
        <v>87</v>
      </c>
      <c r="F96" s="118" t="s">
        <v>29</v>
      </c>
      <c r="G96" s="118" t="s">
        <v>8139</v>
      </c>
      <c r="H96" s="118" t="s">
        <v>8140</v>
      </c>
      <c r="I96" s="118" t="s">
        <v>8141</v>
      </c>
      <c r="J96" s="118" t="s">
        <v>43</v>
      </c>
      <c r="K96" s="120" t="s">
        <v>8142</v>
      </c>
      <c r="L96" s="118" t="s">
        <v>43</v>
      </c>
      <c r="M96" s="118" t="s">
        <v>7740</v>
      </c>
      <c r="N96" s="114" t="s">
        <v>43</v>
      </c>
    </row>
    <row r="97" spans="1:14" ht="20.05" customHeight="1">
      <c r="A97" s="144">
        <v>96</v>
      </c>
      <c r="B97" s="145" t="s">
        <v>333</v>
      </c>
      <c r="C97" s="118" t="s">
        <v>6202</v>
      </c>
      <c r="D97" s="118" t="s">
        <v>8143</v>
      </c>
      <c r="E97" s="118" t="s">
        <v>1437</v>
      </c>
      <c r="F97" s="118" t="s">
        <v>29</v>
      </c>
      <c r="G97" s="118" t="s">
        <v>43</v>
      </c>
      <c r="H97" s="118" t="s">
        <v>8144</v>
      </c>
      <c r="I97" s="118" t="s">
        <v>8145</v>
      </c>
      <c r="J97" s="118" t="s">
        <v>323</v>
      </c>
      <c r="K97" s="120" t="s">
        <v>8146</v>
      </c>
      <c r="L97" s="118" t="s">
        <v>43</v>
      </c>
      <c r="M97" s="118" t="s">
        <v>7740</v>
      </c>
      <c r="N97" s="114" t="s">
        <v>43</v>
      </c>
    </row>
    <row r="98" spans="1:14" ht="20.05" customHeight="1">
      <c r="A98" s="144">
        <v>97</v>
      </c>
      <c r="B98" s="145" t="s">
        <v>58</v>
      </c>
      <c r="C98" s="118" t="s">
        <v>8147</v>
      </c>
      <c r="D98" s="118" t="s">
        <v>36</v>
      </c>
      <c r="E98" s="118" t="s">
        <v>60</v>
      </c>
      <c r="F98" s="118" t="s">
        <v>29</v>
      </c>
      <c r="G98" s="118" t="s">
        <v>43</v>
      </c>
      <c r="H98" s="118" t="s">
        <v>8148</v>
      </c>
      <c r="I98" s="121">
        <v>45842</v>
      </c>
      <c r="J98" s="118"/>
      <c r="K98" s="118" t="s">
        <v>8149</v>
      </c>
      <c r="L98" s="118" t="s">
        <v>8150</v>
      </c>
      <c r="M98" s="118" t="s">
        <v>7740</v>
      </c>
      <c r="N98" s="114" t="s">
        <v>43</v>
      </c>
    </row>
    <row r="99" spans="1:14" ht="20.05" customHeight="1">
      <c r="A99" s="144">
        <v>98</v>
      </c>
      <c r="B99" s="145" t="s">
        <v>50</v>
      </c>
      <c r="C99" s="118" t="s">
        <v>873</v>
      </c>
      <c r="D99" s="118" t="s">
        <v>36</v>
      </c>
      <c r="E99" s="118" t="s">
        <v>8151</v>
      </c>
      <c r="F99" s="118" t="s">
        <v>7613</v>
      </c>
      <c r="G99" s="118" t="s">
        <v>8152</v>
      </c>
      <c r="H99" s="118" t="s">
        <v>8153</v>
      </c>
      <c r="I99" s="118" t="s">
        <v>7166</v>
      </c>
      <c r="J99" s="118"/>
      <c r="K99" s="118" t="s">
        <v>43</v>
      </c>
      <c r="L99" s="118" t="s">
        <v>43</v>
      </c>
      <c r="M99" s="118" t="s">
        <v>7740</v>
      </c>
      <c r="N99" s="114" t="s">
        <v>43</v>
      </c>
    </row>
    <row r="100" spans="1:14" ht="20.05" customHeight="1">
      <c r="A100" s="144">
        <v>99</v>
      </c>
      <c r="B100" s="145" t="s">
        <v>333</v>
      </c>
      <c r="C100" s="118" t="s">
        <v>191</v>
      </c>
      <c r="D100" s="118" t="s">
        <v>8154</v>
      </c>
      <c r="E100" s="118" t="s">
        <v>5521</v>
      </c>
      <c r="F100" s="118" t="s">
        <v>29</v>
      </c>
      <c r="G100" s="118" t="s">
        <v>8155</v>
      </c>
      <c r="H100" s="118" t="s">
        <v>7873</v>
      </c>
      <c r="I100" s="118" t="s">
        <v>8156</v>
      </c>
      <c r="J100" s="118"/>
      <c r="K100" s="120" t="s">
        <v>8157</v>
      </c>
      <c r="L100" s="118" t="s">
        <v>43</v>
      </c>
      <c r="M100" s="118" t="s">
        <v>7740</v>
      </c>
      <c r="N100" s="114" t="s">
        <v>43</v>
      </c>
    </row>
    <row r="101" spans="1:14" ht="20.05" customHeight="1">
      <c r="A101" s="144">
        <v>100</v>
      </c>
      <c r="B101" s="145" t="s">
        <v>58</v>
      </c>
      <c r="C101" s="118" t="s">
        <v>191</v>
      </c>
      <c r="D101" s="118" t="s">
        <v>8158</v>
      </c>
      <c r="E101" s="118" t="s">
        <v>8159</v>
      </c>
      <c r="F101" s="118" t="s">
        <v>29</v>
      </c>
      <c r="G101" s="118" t="s">
        <v>625</v>
      </c>
      <c r="H101" s="118" t="s">
        <v>8160</v>
      </c>
      <c r="I101" s="118" t="s">
        <v>8161</v>
      </c>
      <c r="J101" s="118"/>
      <c r="K101" s="120" t="s">
        <v>8162</v>
      </c>
      <c r="L101" s="118" t="s">
        <v>8163</v>
      </c>
      <c r="M101" s="118" t="s">
        <v>7740</v>
      </c>
      <c r="N101" s="114" t="s">
        <v>43</v>
      </c>
    </row>
    <row r="102" spans="1:14" ht="20.05" customHeight="1">
      <c r="A102" s="144">
        <v>101</v>
      </c>
      <c r="B102" s="145" t="s">
        <v>309</v>
      </c>
      <c r="C102" s="118" t="s">
        <v>5073</v>
      </c>
      <c r="D102" s="118" t="s">
        <v>3502</v>
      </c>
      <c r="E102" s="118" t="s">
        <v>491</v>
      </c>
      <c r="F102" s="118" t="s">
        <v>29</v>
      </c>
      <c r="G102" s="120" t="s">
        <v>8164</v>
      </c>
      <c r="H102" s="118" t="s">
        <v>7873</v>
      </c>
      <c r="I102" s="118" t="s">
        <v>8165</v>
      </c>
      <c r="J102" s="118"/>
      <c r="K102" s="120" t="s">
        <v>8166</v>
      </c>
      <c r="L102" s="118" t="s">
        <v>6182</v>
      </c>
      <c r="M102" s="118" t="s">
        <v>7740</v>
      </c>
      <c r="N102" s="114" t="s">
        <v>43</v>
      </c>
    </row>
    <row r="103" spans="1:14" ht="20.05" customHeight="1">
      <c r="A103" s="144">
        <v>102</v>
      </c>
      <c r="B103" s="145" t="s">
        <v>760</v>
      </c>
      <c r="C103" s="118" t="s">
        <v>27</v>
      </c>
      <c r="D103" s="118" t="s">
        <v>8167</v>
      </c>
      <c r="E103" s="118" t="s">
        <v>43</v>
      </c>
      <c r="F103" s="118" t="s">
        <v>88</v>
      </c>
      <c r="G103" s="118" t="s">
        <v>8168</v>
      </c>
      <c r="H103" s="118" t="s">
        <v>8169</v>
      </c>
      <c r="I103" s="118" t="s">
        <v>8170</v>
      </c>
      <c r="J103" s="118"/>
      <c r="K103" s="120" t="s">
        <v>8171</v>
      </c>
      <c r="L103" s="120" t="s">
        <v>8172</v>
      </c>
      <c r="M103" s="118" t="s">
        <v>43</v>
      </c>
      <c r="N103" s="114" t="s">
        <v>43</v>
      </c>
    </row>
    <row r="104" spans="1:14" ht="20.05" customHeight="1">
      <c r="A104" s="144">
        <v>103</v>
      </c>
      <c r="B104" s="145" t="s">
        <v>50</v>
      </c>
      <c r="C104" s="118" t="s">
        <v>909</v>
      </c>
      <c r="D104" s="120" t="s">
        <v>8173</v>
      </c>
      <c r="E104" s="120" t="s">
        <v>8174</v>
      </c>
      <c r="F104" s="118" t="s">
        <v>29</v>
      </c>
      <c r="G104" s="118" t="s">
        <v>8175</v>
      </c>
      <c r="H104" s="118" t="s">
        <v>8176</v>
      </c>
      <c r="I104" s="118" t="s">
        <v>7757</v>
      </c>
      <c r="J104" s="118"/>
      <c r="K104" s="120" t="s">
        <v>8177</v>
      </c>
      <c r="L104" s="120" t="s">
        <v>8178</v>
      </c>
      <c r="M104" s="118" t="s">
        <v>7740</v>
      </c>
      <c r="N104" s="114" t="s">
        <v>43</v>
      </c>
    </row>
    <row r="105" spans="1:14" ht="20.05" customHeight="1">
      <c r="A105" s="144">
        <v>104</v>
      </c>
      <c r="B105" s="145" t="s">
        <v>1015</v>
      </c>
      <c r="C105" s="118" t="s">
        <v>191</v>
      </c>
      <c r="D105" s="118" t="s">
        <v>6415</v>
      </c>
      <c r="E105" s="120" t="s">
        <v>8179</v>
      </c>
      <c r="F105" s="118" t="s">
        <v>29</v>
      </c>
      <c r="G105" s="118" t="s">
        <v>8180</v>
      </c>
      <c r="H105" s="118" t="s">
        <v>2176</v>
      </c>
      <c r="I105" s="118" t="s">
        <v>7794</v>
      </c>
      <c r="J105" s="118"/>
      <c r="K105" s="120" t="s">
        <v>8181</v>
      </c>
      <c r="L105" s="118" t="s">
        <v>8182</v>
      </c>
      <c r="M105" s="118" t="s">
        <v>7740</v>
      </c>
      <c r="N105" s="114" t="s">
        <v>43</v>
      </c>
    </row>
    <row r="106" spans="1:14" ht="20.05" customHeight="1">
      <c r="A106" s="144">
        <v>105</v>
      </c>
      <c r="B106" s="145" t="s">
        <v>287</v>
      </c>
      <c r="C106" s="118" t="s">
        <v>1634</v>
      </c>
      <c r="D106" s="118" t="s">
        <v>8183</v>
      </c>
      <c r="E106" s="120" t="s">
        <v>8184</v>
      </c>
      <c r="F106" s="118" t="s">
        <v>29</v>
      </c>
      <c r="G106" s="120" t="s">
        <v>8185</v>
      </c>
      <c r="H106" s="118" t="s">
        <v>8186</v>
      </c>
      <c r="I106" s="118" t="s">
        <v>8187</v>
      </c>
      <c r="J106" s="118"/>
      <c r="K106" s="120" t="s">
        <v>8188</v>
      </c>
      <c r="L106" s="118" t="s">
        <v>43</v>
      </c>
      <c r="M106" s="118" t="s">
        <v>7740</v>
      </c>
      <c r="N106" s="114" t="s">
        <v>43</v>
      </c>
    </row>
    <row r="107" spans="1:14" ht="20.05" customHeight="1">
      <c r="A107" s="144">
        <v>106</v>
      </c>
      <c r="B107" s="145" t="s">
        <v>422</v>
      </c>
      <c r="C107" s="118" t="s">
        <v>35</v>
      </c>
      <c r="D107" s="118" t="s">
        <v>8189</v>
      </c>
      <c r="E107" s="118" t="s">
        <v>8190</v>
      </c>
      <c r="F107" s="118" t="s">
        <v>29</v>
      </c>
      <c r="G107" s="118" t="s">
        <v>8191</v>
      </c>
      <c r="H107" s="118" t="s">
        <v>8192</v>
      </c>
      <c r="I107" s="118" t="s">
        <v>8193</v>
      </c>
      <c r="J107" s="118"/>
      <c r="K107" s="120" t="s">
        <v>8194</v>
      </c>
      <c r="L107" s="118" t="s">
        <v>8195</v>
      </c>
      <c r="M107" s="118" t="s">
        <v>7740</v>
      </c>
      <c r="N107" s="114" t="s">
        <v>43</v>
      </c>
    </row>
    <row r="108" spans="1:14" ht="20.05" customHeight="1">
      <c r="A108" s="144">
        <v>107</v>
      </c>
      <c r="B108" s="145" t="s">
        <v>8196</v>
      </c>
      <c r="C108" s="118" t="s">
        <v>191</v>
      </c>
      <c r="D108" s="118" t="s">
        <v>8197</v>
      </c>
      <c r="E108" s="118" t="s">
        <v>8198</v>
      </c>
      <c r="F108" s="118" t="s">
        <v>7765</v>
      </c>
      <c r="G108" s="120" t="s">
        <v>8199</v>
      </c>
      <c r="H108" s="118" t="s">
        <v>7859</v>
      </c>
      <c r="I108" s="118" t="s">
        <v>8200</v>
      </c>
      <c r="J108" s="118"/>
      <c r="K108" s="118" t="s">
        <v>8201</v>
      </c>
      <c r="L108" s="118" t="s">
        <v>43</v>
      </c>
      <c r="M108" s="118" t="s">
        <v>7740</v>
      </c>
      <c r="N108" s="114" t="s">
        <v>43</v>
      </c>
    </row>
    <row r="109" spans="1:14" ht="20.05" customHeight="1">
      <c r="A109" s="144">
        <v>108</v>
      </c>
      <c r="B109" s="145" t="s">
        <v>8202</v>
      </c>
      <c r="C109" s="118" t="s">
        <v>35</v>
      </c>
      <c r="D109" s="118" t="s">
        <v>8203</v>
      </c>
      <c r="E109" s="120" t="s">
        <v>8204</v>
      </c>
      <c r="F109" s="118" t="s">
        <v>29</v>
      </c>
      <c r="G109" s="120" t="s">
        <v>8205</v>
      </c>
      <c r="H109" s="118" t="s">
        <v>8206</v>
      </c>
      <c r="I109" s="118" t="s">
        <v>8207</v>
      </c>
      <c r="J109" s="118"/>
      <c r="K109" s="118" t="s">
        <v>8208</v>
      </c>
      <c r="L109" s="118" t="s">
        <v>8209</v>
      </c>
      <c r="M109" s="118" t="s">
        <v>7740</v>
      </c>
      <c r="N109" s="114" t="s">
        <v>43</v>
      </c>
    </row>
    <row r="110" spans="1:14" ht="20.05" customHeight="1">
      <c r="A110" s="144">
        <v>109</v>
      </c>
      <c r="B110" s="145" t="s">
        <v>898</v>
      </c>
      <c r="C110" s="118" t="s">
        <v>8210</v>
      </c>
      <c r="D110" s="118" t="s">
        <v>8211</v>
      </c>
      <c r="E110" s="118" t="s">
        <v>8212</v>
      </c>
      <c r="F110" s="118" t="s">
        <v>29</v>
      </c>
      <c r="G110" s="118" t="s">
        <v>8213</v>
      </c>
      <c r="H110" s="118" t="s">
        <v>8214</v>
      </c>
      <c r="I110" s="118" t="s">
        <v>8215</v>
      </c>
      <c r="J110" s="118"/>
      <c r="K110" s="120" t="s">
        <v>8216</v>
      </c>
      <c r="L110" s="118" t="s">
        <v>8217</v>
      </c>
      <c r="M110" s="118" t="s">
        <v>7740</v>
      </c>
      <c r="N110" s="114" t="s">
        <v>43</v>
      </c>
    </row>
    <row r="111" spans="1:14" ht="20.05" customHeight="1">
      <c r="A111" s="144">
        <v>110</v>
      </c>
      <c r="B111" s="145" t="s">
        <v>439</v>
      </c>
      <c r="C111" s="118" t="s">
        <v>74</v>
      </c>
      <c r="D111" s="120" t="s">
        <v>8218</v>
      </c>
      <c r="E111" s="118" t="s">
        <v>8219</v>
      </c>
      <c r="F111" s="118" t="s">
        <v>29</v>
      </c>
      <c r="G111" s="118" t="s">
        <v>8220</v>
      </c>
      <c r="H111" s="118" t="s">
        <v>8221</v>
      </c>
      <c r="I111" s="118" t="s">
        <v>8222</v>
      </c>
      <c r="J111" s="118"/>
      <c r="K111" s="120" t="s">
        <v>8223</v>
      </c>
      <c r="L111" s="118" t="s">
        <v>8224</v>
      </c>
      <c r="M111" s="118" t="s">
        <v>7980</v>
      </c>
      <c r="N111" s="114" t="s">
        <v>43</v>
      </c>
    </row>
    <row r="112" spans="1:14" ht="20.05" customHeight="1">
      <c r="A112" s="144">
        <v>111</v>
      </c>
      <c r="B112" s="145" t="s">
        <v>58</v>
      </c>
      <c r="C112" s="118" t="s">
        <v>945</v>
      </c>
      <c r="D112" s="118" t="s">
        <v>36</v>
      </c>
      <c r="E112" s="118" t="s">
        <v>8225</v>
      </c>
      <c r="F112" s="118" t="s">
        <v>7765</v>
      </c>
      <c r="G112" s="118" t="s">
        <v>8226</v>
      </c>
      <c r="H112" s="118" t="s">
        <v>8227</v>
      </c>
      <c r="I112" s="118" t="s">
        <v>368</v>
      </c>
      <c r="J112" s="118"/>
      <c r="K112" s="118" t="s">
        <v>43</v>
      </c>
      <c r="L112" s="118" t="s">
        <v>8228</v>
      </c>
      <c r="M112" s="118" t="s">
        <v>7980</v>
      </c>
      <c r="N112" s="114" t="s">
        <v>8229</v>
      </c>
    </row>
    <row r="113" spans="1:14" ht="20.05" customHeight="1">
      <c r="A113" s="144">
        <v>112</v>
      </c>
      <c r="B113" s="145" t="s">
        <v>58</v>
      </c>
      <c r="C113" s="118" t="s">
        <v>1237</v>
      </c>
      <c r="D113" s="118" t="s">
        <v>36</v>
      </c>
      <c r="E113" s="118" t="s">
        <v>60</v>
      </c>
      <c r="F113" s="118" t="s">
        <v>29</v>
      </c>
      <c r="G113" s="118" t="s">
        <v>8230</v>
      </c>
      <c r="H113" s="118" t="s">
        <v>8231</v>
      </c>
      <c r="I113" s="121">
        <v>45847</v>
      </c>
      <c r="J113" s="118"/>
      <c r="K113" s="118" t="s">
        <v>8017</v>
      </c>
      <c r="L113" s="118" t="s">
        <v>8232</v>
      </c>
      <c r="M113" s="118" t="s">
        <v>7980</v>
      </c>
      <c r="N113" s="114" t="s">
        <v>8233</v>
      </c>
    </row>
    <row r="114" spans="1:14" ht="20.05" customHeight="1">
      <c r="A114" s="144">
        <v>113</v>
      </c>
      <c r="B114" s="145" t="s">
        <v>58</v>
      </c>
      <c r="C114" s="118" t="s">
        <v>1391</v>
      </c>
      <c r="D114" s="118" t="s">
        <v>36</v>
      </c>
      <c r="E114" s="118" t="s">
        <v>60</v>
      </c>
      <c r="F114" s="118" t="s">
        <v>29</v>
      </c>
      <c r="G114" s="118" t="s">
        <v>8234</v>
      </c>
      <c r="H114" s="118" t="s">
        <v>8235</v>
      </c>
      <c r="I114" s="118" t="s">
        <v>7844</v>
      </c>
      <c r="J114" s="118"/>
      <c r="K114" s="118" t="s">
        <v>8017</v>
      </c>
      <c r="L114" s="120" t="s">
        <v>8236</v>
      </c>
      <c r="M114" s="118" t="s">
        <v>7980</v>
      </c>
      <c r="N114" s="114" t="s">
        <v>8237</v>
      </c>
    </row>
    <row r="115" spans="1:14" ht="20.05" customHeight="1">
      <c r="A115" s="144">
        <v>114</v>
      </c>
      <c r="B115" s="145" t="s">
        <v>58</v>
      </c>
      <c r="C115" s="118" t="s">
        <v>1338</v>
      </c>
      <c r="D115" s="118" t="s">
        <v>36</v>
      </c>
      <c r="E115" s="118" t="s">
        <v>60</v>
      </c>
      <c r="F115" s="118" t="s">
        <v>29</v>
      </c>
      <c r="G115" s="120" t="s">
        <v>8238</v>
      </c>
      <c r="H115" s="118" t="s">
        <v>8231</v>
      </c>
      <c r="I115" s="118" t="s">
        <v>368</v>
      </c>
      <c r="J115" s="118"/>
      <c r="K115" s="118" t="s">
        <v>8239</v>
      </c>
      <c r="L115" s="118" t="s">
        <v>43</v>
      </c>
      <c r="M115" s="118" t="s">
        <v>7980</v>
      </c>
      <c r="N115" s="114" t="s">
        <v>8240</v>
      </c>
    </row>
    <row r="116" spans="1:14" ht="20.05" customHeight="1">
      <c r="A116" s="144">
        <v>115</v>
      </c>
      <c r="B116" s="145" t="s">
        <v>156</v>
      </c>
      <c r="C116" s="118" t="s">
        <v>201</v>
      </c>
      <c r="D116" s="118" t="s">
        <v>36</v>
      </c>
      <c r="E116" s="118" t="s">
        <v>60</v>
      </c>
      <c r="F116" s="118" t="s">
        <v>29</v>
      </c>
      <c r="G116" s="118" t="s">
        <v>43</v>
      </c>
      <c r="H116" s="118" t="s">
        <v>8241</v>
      </c>
      <c r="I116" s="118" t="s">
        <v>368</v>
      </c>
      <c r="J116" s="118"/>
      <c r="K116" s="118" t="s">
        <v>8242</v>
      </c>
      <c r="L116" s="118" t="s">
        <v>43</v>
      </c>
      <c r="M116" s="118" t="s">
        <v>7740</v>
      </c>
      <c r="N116" s="114" t="s">
        <v>43</v>
      </c>
    </row>
    <row r="117" spans="1:14" ht="20.05" customHeight="1">
      <c r="A117" s="144">
        <v>116</v>
      </c>
      <c r="B117" s="145" t="s">
        <v>333</v>
      </c>
      <c r="C117" s="118" t="s">
        <v>7137</v>
      </c>
      <c r="D117" s="118" t="s">
        <v>36</v>
      </c>
      <c r="E117" s="118" t="s">
        <v>509</v>
      </c>
      <c r="F117" s="118" t="s">
        <v>7765</v>
      </c>
      <c r="G117" s="118" t="s">
        <v>8243</v>
      </c>
      <c r="H117" s="118" t="s">
        <v>8244</v>
      </c>
      <c r="I117" s="118" t="s">
        <v>8245</v>
      </c>
      <c r="J117" s="118"/>
      <c r="K117" s="118" t="s">
        <v>8246</v>
      </c>
      <c r="L117" s="118" t="s">
        <v>8247</v>
      </c>
      <c r="M117" s="118" t="s">
        <v>7740</v>
      </c>
      <c r="N117" s="114" t="s">
        <v>43</v>
      </c>
    </row>
    <row r="118" spans="1:14" ht="20.05" customHeight="1">
      <c r="A118" s="144">
        <v>117</v>
      </c>
      <c r="B118" s="145" t="s">
        <v>455</v>
      </c>
      <c r="C118" s="118" t="s">
        <v>686</v>
      </c>
      <c r="D118" s="118" t="s">
        <v>8248</v>
      </c>
      <c r="E118" s="118" t="s">
        <v>688</v>
      </c>
      <c r="F118" s="118" t="s">
        <v>29</v>
      </c>
      <c r="G118" s="118" t="s">
        <v>8249</v>
      </c>
      <c r="H118" s="118" t="s">
        <v>8250</v>
      </c>
      <c r="I118" s="118" t="s">
        <v>8251</v>
      </c>
      <c r="J118" s="118"/>
      <c r="K118" s="118" t="s">
        <v>8252</v>
      </c>
      <c r="L118" s="118" t="s">
        <v>8253</v>
      </c>
      <c r="M118" s="118" t="s">
        <v>7740</v>
      </c>
      <c r="N118" s="114" t="s">
        <v>8254</v>
      </c>
    </row>
    <row r="119" spans="1:14" ht="20.05" customHeight="1">
      <c r="A119" s="144">
        <v>118</v>
      </c>
      <c r="B119" s="145" t="s">
        <v>156</v>
      </c>
      <c r="C119" s="118" t="s">
        <v>213</v>
      </c>
      <c r="D119" s="118" t="s">
        <v>8255</v>
      </c>
      <c r="E119" s="118" t="s">
        <v>60</v>
      </c>
      <c r="F119" s="118" t="s">
        <v>29</v>
      </c>
      <c r="G119" s="118" t="s">
        <v>43</v>
      </c>
      <c r="H119" s="118" t="s">
        <v>8256</v>
      </c>
      <c r="I119" s="118" t="s">
        <v>8257</v>
      </c>
      <c r="J119" s="118"/>
      <c r="K119" s="118" t="s">
        <v>8258</v>
      </c>
      <c r="L119" s="118" t="s">
        <v>43</v>
      </c>
      <c r="M119" s="118" t="s">
        <v>7740</v>
      </c>
      <c r="N119" s="114" t="s">
        <v>43</v>
      </c>
    </row>
    <row r="120" spans="1:14" ht="20.05" customHeight="1">
      <c r="A120" s="144">
        <v>119</v>
      </c>
      <c r="B120" s="145" t="s">
        <v>156</v>
      </c>
      <c r="C120" s="118" t="s">
        <v>116</v>
      </c>
      <c r="D120" s="118" t="s">
        <v>8255</v>
      </c>
      <c r="E120" s="118" t="s">
        <v>8259</v>
      </c>
      <c r="F120" s="118" t="s">
        <v>29</v>
      </c>
      <c r="G120" s="118" t="s">
        <v>43</v>
      </c>
      <c r="H120" s="118" t="s">
        <v>8260</v>
      </c>
      <c r="I120" s="118" t="s">
        <v>43</v>
      </c>
      <c r="J120" s="118"/>
      <c r="K120" s="118" t="s">
        <v>8261</v>
      </c>
      <c r="L120" s="118" t="s">
        <v>43</v>
      </c>
      <c r="M120" s="118" t="s">
        <v>7740</v>
      </c>
      <c r="N120" s="130" t="s">
        <v>8262</v>
      </c>
    </row>
    <row r="121" spans="1:14" ht="20.05" customHeight="1">
      <c r="A121" s="144">
        <v>120</v>
      </c>
      <c r="B121" s="145" t="s">
        <v>156</v>
      </c>
      <c r="C121" s="118" t="s">
        <v>8263</v>
      </c>
      <c r="D121" s="118" t="s">
        <v>8255</v>
      </c>
      <c r="E121" s="118" t="s">
        <v>60</v>
      </c>
      <c r="F121" s="118" t="s">
        <v>29</v>
      </c>
      <c r="G121" s="118" t="s">
        <v>43</v>
      </c>
      <c r="H121" s="118" t="s">
        <v>8264</v>
      </c>
      <c r="I121" s="118" t="s">
        <v>43</v>
      </c>
      <c r="J121" s="118"/>
      <c r="K121" s="118" t="s">
        <v>8265</v>
      </c>
      <c r="L121" s="118" t="s">
        <v>43</v>
      </c>
      <c r="M121" s="118" t="s">
        <v>7740</v>
      </c>
      <c r="N121" s="114" t="s">
        <v>43</v>
      </c>
    </row>
    <row r="122" spans="1:14" ht="20.05" customHeight="1">
      <c r="A122" s="144">
        <v>121</v>
      </c>
      <c r="B122" s="145" t="s">
        <v>530</v>
      </c>
      <c r="C122" s="118" t="s">
        <v>1139</v>
      </c>
      <c r="D122" s="118" t="s">
        <v>8255</v>
      </c>
      <c r="E122" s="118" t="s">
        <v>60</v>
      </c>
      <c r="F122" s="118" t="s">
        <v>29</v>
      </c>
      <c r="G122" s="118" t="s">
        <v>8266</v>
      </c>
      <c r="H122" s="118" t="s">
        <v>8267</v>
      </c>
      <c r="I122" s="118" t="s">
        <v>1683</v>
      </c>
      <c r="J122" s="118"/>
      <c r="K122" s="118" t="s">
        <v>8268</v>
      </c>
      <c r="L122" s="118" t="s">
        <v>8269</v>
      </c>
      <c r="M122" s="118" t="s">
        <v>7740</v>
      </c>
      <c r="N122" s="114" t="s">
        <v>43</v>
      </c>
    </row>
    <row r="123" spans="1:14" ht="20.05" customHeight="1">
      <c r="A123" s="144">
        <v>122</v>
      </c>
      <c r="B123" s="145" t="s">
        <v>760</v>
      </c>
      <c r="C123" s="118" t="s">
        <v>191</v>
      </c>
      <c r="D123" s="118" t="s">
        <v>904</v>
      </c>
      <c r="E123" s="118" t="s">
        <v>60</v>
      </c>
      <c r="F123" s="118" t="s">
        <v>29</v>
      </c>
      <c r="G123" s="118" t="s">
        <v>8270</v>
      </c>
      <c r="H123" s="127" t="s">
        <v>8271</v>
      </c>
      <c r="I123" s="118" t="s">
        <v>43</v>
      </c>
      <c r="J123" s="118"/>
      <c r="K123" s="120" t="s">
        <v>8272</v>
      </c>
      <c r="L123" s="118" t="s">
        <v>8273</v>
      </c>
      <c r="M123" s="118" t="s">
        <v>7740</v>
      </c>
      <c r="N123" s="114" t="s">
        <v>8274</v>
      </c>
    </row>
    <row r="124" spans="1:14" ht="20.05" customHeight="1">
      <c r="A124" s="144">
        <v>123</v>
      </c>
      <c r="B124" s="145" t="s">
        <v>371</v>
      </c>
      <c r="C124" s="118" t="s">
        <v>191</v>
      </c>
      <c r="D124" s="118" t="s">
        <v>8275</v>
      </c>
      <c r="E124" s="118" t="s">
        <v>8276</v>
      </c>
      <c r="F124" s="118" t="s">
        <v>29</v>
      </c>
      <c r="G124" s="118" t="s">
        <v>8277</v>
      </c>
      <c r="H124" s="118" t="s">
        <v>8278</v>
      </c>
      <c r="I124" s="118" t="s">
        <v>43</v>
      </c>
      <c r="J124" s="118"/>
      <c r="K124" s="118" t="s">
        <v>8279</v>
      </c>
      <c r="L124" s="118" t="s">
        <v>43</v>
      </c>
      <c r="M124" s="118" t="s">
        <v>7740</v>
      </c>
      <c r="N124" s="114" t="s">
        <v>43</v>
      </c>
    </row>
    <row r="125" spans="1:14" ht="20.05" customHeight="1">
      <c r="A125" s="144">
        <v>124</v>
      </c>
      <c r="B125" s="145" t="s">
        <v>156</v>
      </c>
      <c r="C125" s="118" t="s">
        <v>8280</v>
      </c>
      <c r="D125" s="120" t="s">
        <v>8281</v>
      </c>
      <c r="E125" s="118" t="s">
        <v>43</v>
      </c>
      <c r="F125" s="118" t="s">
        <v>29</v>
      </c>
      <c r="G125" s="118" t="s">
        <v>43</v>
      </c>
      <c r="H125" s="118" t="s">
        <v>8271</v>
      </c>
      <c r="I125" s="118" t="s">
        <v>43</v>
      </c>
      <c r="J125" s="118"/>
      <c r="K125" s="120" t="s">
        <v>8282</v>
      </c>
      <c r="L125" s="118" t="s">
        <v>43</v>
      </c>
      <c r="M125" s="118" t="s">
        <v>7740</v>
      </c>
      <c r="N125" s="114" t="s">
        <v>43</v>
      </c>
    </row>
    <row r="126" spans="1:14" ht="20.05" customHeight="1">
      <c r="A126" s="144">
        <v>125</v>
      </c>
      <c r="B126" s="145" t="s">
        <v>156</v>
      </c>
      <c r="C126" s="118" t="s">
        <v>191</v>
      </c>
      <c r="D126" s="118" t="s">
        <v>8255</v>
      </c>
      <c r="E126" s="118" t="s">
        <v>60</v>
      </c>
      <c r="F126" s="118" t="s">
        <v>29</v>
      </c>
      <c r="G126" s="118" t="s">
        <v>43</v>
      </c>
      <c r="H126" s="118" t="s">
        <v>8283</v>
      </c>
      <c r="I126" s="118" t="s">
        <v>43</v>
      </c>
      <c r="J126" s="118"/>
      <c r="K126" s="118" t="s">
        <v>8284</v>
      </c>
      <c r="L126" s="118" t="s">
        <v>43</v>
      </c>
      <c r="M126" s="118" t="s">
        <v>7740</v>
      </c>
      <c r="N126" s="114" t="s">
        <v>43</v>
      </c>
    </row>
    <row r="127" spans="1:14" ht="20.05" customHeight="1">
      <c r="A127" s="144">
        <v>126</v>
      </c>
      <c r="B127" s="145" t="s">
        <v>156</v>
      </c>
      <c r="C127" s="118" t="s">
        <v>207</v>
      </c>
      <c r="D127" s="118" t="s">
        <v>8255</v>
      </c>
      <c r="E127" s="118" t="s">
        <v>60</v>
      </c>
      <c r="F127" s="118" t="s">
        <v>29</v>
      </c>
      <c r="G127" s="118" t="s">
        <v>43</v>
      </c>
      <c r="H127" s="118" t="s">
        <v>8285</v>
      </c>
      <c r="I127" s="118" t="s">
        <v>853</v>
      </c>
      <c r="J127" s="118"/>
      <c r="K127" s="118" t="s">
        <v>8284</v>
      </c>
      <c r="L127" s="118" t="s">
        <v>43</v>
      </c>
      <c r="M127" s="118" t="s">
        <v>7740</v>
      </c>
      <c r="N127" s="114" t="s">
        <v>43</v>
      </c>
    </row>
    <row r="128" spans="1:14" ht="20.05" customHeight="1">
      <c r="A128" s="144">
        <v>127</v>
      </c>
      <c r="B128" s="145" t="s">
        <v>760</v>
      </c>
      <c r="C128" s="118" t="s">
        <v>191</v>
      </c>
      <c r="D128" s="118" t="s">
        <v>904</v>
      </c>
      <c r="E128" s="118" t="s">
        <v>60</v>
      </c>
      <c r="F128" s="118" t="s">
        <v>29</v>
      </c>
      <c r="G128" s="118" t="s">
        <v>8270</v>
      </c>
      <c r="H128" s="127" t="s">
        <v>8271</v>
      </c>
      <c r="I128" s="118" t="s">
        <v>43</v>
      </c>
      <c r="J128" s="118"/>
      <c r="K128" s="120" t="s">
        <v>8272</v>
      </c>
      <c r="L128" s="118" t="s">
        <v>8273</v>
      </c>
      <c r="M128" s="118" t="s">
        <v>7740</v>
      </c>
      <c r="N128" s="114" t="s">
        <v>8274</v>
      </c>
    </row>
    <row r="129" spans="1:14" ht="20.05" customHeight="1">
      <c r="A129" s="144">
        <v>128</v>
      </c>
      <c r="B129" s="145" t="s">
        <v>58</v>
      </c>
      <c r="C129" s="118" t="s">
        <v>5073</v>
      </c>
      <c r="D129" s="118" t="s">
        <v>904</v>
      </c>
      <c r="E129" s="118" t="s">
        <v>60</v>
      </c>
      <c r="F129" s="118" t="s">
        <v>29</v>
      </c>
      <c r="G129" s="118" t="s">
        <v>8286</v>
      </c>
      <c r="H129" s="118" t="s">
        <v>8287</v>
      </c>
      <c r="I129" s="118"/>
      <c r="J129" s="118"/>
      <c r="K129" s="120" t="s">
        <v>8288</v>
      </c>
      <c r="L129" s="118" t="s">
        <v>8289</v>
      </c>
      <c r="M129" s="118" t="s">
        <v>7980</v>
      </c>
      <c r="N129" s="114" t="s">
        <v>43</v>
      </c>
    </row>
    <row r="130" spans="1:14" ht="20.05" customHeight="1">
      <c r="A130" s="144">
        <v>129</v>
      </c>
      <c r="B130" s="145" t="s">
        <v>287</v>
      </c>
      <c r="C130" s="118" t="s">
        <v>5371</v>
      </c>
      <c r="D130" s="118" t="s">
        <v>52</v>
      </c>
      <c r="E130" s="118" t="s">
        <v>8290</v>
      </c>
      <c r="F130" s="118" t="s">
        <v>29</v>
      </c>
      <c r="G130" s="118" t="s">
        <v>43</v>
      </c>
      <c r="H130" s="118" t="s">
        <v>8291</v>
      </c>
      <c r="I130" s="118" t="s">
        <v>7166</v>
      </c>
      <c r="J130" s="118"/>
      <c r="K130" s="120" t="s">
        <v>8292</v>
      </c>
      <c r="L130" s="118" t="s">
        <v>43</v>
      </c>
      <c r="M130" s="118" t="s">
        <v>7740</v>
      </c>
      <c r="N130" s="114" t="s">
        <v>43</v>
      </c>
    </row>
    <row r="131" spans="1:14" ht="20.05" customHeight="1">
      <c r="A131" s="144">
        <v>130</v>
      </c>
      <c r="B131" s="145" t="s">
        <v>13</v>
      </c>
      <c r="C131" s="118" t="s">
        <v>59</v>
      </c>
      <c r="D131" s="118" t="s">
        <v>8293</v>
      </c>
      <c r="E131" s="120" t="s">
        <v>8294</v>
      </c>
      <c r="F131" s="118" t="s">
        <v>29</v>
      </c>
      <c r="G131" s="118" t="s">
        <v>43</v>
      </c>
      <c r="H131" s="118" t="s">
        <v>8295</v>
      </c>
      <c r="I131" s="118" t="s">
        <v>368</v>
      </c>
      <c r="J131" s="118"/>
      <c r="K131" s="120" t="s">
        <v>8296</v>
      </c>
      <c r="L131" s="120" t="s">
        <v>8297</v>
      </c>
      <c r="M131" s="118" t="s">
        <v>7740</v>
      </c>
      <c r="N131" s="114" t="s">
        <v>43</v>
      </c>
    </row>
    <row r="132" spans="1:14" ht="20.05" customHeight="1">
      <c r="A132" s="144">
        <v>131</v>
      </c>
      <c r="B132" s="145" t="s">
        <v>13</v>
      </c>
      <c r="C132" s="118" t="s">
        <v>116</v>
      </c>
      <c r="D132" s="118" t="s">
        <v>75</v>
      </c>
      <c r="E132" s="118" t="s">
        <v>8298</v>
      </c>
      <c r="F132" s="118" t="s">
        <v>29</v>
      </c>
      <c r="G132" s="118" t="s">
        <v>43</v>
      </c>
      <c r="H132" s="118" t="s">
        <v>8299</v>
      </c>
      <c r="I132" s="118" t="s">
        <v>43</v>
      </c>
      <c r="J132" s="118"/>
      <c r="K132" s="118" t="s">
        <v>8300</v>
      </c>
      <c r="L132" s="118" t="s">
        <v>8301</v>
      </c>
      <c r="M132" s="118" t="s">
        <v>7740</v>
      </c>
      <c r="N132" s="114" t="s">
        <v>43</v>
      </c>
    </row>
    <row r="133" spans="1:14" ht="20.05" customHeight="1">
      <c r="A133" s="144">
        <v>132</v>
      </c>
      <c r="B133" s="145" t="s">
        <v>13</v>
      </c>
      <c r="C133" s="118" t="s">
        <v>804</v>
      </c>
      <c r="D133" s="118" t="s">
        <v>43</v>
      </c>
      <c r="E133" s="118" t="s">
        <v>8302</v>
      </c>
      <c r="F133" s="118" t="s">
        <v>29</v>
      </c>
      <c r="G133" s="118" t="s">
        <v>43</v>
      </c>
      <c r="H133" s="118" t="s">
        <v>8303</v>
      </c>
      <c r="I133" s="118" t="s">
        <v>7794</v>
      </c>
      <c r="J133" s="118"/>
      <c r="K133" s="118" t="s">
        <v>8304</v>
      </c>
      <c r="L133" s="118" t="s">
        <v>8305</v>
      </c>
      <c r="M133" s="118" t="s">
        <v>7740</v>
      </c>
      <c r="N133" s="114" t="s">
        <v>43</v>
      </c>
    </row>
    <row r="134" spans="1:14" ht="20.05" customHeight="1">
      <c r="A134" s="144">
        <v>133</v>
      </c>
      <c r="B134" s="145" t="s">
        <v>1015</v>
      </c>
      <c r="C134" s="118" t="s">
        <v>390</v>
      </c>
      <c r="D134" s="118" t="s">
        <v>8306</v>
      </c>
      <c r="E134" s="118" t="s">
        <v>8307</v>
      </c>
      <c r="F134" s="118" t="s">
        <v>29</v>
      </c>
      <c r="G134" s="118" t="s">
        <v>8308</v>
      </c>
      <c r="H134" s="118" t="s">
        <v>8309</v>
      </c>
      <c r="I134" s="118" t="s">
        <v>8310</v>
      </c>
      <c r="J134" s="118"/>
      <c r="K134" s="120" t="s">
        <v>8311</v>
      </c>
      <c r="L134" s="118" t="s">
        <v>8312</v>
      </c>
      <c r="M134" s="118" t="s">
        <v>7740</v>
      </c>
      <c r="N134" s="114" t="s">
        <v>43</v>
      </c>
    </row>
    <row r="135" spans="1:14" ht="20.05" customHeight="1">
      <c r="A135" s="144">
        <v>134</v>
      </c>
      <c r="B135" s="145" t="s">
        <v>530</v>
      </c>
      <c r="C135" s="118" t="s">
        <v>8313</v>
      </c>
      <c r="D135" s="118" t="s">
        <v>52</v>
      </c>
      <c r="E135" s="118" t="s">
        <v>633</v>
      </c>
      <c r="F135" s="118" t="s">
        <v>29</v>
      </c>
      <c r="G135" s="120" t="s">
        <v>8314</v>
      </c>
      <c r="H135" s="118" t="s">
        <v>8315</v>
      </c>
      <c r="I135" s="118" t="s">
        <v>8316</v>
      </c>
      <c r="J135" s="118"/>
      <c r="K135" s="120" t="s">
        <v>8317</v>
      </c>
      <c r="L135" s="120" t="s">
        <v>8318</v>
      </c>
      <c r="M135" s="118" t="s">
        <v>7740</v>
      </c>
      <c r="N135" s="114" t="s">
        <v>43</v>
      </c>
    </row>
    <row r="136" spans="1:14" ht="20.05" customHeight="1">
      <c r="A136" s="144">
        <v>135</v>
      </c>
      <c r="B136" s="145" t="s">
        <v>156</v>
      </c>
      <c r="C136" s="118" t="s">
        <v>8319</v>
      </c>
      <c r="D136" s="118" t="s">
        <v>8320</v>
      </c>
      <c r="E136" s="118" t="s">
        <v>60</v>
      </c>
      <c r="F136" s="118" t="s">
        <v>29</v>
      </c>
      <c r="G136" s="118" t="s">
        <v>43</v>
      </c>
      <c r="H136" s="118" t="s">
        <v>8321</v>
      </c>
      <c r="I136" s="118" t="s">
        <v>43</v>
      </c>
      <c r="J136" s="118"/>
      <c r="K136" s="120" t="s">
        <v>8322</v>
      </c>
      <c r="L136" s="118" t="s">
        <v>43</v>
      </c>
      <c r="M136" s="118" t="s">
        <v>7740</v>
      </c>
      <c r="N136" s="114" t="s">
        <v>43</v>
      </c>
    </row>
    <row r="137" spans="1:14" ht="20.05" customHeight="1">
      <c r="A137" s="144">
        <v>136</v>
      </c>
      <c r="B137" s="145" t="s">
        <v>589</v>
      </c>
      <c r="C137" s="118" t="s">
        <v>191</v>
      </c>
      <c r="D137" s="118" t="s">
        <v>8323</v>
      </c>
      <c r="E137" s="118" t="s">
        <v>8324</v>
      </c>
      <c r="F137" s="118" t="s">
        <v>88</v>
      </c>
      <c r="G137" s="118" t="s">
        <v>8325</v>
      </c>
      <c r="H137" s="118" t="s">
        <v>8326</v>
      </c>
      <c r="I137" s="118" t="s">
        <v>368</v>
      </c>
      <c r="J137" s="118"/>
      <c r="K137" s="120" t="s">
        <v>8327</v>
      </c>
      <c r="L137" s="118" t="s">
        <v>43</v>
      </c>
      <c r="M137" s="118" t="s">
        <v>7980</v>
      </c>
      <c r="N137" s="114" t="s">
        <v>43</v>
      </c>
    </row>
    <row r="138" spans="1:14" ht="20.05" customHeight="1">
      <c r="A138" s="144">
        <v>137</v>
      </c>
      <c r="B138" s="145" t="s">
        <v>8328</v>
      </c>
      <c r="C138" s="118" t="s">
        <v>116</v>
      </c>
      <c r="D138" s="118" t="s">
        <v>8329</v>
      </c>
      <c r="E138" s="120" t="s">
        <v>8330</v>
      </c>
      <c r="F138" s="118" t="s">
        <v>29</v>
      </c>
      <c r="G138" s="120" t="s">
        <v>8331</v>
      </c>
      <c r="H138" s="118" t="s">
        <v>8332</v>
      </c>
      <c r="I138" s="121">
        <v>45858</v>
      </c>
      <c r="J138" s="118"/>
      <c r="K138" s="120" t="s">
        <v>8333</v>
      </c>
      <c r="L138" s="120" t="s">
        <v>8334</v>
      </c>
      <c r="M138" s="118" t="s">
        <v>7740</v>
      </c>
      <c r="N138" s="114" t="s">
        <v>43</v>
      </c>
    </row>
    <row r="139" spans="1:14" ht="20.05" customHeight="1">
      <c r="A139" s="144">
        <v>138</v>
      </c>
      <c r="B139" s="145" t="s">
        <v>309</v>
      </c>
      <c r="C139" s="118" t="s">
        <v>478</v>
      </c>
      <c r="D139" s="118" t="s">
        <v>8335</v>
      </c>
      <c r="E139" s="118" t="s">
        <v>60</v>
      </c>
      <c r="F139" s="118" t="s">
        <v>29</v>
      </c>
      <c r="G139" s="118" t="s">
        <v>8336</v>
      </c>
      <c r="H139" s="118" t="s">
        <v>8337</v>
      </c>
      <c r="I139" s="118" t="s">
        <v>8338</v>
      </c>
      <c r="J139" s="118"/>
      <c r="K139" s="118" t="s">
        <v>8339</v>
      </c>
      <c r="L139" s="118" t="s">
        <v>8340</v>
      </c>
      <c r="M139" s="118" t="s">
        <v>7740</v>
      </c>
      <c r="N139" s="114" t="s">
        <v>43</v>
      </c>
    </row>
    <row r="140" spans="1:14" ht="20.05" customHeight="1">
      <c r="A140" s="144">
        <v>139</v>
      </c>
      <c r="B140" s="145" t="s">
        <v>589</v>
      </c>
      <c r="C140" s="118" t="s">
        <v>1397</v>
      </c>
      <c r="D140" s="118" t="s">
        <v>8341</v>
      </c>
      <c r="E140" s="118" t="s">
        <v>43</v>
      </c>
      <c r="F140" s="118" t="s">
        <v>29</v>
      </c>
      <c r="G140" s="118" t="s">
        <v>43</v>
      </c>
      <c r="H140" s="118" t="s">
        <v>8342</v>
      </c>
      <c r="I140" s="118" t="s">
        <v>138</v>
      </c>
      <c r="J140" s="118"/>
      <c r="K140" s="118" t="s">
        <v>8343</v>
      </c>
      <c r="L140" s="118" t="s">
        <v>43</v>
      </c>
      <c r="M140" s="118" t="s">
        <v>7740</v>
      </c>
      <c r="N140" s="114" t="s">
        <v>8344</v>
      </c>
    </row>
    <row r="141" spans="1:14" ht="20.05" customHeight="1">
      <c r="A141" s="144">
        <v>140</v>
      </c>
      <c r="B141" s="145" t="s">
        <v>589</v>
      </c>
      <c r="C141" s="118" t="s">
        <v>1450</v>
      </c>
      <c r="D141" s="118" t="s">
        <v>8341</v>
      </c>
      <c r="E141" s="118" t="s">
        <v>43</v>
      </c>
      <c r="F141" s="118" t="s">
        <v>29</v>
      </c>
      <c r="G141" s="118" t="s">
        <v>43</v>
      </c>
      <c r="H141" s="118" t="s">
        <v>8345</v>
      </c>
      <c r="I141" s="118" t="s">
        <v>62</v>
      </c>
      <c r="J141" s="118"/>
      <c r="K141" s="118" t="s">
        <v>8343</v>
      </c>
      <c r="L141" s="118" t="s">
        <v>8346</v>
      </c>
      <c r="M141" s="118" t="s">
        <v>7740</v>
      </c>
      <c r="N141" s="114" t="s">
        <v>43</v>
      </c>
    </row>
    <row r="142" spans="1:14" ht="20.05" customHeight="1">
      <c r="A142" s="144">
        <v>141</v>
      </c>
      <c r="B142" s="145" t="s">
        <v>589</v>
      </c>
      <c r="C142" s="118" t="s">
        <v>836</v>
      </c>
      <c r="D142" s="118" t="s">
        <v>8341</v>
      </c>
      <c r="E142" s="118" t="s">
        <v>43</v>
      </c>
      <c r="F142" s="118" t="s">
        <v>29</v>
      </c>
      <c r="G142" s="118" t="s">
        <v>8347</v>
      </c>
      <c r="H142" s="118" t="s">
        <v>8348</v>
      </c>
      <c r="I142" s="118" t="s">
        <v>62</v>
      </c>
      <c r="J142" s="118"/>
      <c r="K142" s="118" t="s">
        <v>8343</v>
      </c>
      <c r="L142" s="118" t="s">
        <v>43</v>
      </c>
      <c r="M142" s="118" t="s">
        <v>7740</v>
      </c>
      <c r="N142" s="114" t="s">
        <v>8344</v>
      </c>
    </row>
    <row r="143" spans="1:14" ht="20.05" customHeight="1">
      <c r="A143" s="144">
        <v>142</v>
      </c>
      <c r="B143" s="145" t="s">
        <v>287</v>
      </c>
      <c r="C143" s="118" t="s">
        <v>6926</v>
      </c>
      <c r="D143" s="118" t="s">
        <v>36</v>
      </c>
      <c r="E143" s="120" t="s">
        <v>8349</v>
      </c>
      <c r="F143" s="118" t="s">
        <v>29</v>
      </c>
      <c r="G143" s="118" t="s">
        <v>8350</v>
      </c>
      <c r="H143" s="118" t="s">
        <v>8351</v>
      </c>
      <c r="I143" s="118" t="s">
        <v>8352</v>
      </c>
      <c r="J143" s="118"/>
      <c r="K143" s="118" t="s">
        <v>43</v>
      </c>
      <c r="L143" s="118" t="s">
        <v>43</v>
      </c>
      <c r="M143" s="118" t="s">
        <v>7740</v>
      </c>
      <c r="N143" s="114" t="s">
        <v>43</v>
      </c>
    </row>
    <row r="144" spans="1:14" ht="20.05" customHeight="1">
      <c r="A144" s="144">
        <v>143</v>
      </c>
      <c r="B144" s="145" t="s">
        <v>1015</v>
      </c>
      <c r="C144" s="118" t="s">
        <v>945</v>
      </c>
      <c r="D144" s="120" t="s">
        <v>8353</v>
      </c>
      <c r="E144" s="120" t="s">
        <v>8354</v>
      </c>
      <c r="F144" s="118" t="s">
        <v>29</v>
      </c>
      <c r="G144" s="118" t="s">
        <v>43</v>
      </c>
      <c r="H144" s="118" t="s">
        <v>8355</v>
      </c>
      <c r="I144" s="121">
        <v>45841</v>
      </c>
      <c r="J144" s="118"/>
      <c r="K144" s="120" t="s">
        <v>8356</v>
      </c>
      <c r="L144" s="118" t="s">
        <v>8357</v>
      </c>
      <c r="M144" s="118" t="s">
        <v>7740</v>
      </c>
      <c r="N144" s="114" t="s">
        <v>43</v>
      </c>
    </row>
    <row r="145" spans="1:14" ht="20.05" customHeight="1">
      <c r="A145" s="144">
        <v>144</v>
      </c>
      <c r="B145" s="145" t="s">
        <v>760</v>
      </c>
      <c r="C145" s="118" t="s">
        <v>1670</v>
      </c>
      <c r="D145" s="118" t="s">
        <v>8358</v>
      </c>
      <c r="E145" s="120" t="s">
        <v>8359</v>
      </c>
      <c r="F145" s="118" t="s">
        <v>29</v>
      </c>
      <c r="G145" s="118" t="s">
        <v>43</v>
      </c>
      <c r="H145" s="118" t="s">
        <v>8360</v>
      </c>
      <c r="I145" s="118" t="s">
        <v>8361</v>
      </c>
      <c r="J145" s="118"/>
      <c r="K145" s="120" t="s">
        <v>8362</v>
      </c>
      <c r="L145" s="118" t="s">
        <v>5472</v>
      </c>
      <c r="M145" s="118" t="s">
        <v>7740</v>
      </c>
      <c r="N145" s="114" t="s">
        <v>43</v>
      </c>
    </row>
    <row r="146" spans="1:14" ht="20.05" customHeight="1">
      <c r="A146" s="144">
        <v>145</v>
      </c>
      <c r="B146" s="145" t="s">
        <v>760</v>
      </c>
      <c r="C146" s="118" t="s">
        <v>8363</v>
      </c>
      <c r="D146" s="120" t="s">
        <v>8364</v>
      </c>
      <c r="E146" s="118" t="s">
        <v>8365</v>
      </c>
      <c r="F146" s="118" t="s">
        <v>29</v>
      </c>
      <c r="G146" s="118" t="s">
        <v>43</v>
      </c>
      <c r="H146" s="118" t="s">
        <v>8366</v>
      </c>
      <c r="I146" s="118" t="s">
        <v>8367</v>
      </c>
      <c r="J146" s="118"/>
      <c r="K146" s="120" t="s">
        <v>8368</v>
      </c>
      <c r="L146" s="118" t="s">
        <v>8369</v>
      </c>
      <c r="M146" s="118" t="s">
        <v>7740</v>
      </c>
      <c r="N146" s="114" t="s">
        <v>43</v>
      </c>
    </row>
    <row r="147" spans="1:14" ht="20.05" customHeight="1">
      <c r="A147" s="144">
        <v>146</v>
      </c>
      <c r="B147" s="145" t="s">
        <v>760</v>
      </c>
      <c r="C147" s="118" t="s">
        <v>390</v>
      </c>
      <c r="D147" s="118" t="s">
        <v>8370</v>
      </c>
      <c r="E147" s="118" t="s">
        <v>8371</v>
      </c>
      <c r="F147" s="118" t="s">
        <v>88</v>
      </c>
      <c r="G147" s="118" t="s">
        <v>8372</v>
      </c>
      <c r="H147" s="118" t="s">
        <v>8360</v>
      </c>
      <c r="I147" s="118" t="s">
        <v>3944</v>
      </c>
      <c r="J147" s="118"/>
      <c r="K147" s="120" t="s">
        <v>8373</v>
      </c>
      <c r="L147" s="118" t="s">
        <v>43</v>
      </c>
      <c r="M147" s="118" t="s">
        <v>7740</v>
      </c>
      <c r="N147" s="114" t="s">
        <v>43</v>
      </c>
    </row>
    <row r="148" spans="1:14" ht="20.05" customHeight="1">
      <c r="A148" s="144">
        <v>147</v>
      </c>
      <c r="B148" s="145" t="s">
        <v>13</v>
      </c>
      <c r="C148" s="118" t="s">
        <v>1237</v>
      </c>
      <c r="D148" s="118" t="s">
        <v>791</v>
      </c>
      <c r="E148" s="120" t="s">
        <v>781</v>
      </c>
      <c r="F148" s="118" t="s">
        <v>29</v>
      </c>
      <c r="G148" s="118" t="s">
        <v>43</v>
      </c>
      <c r="H148" s="118" t="s">
        <v>8374</v>
      </c>
      <c r="I148" s="118"/>
      <c r="J148" s="118"/>
      <c r="K148" s="120" t="s">
        <v>8375</v>
      </c>
      <c r="L148" s="118" t="s">
        <v>43</v>
      </c>
      <c r="M148" s="118" t="s">
        <v>7740</v>
      </c>
      <c r="N148" s="114" t="s">
        <v>43</v>
      </c>
    </row>
    <row r="149" spans="1:14" ht="20.05" customHeight="1">
      <c r="A149" s="144">
        <v>148</v>
      </c>
      <c r="B149" s="145" t="s">
        <v>13</v>
      </c>
      <c r="C149" s="118" t="s">
        <v>8376</v>
      </c>
      <c r="D149" s="118" t="s">
        <v>8377</v>
      </c>
      <c r="E149" s="120" t="s">
        <v>781</v>
      </c>
      <c r="F149" s="118" t="s">
        <v>29</v>
      </c>
      <c r="G149" s="118" t="s">
        <v>8378</v>
      </c>
      <c r="H149" s="118" t="s">
        <v>8379</v>
      </c>
      <c r="I149" s="118" t="s">
        <v>43</v>
      </c>
      <c r="J149" s="118"/>
      <c r="K149" s="120" t="s">
        <v>8380</v>
      </c>
      <c r="L149" s="118" t="s">
        <v>43</v>
      </c>
      <c r="M149" s="118" t="s">
        <v>7740</v>
      </c>
      <c r="N149" s="114" t="s">
        <v>43</v>
      </c>
    </row>
    <row r="150" spans="1:14" ht="20.05" customHeight="1">
      <c r="A150" s="144">
        <v>149</v>
      </c>
      <c r="B150" s="145" t="s">
        <v>13</v>
      </c>
      <c r="C150" s="118" t="s">
        <v>817</v>
      </c>
      <c r="D150" s="118" t="s">
        <v>8377</v>
      </c>
      <c r="E150" s="120" t="s">
        <v>781</v>
      </c>
      <c r="F150" s="118" t="s">
        <v>29</v>
      </c>
      <c r="G150" s="118" t="s">
        <v>43</v>
      </c>
      <c r="H150" s="118" t="s">
        <v>8381</v>
      </c>
      <c r="I150" s="118" t="s">
        <v>43</v>
      </c>
      <c r="J150" s="118"/>
      <c r="K150" s="120" t="s">
        <v>8380</v>
      </c>
      <c r="L150" s="118" t="s">
        <v>43</v>
      </c>
      <c r="M150" s="118" t="s">
        <v>7740</v>
      </c>
      <c r="N150" s="114" t="s">
        <v>43</v>
      </c>
    </row>
    <row r="151" spans="1:14" ht="20.05" customHeight="1">
      <c r="A151" s="144">
        <v>150</v>
      </c>
      <c r="B151" s="145" t="s">
        <v>13</v>
      </c>
      <c r="C151" s="118" t="s">
        <v>828</v>
      </c>
      <c r="D151" s="118" t="s">
        <v>791</v>
      </c>
      <c r="E151" s="120" t="s">
        <v>781</v>
      </c>
      <c r="F151" s="118" t="s">
        <v>29</v>
      </c>
      <c r="G151" s="118" t="s">
        <v>43</v>
      </c>
      <c r="H151" s="118" t="s">
        <v>8382</v>
      </c>
      <c r="I151" s="118" t="s">
        <v>43</v>
      </c>
      <c r="J151" s="118"/>
      <c r="K151" s="120" t="s">
        <v>8380</v>
      </c>
      <c r="L151" s="118" t="s">
        <v>43</v>
      </c>
      <c r="M151" s="118" t="s">
        <v>7740</v>
      </c>
      <c r="N151" s="114" t="s">
        <v>43</v>
      </c>
    </row>
    <row r="152" spans="1:14" ht="20.05" customHeight="1">
      <c r="A152" s="144">
        <v>151</v>
      </c>
      <c r="B152" s="145" t="s">
        <v>287</v>
      </c>
      <c r="C152" s="118" t="s">
        <v>478</v>
      </c>
      <c r="D152" s="118" t="s">
        <v>43</v>
      </c>
      <c r="E152" s="118" t="s">
        <v>43</v>
      </c>
      <c r="F152" s="118" t="s">
        <v>29</v>
      </c>
      <c r="G152" s="118" t="s">
        <v>8383</v>
      </c>
      <c r="H152" s="118" t="s">
        <v>8384</v>
      </c>
      <c r="I152" s="118" t="s">
        <v>8385</v>
      </c>
      <c r="J152" s="118"/>
      <c r="K152" s="120" t="s">
        <v>8386</v>
      </c>
      <c r="L152" s="118" t="s">
        <v>43</v>
      </c>
      <c r="M152" s="118" t="s">
        <v>7740</v>
      </c>
      <c r="N152" s="114" t="s">
        <v>43</v>
      </c>
    </row>
    <row r="153" spans="1:14" ht="20.05" customHeight="1">
      <c r="A153" s="144">
        <v>152</v>
      </c>
      <c r="B153" s="145" t="s">
        <v>1015</v>
      </c>
      <c r="C153" s="118" t="s">
        <v>478</v>
      </c>
      <c r="D153" s="118" t="s">
        <v>8387</v>
      </c>
      <c r="E153" s="118" t="s">
        <v>1017</v>
      </c>
      <c r="F153" s="118" t="s">
        <v>29</v>
      </c>
      <c r="G153" s="118" t="s">
        <v>8388</v>
      </c>
      <c r="H153" s="118" t="s">
        <v>8389</v>
      </c>
      <c r="I153" s="118"/>
      <c r="J153" s="118"/>
      <c r="K153" s="120" t="s">
        <v>8390</v>
      </c>
      <c r="L153" s="118" t="s">
        <v>43</v>
      </c>
      <c r="M153" s="118" t="s">
        <v>7740</v>
      </c>
      <c r="N153" s="114" t="s">
        <v>43</v>
      </c>
    </row>
    <row r="154" spans="1:14" ht="20.05" customHeight="1">
      <c r="A154" s="144">
        <v>153</v>
      </c>
      <c r="B154" s="145" t="s">
        <v>2190</v>
      </c>
      <c r="C154" s="118" t="s">
        <v>8391</v>
      </c>
      <c r="D154" s="120" t="s">
        <v>8392</v>
      </c>
      <c r="E154" s="118" t="s">
        <v>8393</v>
      </c>
      <c r="F154" s="118" t="s">
        <v>7613</v>
      </c>
      <c r="G154" s="118" t="s">
        <v>43</v>
      </c>
      <c r="H154" s="118" t="s">
        <v>8394</v>
      </c>
      <c r="I154" s="118" t="s">
        <v>8395</v>
      </c>
      <c r="J154" s="118"/>
      <c r="K154" s="120" t="s">
        <v>8396</v>
      </c>
      <c r="L154" s="118" t="s">
        <v>43</v>
      </c>
      <c r="M154" s="118" t="s">
        <v>7740</v>
      </c>
      <c r="N154" s="114" t="s">
        <v>43</v>
      </c>
    </row>
    <row r="155" spans="1:14" ht="20.05" customHeight="1">
      <c r="A155" s="144">
        <v>154</v>
      </c>
      <c r="B155" s="145" t="s">
        <v>589</v>
      </c>
      <c r="C155" s="118" t="s">
        <v>640</v>
      </c>
      <c r="D155" s="118" t="s">
        <v>36</v>
      </c>
      <c r="E155" s="118" t="s">
        <v>8397</v>
      </c>
      <c r="F155" s="118"/>
      <c r="G155" s="118"/>
      <c r="H155" s="118" t="s">
        <v>8398</v>
      </c>
      <c r="I155" s="118" t="s">
        <v>4630</v>
      </c>
      <c r="J155" s="118"/>
      <c r="K155" s="118" t="s">
        <v>8399</v>
      </c>
      <c r="L155" s="118" t="s">
        <v>8400</v>
      </c>
      <c r="M155" s="118" t="s">
        <v>7740</v>
      </c>
      <c r="N155" s="114" t="s">
        <v>43</v>
      </c>
    </row>
    <row r="156" spans="1:14" ht="20.05" customHeight="1">
      <c r="A156" s="144">
        <v>155</v>
      </c>
      <c r="B156" s="145" t="s">
        <v>287</v>
      </c>
      <c r="C156" s="118" t="s">
        <v>8401</v>
      </c>
      <c r="D156" s="118" t="s">
        <v>36</v>
      </c>
      <c r="E156" s="118" t="s">
        <v>8402</v>
      </c>
      <c r="F156" s="118" t="s">
        <v>29</v>
      </c>
      <c r="G156" s="118" t="s">
        <v>8403</v>
      </c>
      <c r="H156" s="118" t="s">
        <v>8404</v>
      </c>
      <c r="I156" s="118" t="s">
        <v>8405</v>
      </c>
      <c r="J156" s="118"/>
      <c r="K156" s="120" t="s">
        <v>8406</v>
      </c>
      <c r="L156" s="118" t="s">
        <v>8407</v>
      </c>
      <c r="M156" s="118" t="s">
        <v>7740</v>
      </c>
      <c r="N156" s="114" t="s">
        <v>43</v>
      </c>
    </row>
    <row r="157" spans="1:14" ht="20.05" customHeight="1">
      <c r="A157" s="144">
        <v>156</v>
      </c>
      <c r="B157" s="145" t="s">
        <v>287</v>
      </c>
      <c r="C157" s="118" t="s">
        <v>5775</v>
      </c>
      <c r="D157" s="118" t="s">
        <v>36</v>
      </c>
      <c r="E157" s="118" t="s">
        <v>8402</v>
      </c>
      <c r="F157" s="118"/>
      <c r="G157" s="118" t="s">
        <v>8408</v>
      </c>
      <c r="H157" s="118" t="s">
        <v>8409</v>
      </c>
      <c r="I157" s="118" t="s">
        <v>43</v>
      </c>
      <c r="J157" s="118"/>
      <c r="K157" s="118" t="s">
        <v>8410</v>
      </c>
      <c r="L157" s="118" t="s">
        <v>43</v>
      </c>
      <c r="M157" s="118" t="s">
        <v>7740</v>
      </c>
      <c r="N157" s="114" t="s">
        <v>43</v>
      </c>
    </row>
    <row r="158" spans="1:14" ht="20.05" customHeight="1">
      <c r="A158" s="144">
        <v>157</v>
      </c>
      <c r="B158" s="145" t="s">
        <v>287</v>
      </c>
      <c r="C158" s="118" t="s">
        <v>5757</v>
      </c>
      <c r="D158" s="118" t="s">
        <v>36</v>
      </c>
      <c r="E158" s="118" t="s">
        <v>8402</v>
      </c>
      <c r="F158" s="118" t="s">
        <v>29</v>
      </c>
      <c r="G158" s="120" t="s">
        <v>8411</v>
      </c>
      <c r="H158" s="118" t="s">
        <v>8404</v>
      </c>
      <c r="I158" s="118" t="s">
        <v>2752</v>
      </c>
      <c r="J158" s="118"/>
      <c r="K158" s="118" t="s">
        <v>43</v>
      </c>
      <c r="L158" s="120" t="s">
        <v>8412</v>
      </c>
      <c r="M158" s="118" t="s">
        <v>7740</v>
      </c>
      <c r="N158" s="114" t="s">
        <v>43</v>
      </c>
    </row>
    <row r="159" spans="1:14" ht="20.05" customHeight="1">
      <c r="A159" s="144">
        <v>158</v>
      </c>
      <c r="B159" s="145" t="s">
        <v>13</v>
      </c>
      <c r="C159" s="118" t="s">
        <v>779</v>
      </c>
      <c r="D159" s="118" t="s">
        <v>780</v>
      </c>
      <c r="E159" s="120" t="s">
        <v>8413</v>
      </c>
      <c r="F159" s="118" t="s">
        <v>29</v>
      </c>
      <c r="G159" s="118" t="s">
        <v>43</v>
      </c>
      <c r="H159" s="118" t="s">
        <v>8414</v>
      </c>
      <c r="I159" s="118" t="s">
        <v>43</v>
      </c>
      <c r="J159" s="118"/>
      <c r="K159" s="120" t="s">
        <v>8415</v>
      </c>
      <c r="L159" s="120" t="s">
        <v>43</v>
      </c>
      <c r="M159" s="118" t="s">
        <v>7740</v>
      </c>
      <c r="N159" s="114" t="s">
        <v>43</v>
      </c>
    </row>
    <row r="160" spans="1:14" ht="20.05" customHeight="1">
      <c r="A160" s="144">
        <v>159</v>
      </c>
      <c r="B160" s="145" t="s">
        <v>13</v>
      </c>
      <c r="C160" s="118" t="s">
        <v>824</v>
      </c>
      <c r="D160" s="118" t="s">
        <v>780</v>
      </c>
      <c r="E160" s="120" t="s">
        <v>8413</v>
      </c>
      <c r="F160" s="118" t="s">
        <v>29</v>
      </c>
      <c r="G160" s="118" t="s">
        <v>43</v>
      </c>
      <c r="H160" s="118" t="s">
        <v>8416</v>
      </c>
      <c r="I160" s="118"/>
      <c r="J160" s="118"/>
      <c r="K160" s="120" t="s">
        <v>8415</v>
      </c>
      <c r="L160" s="120" t="s">
        <v>43</v>
      </c>
      <c r="M160" s="118" t="s">
        <v>7740</v>
      </c>
      <c r="N160" s="114" t="s">
        <v>43</v>
      </c>
    </row>
    <row r="161" spans="1:14" ht="20.05" customHeight="1">
      <c r="A161" s="148">
        <v>160</v>
      </c>
      <c r="B161" s="149" t="s">
        <v>309</v>
      </c>
      <c r="C161" s="124" t="s">
        <v>945</v>
      </c>
      <c r="D161" s="123"/>
      <c r="E161" s="123"/>
      <c r="F161" s="123" t="s">
        <v>29</v>
      </c>
      <c r="G161" s="123"/>
      <c r="H161" s="123" t="s">
        <v>7859</v>
      </c>
      <c r="I161" s="123" t="s">
        <v>8417</v>
      </c>
      <c r="J161" s="123" t="s">
        <v>8418</v>
      </c>
      <c r="K161" s="123" t="s">
        <v>8419</v>
      </c>
      <c r="L161" s="123" t="s">
        <v>8420</v>
      </c>
      <c r="M161" s="123"/>
      <c r="N161" s="122"/>
    </row>
    <row r="162" spans="1:14" ht="20.05" customHeight="1">
      <c r="A162" s="148">
        <v>161</v>
      </c>
      <c r="B162" s="149" t="s">
        <v>283</v>
      </c>
      <c r="C162" s="124" t="s">
        <v>305</v>
      </c>
      <c r="D162" s="123"/>
      <c r="E162" s="123"/>
      <c r="F162" s="123" t="s">
        <v>29</v>
      </c>
      <c r="G162" s="123"/>
      <c r="H162" s="123" t="s">
        <v>8421</v>
      </c>
      <c r="I162" s="123" t="s">
        <v>8422</v>
      </c>
      <c r="J162" s="123"/>
      <c r="K162" s="123" t="s">
        <v>8423</v>
      </c>
      <c r="L162" s="123" t="s">
        <v>8423</v>
      </c>
      <c r="M162" s="123"/>
      <c r="N162" s="122"/>
    </row>
    <row r="163" spans="1:14" ht="20.05" customHeight="1">
      <c r="A163" s="148">
        <v>162</v>
      </c>
      <c r="B163" s="149" t="s">
        <v>455</v>
      </c>
      <c r="C163" s="124" t="s">
        <v>8424</v>
      </c>
      <c r="D163" s="123" t="s">
        <v>8425</v>
      </c>
      <c r="E163" s="123" t="s">
        <v>8426</v>
      </c>
      <c r="F163" s="123"/>
      <c r="G163" s="123"/>
      <c r="H163" s="123" t="s">
        <v>8427</v>
      </c>
      <c r="I163" s="123" t="s">
        <v>8141</v>
      </c>
      <c r="J163" s="123"/>
      <c r="K163" s="123" t="s">
        <v>8428</v>
      </c>
      <c r="L163" s="123" t="s">
        <v>8429</v>
      </c>
      <c r="M163" s="123"/>
      <c r="N163" s="122" t="s">
        <v>8430</v>
      </c>
    </row>
    <row r="164" spans="1:14" ht="20.05" customHeight="1">
      <c r="A164" s="148">
        <v>163</v>
      </c>
      <c r="B164" s="149" t="s">
        <v>333</v>
      </c>
      <c r="C164" s="124" t="s">
        <v>856</v>
      </c>
      <c r="D164" s="123"/>
      <c r="E164" s="123" t="s">
        <v>8431</v>
      </c>
      <c r="F164" s="123"/>
      <c r="G164" s="123" t="s">
        <v>8432</v>
      </c>
      <c r="H164" s="123" t="s">
        <v>8433</v>
      </c>
      <c r="I164" s="123" t="s">
        <v>8434</v>
      </c>
      <c r="J164" s="123" t="s">
        <v>323</v>
      </c>
      <c r="K164" s="123" t="s">
        <v>8435</v>
      </c>
      <c r="L164" s="123" t="s">
        <v>8436</v>
      </c>
      <c r="M164" s="123"/>
      <c r="N164" s="122"/>
    </row>
    <row r="165" spans="1:14" ht="20.05" customHeight="1">
      <c r="A165" s="148">
        <v>164</v>
      </c>
      <c r="B165" s="149" t="s">
        <v>1015</v>
      </c>
      <c r="C165" s="124" t="s">
        <v>8437</v>
      </c>
      <c r="D165" s="123" t="s">
        <v>1560</v>
      </c>
      <c r="E165" s="123" t="s">
        <v>8438</v>
      </c>
      <c r="F165" s="123" t="s">
        <v>29</v>
      </c>
      <c r="G165" s="123"/>
      <c r="H165" s="123" t="s">
        <v>8439</v>
      </c>
      <c r="I165" s="123" t="s">
        <v>8338</v>
      </c>
      <c r="J165" s="123"/>
      <c r="K165" s="123" t="s">
        <v>8440</v>
      </c>
      <c r="L165" s="123" t="s">
        <v>8441</v>
      </c>
      <c r="M165" s="123"/>
      <c r="N165" s="122"/>
    </row>
    <row r="166" spans="1:14" ht="20.05" customHeight="1">
      <c r="A166" s="148">
        <v>165</v>
      </c>
      <c r="B166" s="149" t="s">
        <v>283</v>
      </c>
      <c r="C166" s="124" t="s">
        <v>647</v>
      </c>
      <c r="D166" s="123"/>
      <c r="E166" s="123"/>
      <c r="F166" s="123" t="s">
        <v>8442</v>
      </c>
      <c r="G166" s="123"/>
      <c r="H166" s="123" t="s">
        <v>8443</v>
      </c>
      <c r="I166" s="123" t="s">
        <v>8444</v>
      </c>
      <c r="J166" s="123"/>
      <c r="K166" s="123" t="s">
        <v>8445</v>
      </c>
      <c r="L166" s="123"/>
      <c r="M166" s="123"/>
      <c r="N166" s="122"/>
    </row>
    <row r="167" spans="1:14" ht="20.05" customHeight="1">
      <c r="A167" s="148">
        <v>166</v>
      </c>
      <c r="B167" s="149" t="s">
        <v>1390</v>
      </c>
      <c r="C167" s="124" t="s">
        <v>478</v>
      </c>
      <c r="D167" s="123" t="s">
        <v>8446</v>
      </c>
      <c r="E167" s="123" t="s">
        <v>8447</v>
      </c>
      <c r="F167" s="123" t="s">
        <v>8448</v>
      </c>
      <c r="G167" s="123" t="s">
        <v>8449</v>
      </c>
      <c r="H167" s="123" t="s">
        <v>8450</v>
      </c>
      <c r="I167" s="123" t="s">
        <v>8451</v>
      </c>
      <c r="J167" s="123" t="s">
        <v>402</v>
      </c>
      <c r="K167" s="123" t="s">
        <v>8452</v>
      </c>
      <c r="L167" s="123" t="s">
        <v>8453</v>
      </c>
      <c r="M167" s="123"/>
      <c r="N167" s="122"/>
    </row>
    <row r="168" spans="1:14" ht="20.05" customHeight="1">
      <c r="A168" s="148">
        <v>167</v>
      </c>
      <c r="B168" s="149" t="s">
        <v>8454</v>
      </c>
      <c r="C168" s="124" t="s">
        <v>6844</v>
      </c>
      <c r="D168" s="123" t="s">
        <v>8455</v>
      </c>
      <c r="E168" s="123" t="s">
        <v>8456</v>
      </c>
      <c r="F168" s="123" t="s">
        <v>29</v>
      </c>
      <c r="G168" s="123" t="s">
        <v>8457</v>
      </c>
      <c r="H168" s="123" t="s">
        <v>8458</v>
      </c>
      <c r="I168" s="123"/>
      <c r="J168" s="123" t="s">
        <v>625</v>
      </c>
      <c r="K168" s="123" t="s">
        <v>8459</v>
      </c>
      <c r="L168" s="123" t="s">
        <v>8460</v>
      </c>
      <c r="M168" s="123"/>
      <c r="N168" s="122"/>
    </row>
    <row r="169" spans="1:14" ht="20.05" customHeight="1">
      <c r="A169" s="148">
        <v>168</v>
      </c>
      <c r="B169" s="149" t="s">
        <v>1015</v>
      </c>
      <c r="C169" s="124" t="s">
        <v>59</v>
      </c>
      <c r="D169" s="123" t="s">
        <v>8461</v>
      </c>
      <c r="E169" s="123"/>
      <c r="F169" s="123"/>
      <c r="G169" s="123"/>
      <c r="H169" s="123" t="s">
        <v>8462</v>
      </c>
      <c r="I169" s="123" t="s">
        <v>8463</v>
      </c>
      <c r="J169" s="123" t="s">
        <v>942</v>
      </c>
      <c r="K169" s="123" t="s">
        <v>8464</v>
      </c>
      <c r="L169" s="123" t="s">
        <v>8465</v>
      </c>
      <c r="M169" s="123"/>
      <c r="N169" s="122"/>
    </row>
    <row r="170" spans="1:14" ht="20.05" customHeight="1">
      <c r="A170" s="148">
        <v>169</v>
      </c>
      <c r="B170" s="149" t="s">
        <v>156</v>
      </c>
      <c r="C170" s="124" t="s">
        <v>59</v>
      </c>
      <c r="D170" s="123"/>
      <c r="E170" s="123"/>
      <c r="F170" s="123" t="s">
        <v>29</v>
      </c>
      <c r="G170" s="123"/>
      <c r="H170" s="123" t="s">
        <v>8466</v>
      </c>
      <c r="I170" s="123" t="s">
        <v>8467</v>
      </c>
      <c r="J170" s="123"/>
      <c r="K170" s="123" t="s">
        <v>8468</v>
      </c>
      <c r="L170" s="123"/>
      <c r="M170" s="123"/>
      <c r="N170" s="122"/>
    </row>
    <row r="171" spans="1:14" ht="20.05" customHeight="1">
      <c r="A171" s="148">
        <v>170</v>
      </c>
      <c r="B171" s="149" t="s">
        <v>333</v>
      </c>
      <c r="C171" s="124" t="s">
        <v>295</v>
      </c>
      <c r="D171" s="123" t="s">
        <v>8469</v>
      </c>
      <c r="E171" s="123" t="s">
        <v>6719</v>
      </c>
      <c r="F171" s="123" t="s">
        <v>29</v>
      </c>
      <c r="G171" s="123"/>
      <c r="H171" s="126" t="s">
        <v>8470</v>
      </c>
      <c r="I171" s="123" t="s">
        <v>674</v>
      </c>
      <c r="J171" s="123">
        <v>80</v>
      </c>
      <c r="K171" s="123" t="s">
        <v>8471</v>
      </c>
      <c r="L171" s="123" t="s">
        <v>8472</v>
      </c>
      <c r="M171" s="123"/>
      <c r="N171" s="122"/>
    </row>
    <row r="172" spans="1:14" ht="20.05" customHeight="1">
      <c r="A172" s="148">
        <v>171</v>
      </c>
      <c r="B172" s="149" t="s">
        <v>287</v>
      </c>
      <c r="C172" s="124" t="s">
        <v>59</v>
      </c>
      <c r="D172" s="123"/>
      <c r="E172" s="123" t="s">
        <v>5834</v>
      </c>
      <c r="F172" s="123" t="s">
        <v>88</v>
      </c>
      <c r="G172" s="123" t="s">
        <v>8473</v>
      </c>
      <c r="H172" s="123" t="s">
        <v>8474</v>
      </c>
      <c r="I172" s="123" t="s">
        <v>8475</v>
      </c>
      <c r="J172" s="123"/>
      <c r="K172" s="123" t="s">
        <v>8476</v>
      </c>
      <c r="L172" s="123"/>
      <c r="M172" s="123" t="s">
        <v>8477</v>
      </c>
      <c r="N172" s="122"/>
    </row>
    <row r="173" spans="1:14" ht="20.05" customHeight="1">
      <c r="A173" s="148">
        <v>172</v>
      </c>
      <c r="B173" s="149" t="s">
        <v>287</v>
      </c>
      <c r="C173" s="124" t="s">
        <v>191</v>
      </c>
      <c r="D173" s="123" t="s">
        <v>8478</v>
      </c>
      <c r="E173" s="123"/>
      <c r="F173" s="123" t="s">
        <v>29</v>
      </c>
      <c r="G173" s="123" t="s">
        <v>8479</v>
      </c>
      <c r="H173" s="123" t="s">
        <v>8480</v>
      </c>
      <c r="I173" s="123" t="s">
        <v>8481</v>
      </c>
      <c r="J173" s="123"/>
      <c r="K173" s="123" t="s">
        <v>8482</v>
      </c>
      <c r="L173" s="123" t="s">
        <v>8477</v>
      </c>
      <c r="M173" s="123"/>
      <c r="N173" s="122"/>
    </row>
    <row r="174" spans="1:14" ht="20.05" customHeight="1">
      <c r="A174" s="148">
        <v>173</v>
      </c>
      <c r="B174" s="149" t="s">
        <v>1015</v>
      </c>
      <c r="C174" s="124" t="s">
        <v>5408</v>
      </c>
      <c r="D174" s="123" t="s">
        <v>1560</v>
      </c>
      <c r="E174" s="123" t="s">
        <v>8483</v>
      </c>
      <c r="F174" s="123" t="s">
        <v>29</v>
      </c>
      <c r="G174" s="123" t="s">
        <v>8484</v>
      </c>
      <c r="H174" s="123" t="s">
        <v>8093</v>
      </c>
      <c r="I174" s="123" t="s">
        <v>8338</v>
      </c>
      <c r="J174" s="123" t="s">
        <v>231</v>
      </c>
      <c r="K174" s="123" t="s">
        <v>8485</v>
      </c>
      <c r="L174" s="123" t="s">
        <v>8486</v>
      </c>
      <c r="M174" s="123"/>
      <c r="N174" s="122"/>
    </row>
    <row r="175" spans="1:14" ht="20.05" customHeight="1">
      <c r="A175" s="148">
        <v>174</v>
      </c>
      <c r="B175" s="149" t="s">
        <v>1015</v>
      </c>
      <c r="C175" s="124" t="s">
        <v>8487</v>
      </c>
      <c r="D175" s="123" t="s">
        <v>8488</v>
      </c>
      <c r="E175" s="123"/>
      <c r="F175" s="123" t="s">
        <v>29</v>
      </c>
      <c r="G175" s="123" t="s">
        <v>8489</v>
      </c>
      <c r="H175" s="123" t="s">
        <v>8490</v>
      </c>
      <c r="I175" s="123" t="s">
        <v>8491</v>
      </c>
      <c r="J175" s="123" t="s">
        <v>2851</v>
      </c>
      <c r="K175" s="123" t="s">
        <v>8492</v>
      </c>
      <c r="L175" s="123" t="s">
        <v>8493</v>
      </c>
      <c r="M175" s="123"/>
      <c r="N175" s="122"/>
    </row>
    <row r="176" spans="1:14" ht="20.05" customHeight="1">
      <c r="A176" s="148">
        <v>175</v>
      </c>
      <c r="B176" s="149" t="s">
        <v>1015</v>
      </c>
      <c r="C176" s="124" t="s">
        <v>5211</v>
      </c>
      <c r="D176" s="123" t="s">
        <v>3342</v>
      </c>
      <c r="E176" s="123" t="s">
        <v>5213</v>
      </c>
      <c r="F176" s="123" t="s">
        <v>29</v>
      </c>
      <c r="G176" s="123" t="s">
        <v>8494</v>
      </c>
      <c r="H176" s="123" t="s">
        <v>8495</v>
      </c>
      <c r="I176" s="123" t="s">
        <v>8496</v>
      </c>
      <c r="J176" s="123">
        <v>12</v>
      </c>
      <c r="K176" s="123" t="s">
        <v>8497</v>
      </c>
      <c r="L176" s="123" t="s">
        <v>8498</v>
      </c>
      <c r="M176" s="123"/>
      <c r="N176" s="122"/>
    </row>
    <row r="177" spans="1:14" ht="20.05" customHeight="1">
      <c r="A177" s="148">
        <v>176</v>
      </c>
      <c r="B177" s="149" t="s">
        <v>530</v>
      </c>
      <c r="C177" s="124" t="s">
        <v>35</v>
      </c>
      <c r="D177" s="123"/>
      <c r="E177" s="123"/>
      <c r="F177" s="123" t="s">
        <v>29</v>
      </c>
      <c r="G177" s="123" t="s">
        <v>8499</v>
      </c>
      <c r="H177" s="123" t="s">
        <v>8500</v>
      </c>
      <c r="I177" s="123" t="s">
        <v>8501</v>
      </c>
      <c r="J177" s="123">
        <v>160</v>
      </c>
      <c r="K177" s="123" t="s">
        <v>8502</v>
      </c>
      <c r="L177" s="123" t="s">
        <v>8503</v>
      </c>
      <c r="M177" s="123" t="s">
        <v>8504</v>
      </c>
      <c r="N177" s="122" t="s">
        <v>8505</v>
      </c>
    </row>
    <row r="178" spans="1:14" ht="20.05" customHeight="1">
      <c r="A178" s="148">
        <v>177</v>
      </c>
      <c r="B178" s="149" t="s">
        <v>283</v>
      </c>
      <c r="C178" s="124" t="s">
        <v>35</v>
      </c>
      <c r="D178" s="123"/>
      <c r="E178" s="123"/>
      <c r="F178" s="123" t="s">
        <v>29</v>
      </c>
      <c r="G178" s="123"/>
      <c r="H178" s="123" t="s">
        <v>8421</v>
      </c>
      <c r="I178" s="123" t="s">
        <v>8506</v>
      </c>
      <c r="J178" s="123"/>
      <c r="K178" s="123" t="s">
        <v>8507</v>
      </c>
      <c r="L178" s="123" t="s">
        <v>8508</v>
      </c>
      <c r="M178" s="123"/>
      <c r="N178" s="122"/>
    </row>
    <row r="179" spans="1:14" ht="20.05" customHeight="1">
      <c r="A179" s="148">
        <v>178</v>
      </c>
      <c r="B179" s="149" t="s">
        <v>455</v>
      </c>
      <c r="C179" s="124" t="s">
        <v>6701</v>
      </c>
      <c r="D179" s="123" t="s">
        <v>8509</v>
      </c>
      <c r="E179" s="123" t="s">
        <v>8426</v>
      </c>
      <c r="F179" s="123" t="s">
        <v>29</v>
      </c>
      <c r="G179" s="123" t="s">
        <v>8510</v>
      </c>
      <c r="H179" s="123" t="s">
        <v>8511</v>
      </c>
      <c r="I179" s="123" t="s">
        <v>8141</v>
      </c>
      <c r="J179" s="123">
        <v>80</v>
      </c>
      <c r="K179" s="123" t="s">
        <v>8512</v>
      </c>
      <c r="L179" s="123" t="s">
        <v>8513</v>
      </c>
      <c r="M179" s="123"/>
      <c r="N179" s="122" t="s">
        <v>8514</v>
      </c>
    </row>
    <row r="180" spans="1:14" ht="20.05" customHeight="1">
      <c r="A180" s="150">
        <v>179</v>
      </c>
      <c r="B180" s="151" t="s">
        <v>287</v>
      </c>
      <c r="C180" s="120" t="s">
        <v>8515</v>
      </c>
      <c r="D180" s="120" t="s">
        <v>352</v>
      </c>
      <c r="E180" s="120" t="s">
        <v>8516</v>
      </c>
      <c r="F180" s="120" t="s">
        <v>29</v>
      </c>
      <c r="G180" s="120" t="s">
        <v>8517</v>
      </c>
      <c r="H180" s="120" t="s">
        <v>8517</v>
      </c>
      <c r="I180" s="120" t="s">
        <v>8517</v>
      </c>
      <c r="J180" s="120" t="s">
        <v>8517</v>
      </c>
      <c r="K180" s="120" t="s">
        <v>8517</v>
      </c>
      <c r="L180" s="120" t="s">
        <v>8518</v>
      </c>
      <c r="M180" s="120" t="s">
        <v>7740</v>
      </c>
      <c r="N180" s="130"/>
    </row>
    <row r="181" spans="1:14" ht="20.05" customHeight="1">
      <c r="A181" s="150">
        <v>180</v>
      </c>
      <c r="B181" s="151" t="s">
        <v>245</v>
      </c>
      <c r="C181" s="120" t="s">
        <v>116</v>
      </c>
      <c r="D181" s="120" t="s">
        <v>8519</v>
      </c>
      <c r="E181" s="120" t="s">
        <v>8520</v>
      </c>
      <c r="F181" s="120" t="s">
        <v>29</v>
      </c>
      <c r="G181" s="120" t="s">
        <v>8521</v>
      </c>
      <c r="H181" s="120" t="s">
        <v>8522</v>
      </c>
      <c r="I181" s="131" t="s">
        <v>8523</v>
      </c>
      <c r="J181" s="120" t="s">
        <v>43</v>
      </c>
      <c r="K181" s="120" t="s">
        <v>43</v>
      </c>
      <c r="L181" s="120" t="s">
        <v>43</v>
      </c>
      <c r="M181" s="120" t="s">
        <v>43</v>
      </c>
      <c r="N181" s="130"/>
    </row>
    <row r="182" spans="1:14" ht="20.05" customHeight="1">
      <c r="A182" s="150">
        <v>181</v>
      </c>
      <c r="B182" s="151" t="s">
        <v>7088</v>
      </c>
      <c r="C182" s="120" t="s">
        <v>43</v>
      </c>
      <c r="D182" s="115" t="s">
        <v>8524</v>
      </c>
      <c r="E182" s="115" t="s">
        <v>8525</v>
      </c>
      <c r="F182" s="120" t="s">
        <v>29</v>
      </c>
      <c r="G182" s="120" t="s">
        <v>8526</v>
      </c>
      <c r="H182" s="115" t="s">
        <v>8527</v>
      </c>
      <c r="I182" s="115" t="s">
        <v>8528</v>
      </c>
      <c r="J182" s="132" t="s">
        <v>8529</v>
      </c>
      <c r="K182" s="120" t="s">
        <v>8530</v>
      </c>
      <c r="L182" s="120" t="s">
        <v>8531</v>
      </c>
      <c r="M182" s="120" t="s">
        <v>8532</v>
      </c>
      <c r="N182" s="130"/>
    </row>
    <row r="183" spans="1:14" ht="20.05" customHeight="1">
      <c r="A183" s="150">
        <v>182</v>
      </c>
      <c r="B183" s="151" t="s">
        <v>371</v>
      </c>
      <c r="C183" s="120" t="s">
        <v>8533</v>
      </c>
      <c r="D183" s="120" t="s">
        <v>6461</v>
      </c>
      <c r="E183" s="120" t="s">
        <v>1522</v>
      </c>
      <c r="F183" s="120" t="s">
        <v>29</v>
      </c>
      <c r="G183" s="120" t="s">
        <v>8534</v>
      </c>
      <c r="H183" s="117" t="s">
        <v>8535</v>
      </c>
      <c r="I183" s="117" t="s">
        <v>8536</v>
      </c>
      <c r="J183" s="120"/>
      <c r="K183" s="120" t="s">
        <v>8537</v>
      </c>
      <c r="L183" s="120" t="s">
        <v>8538</v>
      </c>
      <c r="M183" s="120" t="s">
        <v>43</v>
      </c>
      <c r="N183" s="133" t="s">
        <v>8539</v>
      </c>
    </row>
    <row r="184" spans="1:14" ht="20.05" customHeight="1">
      <c r="A184" s="150">
        <v>183</v>
      </c>
      <c r="B184" s="141" t="s">
        <v>954</v>
      </c>
      <c r="C184" s="116" t="s">
        <v>74</v>
      </c>
      <c r="D184" s="112" t="s">
        <v>36</v>
      </c>
      <c r="E184" s="112" t="s">
        <v>60</v>
      </c>
      <c r="F184" s="112" t="s">
        <v>8540</v>
      </c>
      <c r="G184" s="120" t="s">
        <v>8541</v>
      </c>
      <c r="H184" s="112" t="s">
        <v>8542</v>
      </c>
      <c r="I184" s="112" t="s">
        <v>8543</v>
      </c>
      <c r="J184" s="112" t="s">
        <v>43</v>
      </c>
      <c r="K184" s="120" t="s">
        <v>8544</v>
      </c>
      <c r="L184" s="112" t="s">
        <v>8545</v>
      </c>
      <c r="M184" s="112" t="s">
        <v>8546</v>
      </c>
      <c r="N184" s="130"/>
    </row>
    <row r="185" spans="1:14" ht="20.05" customHeight="1">
      <c r="A185" s="150">
        <v>184</v>
      </c>
      <c r="B185" s="151" t="s">
        <v>309</v>
      </c>
      <c r="C185" s="120" t="s">
        <v>390</v>
      </c>
      <c r="D185" s="134" t="s">
        <v>3477</v>
      </c>
      <c r="E185" s="134" t="s">
        <v>1806</v>
      </c>
      <c r="F185" s="120" t="s">
        <v>29</v>
      </c>
      <c r="G185" s="120" t="s">
        <v>8547</v>
      </c>
      <c r="H185" s="134" t="s">
        <v>8548</v>
      </c>
      <c r="I185" s="134" t="s">
        <v>7757</v>
      </c>
      <c r="J185" s="120" t="s">
        <v>43</v>
      </c>
      <c r="K185" s="120" t="s">
        <v>8549</v>
      </c>
      <c r="L185" s="120" t="s">
        <v>8550</v>
      </c>
      <c r="M185" s="120" t="s">
        <v>43</v>
      </c>
      <c r="N185" s="130"/>
    </row>
    <row r="186" spans="1:14" ht="20.05" customHeight="1">
      <c r="A186" s="150">
        <v>185</v>
      </c>
      <c r="B186" s="142" t="s">
        <v>898</v>
      </c>
      <c r="C186" s="117" t="s">
        <v>8551</v>
      </c>
      <c r="D186" s="120" t="s">
        <v>8552</v>
      </c>
      <c r="E186" s="120" t="s">
        <v>8553</v>
      </c>
      <c r="F186" s="120" t="s">
        <v>29</v>
      </c>
      <c r="G186" s="120" t="s">
        <v>43</v>
      </c>
      <c r="H186" s="120" t="s">
        <v>8554</v>
      </c>
      <c r="I186" s="120" t="s">
        <v>8555</v>
      </c>
      <c r="J186" s="120" t="s">
        <v>8556</v>
      </c>
      <c r="K186" s="120" t="s">
        <v>8557</v>
      </c>
      <c r="L186" s="120" t="s">
        <v>8558</v>
      </c>
      <c r="M186" s="120" t="s">
        <v>43</v>
      </c>
      <c r="N186" s="130"/>
    </row>
    <row r="187" spans="1:14" ht="20.05" customHeight="1">
      <c r="A187" s="150">
        <v>186</v>
      </c>
      <c r="B187" s="151" t="s">
        <v>530</v>
      </c>
      <c r="C187" s="120" t="s">
        <v>1450</v>
      </c>
      <c r="D187" s="120" t="s">
        <v>7303</v>
      </c>
      <c r="E187" s="120" t="s">
        <v>633</v>
      </c>
      <c r="F187" s="120" t="s">
        <v>88</v>
      </c>
      <c r="G187" s="120" t="s">
        <v>8559</v>
      </c>
      <c r="H187" s="120" t="s">
        <v>8560</v>
      </c>
      <c r="I187" s="120" t="s">
        <v>8561</v>
      </c>
      <c r="J187" s="120" t="s">
        <v>7299</v>
      </c>
      <c r="K187" s="120" t="s">
        <v>8562</v>
      </c>
      <c r="L187" s="120" t="s">
        <v>43</v>
      </c>
      <c r="M187" s="120" t="s">
        <v>43</v>
      </c>
      <c r="N187" s="130"/>
    </row>
    <row r="188" spans="1:14" ht="20.05" customHeight="1">
      <c r="A188" s="150">
        <v>187</v>
      </c>
      <c r="B188" s="151" t="s">
        <v>1070</v>
      </c>
      <c r="C188" s="120" t="s">
        <v>1071</v>
      </c>
      <c r="D188" s="120" t="s">
        <v>8563</v>
      </c>
      <c r="E188" s="120" t="s">
        <v>60</v>
      </c>
      <c r="F188" s="120" t="s">
        <v>29</v>
      </c>
      <c r="G188" s="120" t="s">
        <v>8564</v>
      </c>
      <c r="H188" s="120" t="s">
        <v>8565</v>
      </c>
      <c r="I188" s="135">
        <v>45848</v>
      </c>
      <c r="J188" s="120" t="s">
        <v>43</v>
      </c>
      <c r="K188" s="120" t="s">
        <v>8566</v>
      </c>
      <c r="L188" s="120" t="s">
        <v>8567</v>
      </c>
      <c r="M188" s="120" t="s">
        <v>43</v>
      </c>
      <c r="N188" s="130"/>
    </row>
    <row r="189" spans="1:14" ht="20.05" customHeight="1">
      <c r="A189" s="150">
        <v>188</v>
      </c>
      <c r="B189" s="151" t="s">
        <v>1671</v>
      </c>
      <c r="C189" s="120" t="s">
        <v>8568</v>
      </c>
      <c r="D189" s="120" t="s">
        <v>8569</v>
      </c>
      <c r="E189" s="120" t="s">
        <v>7413</v>
      </c>
      <c r="F189" s="120" t="s">
        <v>29</v>
      </c>
      <c r="G189" s="120" t="s">
        <v>8570</v>
      </c>
      <c r="H189" s="120" t="s">
        <v>8571</v>
      </c>
      <c r="I189" s="120" t="s">
        <v>8107</v>
      </c>
      <c r="J189" s="120" t="s">
        <v>43</v>
      </c>
      <c r="K189" s="120" t="s">
        <v>8572</v>
      </c>
      <c r="L189" s="120" t="s">
        <v>8573</v>
      </c>
      <c r="M189" s="120" t="s">
        <v>43</v>
      </c>
      <c r="N189" s="130"/>
    </row>
    <row r="190" spans="1:14" ht="20.05" customHeight="1">
      <c r="A190" s="150">
        <v>189</v>
      </c>
      <c r="B190" s="151" t="s">
        <v>961</v>
      </c>
      <c r="C190" s="120" t="s">
        <v>59</v>
      </c>
      <c r="D190" s="120" t="s">
        <v>7127</v>
      </c>
      <c r="E190" s="120" t="s">
        <v>60</v>
      </c>
      <c r="F190" s="120" t="s">
        <v>29</v>
      </c>
      <c r="G190" s="120" t="s">
        <v>8574</v>
      </c>
      <c r="H190" s="120" t="s">
        <v>8575</v>
      </c>
      <c r="I190" s="135">
        <v>45848</v>
      </c>
      <c r="J190" s="120" t="s">
        <v>43</v>
      </c>
      <c r="K190" s="120" t="s">
        <v>8576</v>
      </c>
      <c r="L190" s="120" t="s">
        <v>43</v>
      </c>
      <c r="M190" s="120" t="s">
        <v>43</v>
      </c>
      <c r="N190" s="130"/>
    </row>
    <row r="191" spans="1:14" ht="20.05" customHeight="1">
      <c r="A191" s="150">
        <v>190</v>
      </c>
      <c r="B191" s="151" t="s">
        <v>439</v>
      </c>
      <c r="C191" s="120" t="s">
        <v>515</v>
      </c>
      <c r="D191" s="120" t="s">
        <v>516</v>
      </c>
      <c r="E191" s="120" t="s">
        <v>8577</v>
      </c>
      <c r="F191" s="120" t="s">
        <v>29</v>
      </c>
      <c r="G191" s="120" t="s">
        <v>8578</v>
      </c>
      <c r="H191" s="120" t="s">
        <v>8579</v>
      </c>
      <c r="I191" s="120" t="s">
        <v>8580</v>
      </c>
      <c r="J191" s="120" t="s">
        <v>43</v>
      </c>
      <c r="K191" s="120" t="s">
        <v>8581</v>
      </c>
      <c r="L191" s="120" t="s">
        <v>8582</v>
      </c>
      <c r="M191" s="120" t="s">
        <v>43</v>
      </c>
      <c r="N191" s="130"/>
    </row>
    <row r="192" spans="1:14" ht="20.05" customHeight="1">
      <c r="A192" s="144">
        <v>191</v>
      </c>
      <c r="B192" s="145" t="s">
        <v>530</v>
      </c>
      <c r="C192" s="118" t="s">
        <v>945</v>
      </c>
      <c r="D192" s="118" t="s">
        <v>43</v>
      </c>
      <c r="E192" s="118" t="s">
        <v>43</v>
      </c>
      <c r="F192" s="118" t="s">
        <v>88</v>
      </c>
      <c r="G192" s="118" t="s">
        <v>43</v>
      </c>
      <c r="H192" s="118" t="s">
        <v>8583</v>
      </c>
      <c r="I192" s="118" t="s">
        <v>8584</v>
      </c>
      <c r="J192" s="118" t="s">
        <v>8585</v>
      </c>
      <c r="K192" s="120" t="s">
        <v>8586</v>
      </c>
      <c r="L192" s="118" t="s">
        <v>43</v>
      </c>
      <c r="M192" s="118" t="s">
        <v>43</v>
      </c>
      <c r="N192" s="114"/>
    </row>
    <row r="193" spans="1:14" ht="20.05" customHeight="1">
      <c r="A193" s="144">
        <v>192</v>
      </c>
      <c r="B193" s="145" t="s">
        <v>961</v>
      </c>
      <c r="C193" s="118" t="s">
        <v>7029</v>
      </c>
      <c r="D193" s="118" t="s">
        <v>43</v>
      </c>
      <c r="E193" s="118" t="s">
        <v>43</v>
      </c>
      <c r="F193" s="118" t="s">
        <v>29</v>
      </c>
      <c r="G193" s="118" t="e" vm="1">
        <f ca="1">_xlfn.DISPIMG("ID_5B10DB061F2248A3B04844CCED4CEC81",1)</f>
        <v>#NAME?</v>
      </c>
      <c r="H193" s="118" t="s">
        <v>8587</v>
      </c>
      <c r="I193" s="118" t="s">
        <v>8588</v>
      </c>
      <c r="J193" s="118" t="s">
        <v>43</v>
      </c>
      <c r="K193" s="118" t="s">
        <v>8589</v>
      </c>
      <c r="L193" s="118" t="s">
        <v>43</v>
      </c>
      <c r="M193" s="118" t="s">
        <v>43</v>
      </c>
      <c r="N193" s="114"/>
    </row>
    <row r="194" spans="1:14" ht="20.05" customHeight="1">
      <c r="A194" s="144">
        <v>193</v>
      </c>
      <c r="B194" s="145" t="s">
        <v>961</v>
      </c>
      <c r="C194" s="118" t="s">
        <v>116</v>
      </c>
      <c r="D194" s="118" t="s">
        <v>43</v>
      </c>
      <c r="E194" s="118" t="s">
        <v>43</v>
      </c>
      <c r="F194" s="118" t="s">
        <v>29</v>
      </c>
      <c r="G194" s="120" t="s">
        <v>8590</v>
      </c>
      <c r="H194" s="118" t="s">
        <v>8587</v>
      </c>
      <c r="I194" s="118" t="s">
        <v>8591</v>
      </c>
      <c r="J194" s="118" t="s">
        <v>43</v>
      </c>
      <c r="K194" s="118" t="s">
        <v>8589</v>
      </c>
      <c r="L194" s="118" t="s">
        <v>43</v>
      </c>
      <c r="M194" s="118" t="s">
        <v>43</v>
      </c>
      <c r="N194" s="114"/>
    </row>
    <row r="195" spans="1:14" ht="20.05" customHeight="1">
      <c r="A195" s="144">
        <v>194</v>
      </c>
      <c r="B195" s="145" t="s">
        <v>961</v>
      </c>
      <c r="C195" s="118" t="s">
        <v>5308</v>
      </c>
      <c r="D195" s="118" t="s">
        <v>43</v>
      </c>
      <c r="E195" s="118" t="s">
        <v>43</v>
      </c>
      <c r="F195" s="118" t="s">
        <v>29</v>
      </c>
      <c r="G195" s="120" t="s">
        <v>8592</v>
      </c>
      <c r="H195" s="118" t="s">
        <v>8593</v>
      </c>
      <c r="I195" s="118" t="s">
        <v>8594</v>
      </c>
      <c r="J195" s="118" t="s">
        <v>43</v>
      </c>
      <c r="K195" s="118" t="s">
        <v>8589</v>
      </c>
      <c r="L195" s="118" t="s">
        <v>43</v>
      </c>
      <c r="M195" s="118" t="s">
        <v>43</v>
      </c>
      <c r="N195" s="114"/>
    </row>
    <row r="196" spans="1:14" ht="20.05" customHeight="1">
      <c r="A196" s="144">
        <v>195</v>
      </c>
      <c r="B196" s="145" t="s">
        <v>961</v>
      </c>
      <c r="C196" s="118" t="s">
        <v>993</v>
      </c>
      <c r="D196" s="118" t="s">
        <v>43</v>
      </c>
      <c r="E196" s="118" t="s">
        <v>43</v>
      </c>
      <c r="F196" s="118" t="s">
        <v>29</v>
      </c>
      <c r="G196" s="118" t="e" vm="1">
        <f ca="1">_xlfn.DISPIMG("ID_D44B04D3D5624BD8A7134A8FA15F66C0",1)</f>
        <v>#NAME?</v>
      </c>
      <c r="H196" s="118" t="s">
        <v>8595</v>
      </c>
      <c r="I196" s="118" t="s">
        <v>8596</v>
      </c>
      <c r="J196" s="118" t="s">
        <v>43</v>
      </c>
      <c r="K196" s="118" t="s">
        <v>8597</v>
      </c>
      <c r="L196" s="118" t="s">
        <v>43</v>
      </c>
      <c r="M196" s="118" t="s">
        <v>43</v>
      </c>
      <c r="N196" s="114"/>
    </row>
    <row r="197" spans="1:14" ht="20.05" customHeight="1">
      <c r="A197" s="144">
        <v>196</v>
      </c>
      <c r="B197" s="145" t="s">
        <v>961</v>
      </c>
      <c r="C197" s="118" t="s">
        <v>191</v>
      </c>
      <c r="D197" s="118" t="s">
        <v>43</v>
      </c>
      <c r="E197" s="118" t="s">
        <v>43</v>
      </c>
      <c r="F197" s="118" t="s">
        <v>29</v>
      </c>
      <c r="G197" s="120" t="s">
        <v>8598</v>
      </c>
      <c r="H197" s="118" t="s">
        <v>8599</v>
      </c>
      <c r="I197" s="118" t="s">
        <v>8600</v>
      </c>
      <c r="J197" s="118" t="s">
        <v>8601</v>
      </c>
      <c r="K197" s="118" t="s">
        <v>8602</v>
      </c>
      <c r="L197" s="118" t="s">
        <v>43</v>
      </c>
      <c r="M197" s="118" t="s">
        <v>43</v>
      </c>
      <c r="N197" s="114"/>
    </row>
    <row r="198" spans="1:14" ht="20.05" customHeight="1">
      <c r="A198" s="144">
        <v>197</v>
      </c>
      <c r="B198" s="145" t="s">
        <v>422</v>
      </c>
      <c r="C198" s="118" t="s">
        <v>8603</v>
      </c>
      <c r="D198" s="118" t="s">
        <v>8604</v>
      </c>
      <c r="E198" s="118" t="s">
        <v>43</v>
      </c>
      <c r="F198" s="118" t="s">
        <v>8605</v>
      </c>
      <c r="G198" s="118" t="s">
        <v>8606</v>
      </c>
      <c r="H198" s="118" t="s">
        <v>8607</v>
      </c>
      <c r="I198" s="118" t="s">
        <v>8596</v>
      </c>
      <c r="J198" s="118" t="s">
        <v>43</v>
      </c>
      <c r="K198" s="118" t="s">
        <v>8608</v>
      </c>
      <c r="L198" s="118" t="s">
        <v>43</v>
      </c>
      <c r="M198" s="118" t="s">
        <v>43</v>
      </c>
      <c r="N198" s="114"/>
    </row>
    <row r="199" spans="1:14" ht="20.05" customHeight="1">
      <c r="A199" s="144">
        <v>198</v>
      </c>
      <c r="B199" s="145" t="s">
        <v>1645</v>
      </c>
      <c r="C199" s="118" t="s">
        <v>1646</v>
      </c>
      <c r="D199" s="118" t="s">
        <v>8609</v>
      </c>
      <c r="E199" s="118" t="s">
        <v>43</v>
      </c>
      <c r="F199" s="118" t="s">
        <v>88</v>
      </c>
      <c r="G199" s="118" t="e" vm="1">
        <f ca="1">_xlfn.DISPIMG("ID_11E79B5D124F4643AF0074A2EFCEEDBA",1)</f>
        <v>#NAME?</v>
      </c>
      <c r="H199" s="118" t="s">
        <v>8610</v>
      </c>
      <c r="I199" s="118" t="s">
        <v>8611</v>
      </c>
      <c r="J199" s="118" t="s">
        <v>8612</v>
      </c>
      <c r="K199" s="120" t="s">
        <v>8613</v>
      </c>
      <c r="L199" s="118" t="s">
        <v>43</v>
      </c>
      <c r="M199" s="118" t="s">
        <v>43</v>
      </c>
      <c r="N199" s="114"/>
    </row>
    <row r="200" spans="1:14" ht="20.05" customHeight="1">
      <c r="A200" s="144">
        <v>199</v>
      </c>
      <c r="B200" s="145" t="s">
        <v>8614</v>
      </c>
      <c r="C200" s="118" t="s">
        <v>207</v>
      </c>
      <c r="D200" s="118" t="s">
        <v>43</v>
      </c>
      <c r="E200" s="118" t="s">
        <v>43</v>
      </c>
      <c r="F200" s="118" t="s">
        <v>29</v>
      </c>
      <c r="G200" s="118" t="s">
        <v>8615</v>
      </c>
      <c r="H200" s="118" t="s">
        <v>8616</v>
      </c>
      <c r="I200" s="118" t="s">
        <v>8617</v>
      </c>
      <c r="J200" s="118" t="s">
        <v>625</v>
      </c>
      <c r="K200" s="120" t="s">
        <v>8618</v>
      </c>
      <c r="L200" s="118" t="s">
        <v>8619</v>
      </c>
      <c r="M200" s="118" t="s">
        <v>43</v>
      </c>
      <c r="N200" s="114"/>
    </row>
    <row r="201" spans="1:14" ht="20.05" customHeight="1">
      <c r="A201" s="144">
        <v>200</v>
      </c>
      <c r="B201" s="145" t="s">
        <v>898</v>
      </c>
      <c r="C201" s="118" t="s">
        <v>8620</v>
      </c>
      <c r="D201" s="120" t="s">
        <v>8621</v>
      </c>
      <c r="E201" s="118" t="s">
        <v>8622</v>
      </c>
      <c r="F201" s="118" t="s">
        <v>29</v>
      </c>
      <c r="G201" s="118" t="s">
        <v>43</v>
      </c>
      <c r="H201" s="118" t="s">
        <v>8623</v>
      </c>
      <c r="I201" s="119">
        <v>45870</v>
      </c>
      <c r="J201" s="118" t="s">
        <v>8624</v>
      </c>
      <c r="K201" s="120" t="s">
        <v>8625</v>
      </c>
      <c r="L201" s="120" t="s">
        <v>8626</v>
      </c>
      <c r="M201" s="118" t="s">
        <v>43</v>
      </c>
      <c r="N201" s="114"/>
    </row>
    <row r="202" spans="1:14" ht="20.05" customHeight="1">
      <c r="A202" s="144">
        <v>201</v>
      </c>
      <c r="B202" s="145" t="s">
        <v>898</v>
      </c>
      <c r="C202" s="118" t="s">
        <v>8627</v>
      </c>
      <c r="D202" s="118" t="s">
        <v>8628</v>
      </c>
      <c r="E202" s="118" t="s">
        <v>8629</v>
      </c>
      <c r="F202" s="118" t="s">
        <v>29</v>
      </c>
      <c r="G202" s="118" t="s">
        <v>8630</v>
      </c>
      <c r="H202" s="118" t="s">
        <v>8631</v>
      </c>
      <c r="I202" s="118" t="s">
        <v>8632</v>
      </c>
      <c r="J202" s="118" t="s">
        <v>43</v>
      </c>
      <c r="K202" s="120" t="s">
        <v>8633</v>
      </c>
      <c r="L202" s="120" t="s">
        <v>8634</v>
      </c>
      <c r="M202" s="118" t="s">
        <v>43</v>
      </c>
      <c r="N202" s="114"/>
    </row>
    <row r="203" spans="1:14" ht="20.05" customHeight="1">
      <c r="A203" s="144">
        <v>202</v>
      </c>
      <c r="B203" s="145" t="s">
        <v>898</v>
      </c>
      <c r="C203" s="118" t="s">
        <v>8635</v>
      </c>
      <c r="D203" s="118" t="s">
        <v>8628</v>
      </c>
      <c r="E203" s="118" t="s">
        <v>8622</v>
      </c>
      <c r="F203" s="118" t="s">
        <v>29</v>
      </c>
      <c r="G203" s="118" t="s">
        <v>8630</v>
      </c>
      <c r="H203" s="118" t="s">
        <v>8636</v>
      </c>
      <c r="I203" s="118" t="s">
        <v>8637</v>
      </c>
      <c r="J203" s="118" t="s">
        <v>204</v>
      </c>
      <c r="K203" s="120" t="s">
        <v>8638</v>
      </c>
      <c r="L203" s="120" t="s">
        <v>8639</v>
      </c>
      <c r="M203" s="118" t="s">
        <v>43</v>
      </c>
      <c r="N203" s="114"/>
    </row>
    <row r="204" spans="1:14" ht="20.05" customHeight="1">
      <c r="A204" s="144">
        <v>203</v>
      </c>
      <c r="B204" s="145" t="s">
        <v>8640</v>
      </c>
      <c r="C204" s="118" t="s">
        <v>43</v>
      </c>
      <c r="D204" s="118" t="s">
        <v>43</v>
      </c>
      <c r="E204" s="118" t="s">
        <v>43</v>
      </c>
      <c r="F204" s="118" t="s">
        <v>29</v>
      </c>
      <c r="G204" s="120" t="s">
        <v>8641</v>
      </c>
      <c r="H204" s="118" t="s">
        <v>8642</v>
      </c>
      <c r="I204" s="118" t="s">
        <v>8643</v>
      </c>
      <c r="J204" s="118" t="s">
        <v>8644</v>
      </c>
      <c r="K204" s="120" t="s">
        <v>8645</v>
      </c>
      <c r="L204" s="118" t="s">
        <v>8646</v>
      </c>
      <c r="M204" s="118" t="s">
        <v>7740</v>
      </c>
      <c r="N204" s="114"/>
    </row>
    <row r="205" spans="1:14" ht="20.05" customHeight="1">
      <c r="A205" s="144">
        <v>204</v>
      </c>
      <c r="B205" s="145" t="s">
        <v>8647</v>
      </c>
      <c r="C205" s="118" t="s">
        <v>8648</v>
      </c>
      <c r="D205" s="120" t="s">
        <v>8649</v>
      </c>
      <c r="E205" s="118" t="s">
        <v>8650</v>
      </c>
      <c r="F205" s="118" t="s">
        <v>29</v>
      </c>
      <c r="G205" s="118" t="e" vm="1">
        <f ca="1">_xlfn.DISPIMG("ID_6C776A8FBB3B48A78518640F3E84ABE7",1)</f>
        <v>#NAME?</v>
      </c>
      <c r="H205" s="118" t="s">
        <v>8651</v>
      </c>
      <c r="I205" s="118" t="s">
        <v>8652</v>
      </c>
      <c r="J205" s="118" t="s">
        <v>204</v>
      </c>
      <c r="K205" s="120" t="s">
        <v>8653</v>
      </c>
      <c r="L205" s="118" t="s">
        <v>8654</v>
      </c>
      <c r="M205" s="118" t="s">
        <v>7740</v>
      </c>
      <c r="N205" s="114"/>
    </row>
    <row r="206" spans="1:14" ht="20.05" customHeight="1">
      <c r="A206" s="144">
        <v>205</v>
      </c>
      <c r="B206" s="145" t="s">
        <v>789</v>
      </c>
      <c r="C206" s="118" t="s">
        <v>59</v>
      </c>
      <c r="D206" s="118" t="s">
        <v>7181</v>
      </c>
      <c r="E206" s="118" t="s">
        <v>1077</v>
      </c>
      <c r="F206" s="118" t="s">
        <v>29</v>
      </c>
      <c r="G206" s="120" t="s">
        <v>8655</v>
      </c>
      <c r="H206" s="118" t="s">
        <v>8656</v>
      </c>
      <c r="I206" s="118" t="s">
        <v>8012</v>
      </c>
      <c r="J206" s="118" t="s">
        <v>323</v>
      </c>
      <c r="K206" s="120" t="s">
        <v>8657</v>
      </c>
      <c r="L206" s="118" t="s">
        <v>8658</v>
      </c>
      <c r="M206" s="118" t="s">
        <v>43</v>
      </c>
      <c r="N206" s="114"/>
    </row>
    <row r="207" spans="1:14" ht="20.05" customHeight="1">
      <c r="A207" s="144">
        <v>206</v>
      </c>
      <c r="B207" s="145" t="s">
        <v>1671</v>
      </c>
      <c r="C207" s="118" t="s">
        <v>116</v>
      </c>
      <c r="D207" s="120" t="s">
        <v>8659</v>
      </c>
      <c r="E207" s="118" t="s">
        <v>5626</v>
      </c>
      <c r="F207" s="118" t="s">
        <v>29</v>
      </c>
      <c r="G207" s="118" t="s">
        <v>8660</v>
      </c>
      <c r="H207" s="118" t="s">
        <v>8661</v>
      </c>
      <c r="I207" s="118" t="s">
        <v>43</v>
      </c>
      <c r="J207" s="118" t="s">
        <v>8662</v>
      </c>
      <c r="K207" s="120" t="s">
        <v>8663</v>
      </c>
      <c r="L207" s="118" t="s">
        <v>8664</v>
      </c>
      <c r="M207" s="118" t="s">
        <v>43</v>
      </c>
      <c r="N207" s="114"/>
    </row>
    <row r="208" spans="1:14" ht="20.05" customHeight="1">
      <c r="A208" s="144">
        <v>207</v>
      </c>
      <c r="B208" s="145" t="s">
        <v>1024</v>
      </c>
      <c r="C208" s="118" t="s">
        <v>8665</v>
      </c>
      <c r="D208" s="118" t="s">
        <v>43</v>
      </c>
      <c r="E208" s="118" t="s">
        <v>43</v>
      </c>
      <c r="F208" s="118" t="s">
        <v>43</v>
      </c>
      <c r="G208" s="118" t="s">
        <v>43</v>
      </c>
      <c r="H208" s="118" t="s">
        <v>8666</v>
      </c>
      <c r="I208" s="118" t="s">
        <v>43</v>
      </c>
      <c r="J208" s="118" t="s">
        <v>43</v>
      </c>
      <c r="K208" s="118" t="e" vm="1">
        <f ca="1">_xlfn.DISPIMG("ID_3290A17A42684BF0BF30F4C88939356F",1)</f>
        <v>#NAME?</v>
      </c>
      <c r="L208" s="118" t="s">
        <v>43</v>
      </c>
      <c r="M208" s="118" t="s">
        <v>43</v>
      </c>
      <c r="N208" s="114"/>
    </row>
    <row r="209" spans="1:14" ht="20.05" customHeight="1">
      <c r="A209" s="144">
        <v>208</v>
      </c>
      <c r="B209" s="145" t="s">
        <v>8647</v>
      </c>
      <c r="C209" s="118" t="s">
        <v>8667</v>
      </c>
      <c r="D209" s="120" t="s">
        <v>8649</v>
      </c>
      <c r="E209" s="118" t="s">
        <v>8650</v>
      </c>
      <c r="F209" s="118" t="s">
        <v>29</v>
      </c>
      <c r="G209" s="120" t="s">
        <v>8668</v>
      </c>
      <c r="H209" s="118" t="s">
        <v>8669</v>
      </c>
      <c r="I209" s="118" t="s">
        <v>8670</v>
      </c>
      <c r="J209" s="118" t="s">
        <v>8671</v>
      </c>
      <c r="K209" s="120" t="s">
        <v>8672</v>
      </c>
      <c r="L209" s="118" t="s">
        <v>8673</v>
      </c>
      <c r="M209" s="118" t="s">
        <v>7740</v>
      </c>
      <c r="N209" s="114"/>
    </row>
    <row r="210" spans="1:14" ht="20.05" customHeight="1">
      <c r="A210" s="150">
        <v>209</v>
      </c>
      <c r="B210" s="151" t="s">
        <v>789</v>
      </c>
      <c r="C210" s="120" t="s">
        <v>8674</v>
      </c>
      <c r="D210" s="120" t="s">
        <v>7171</v>
      </c>
      <c r="E210" s="120" t="s">
        <v>8675</v>
      </c>
      <c r="F210" s="120" t="s">
        <v>88</v>
      </c>
      <c r="G210" s="120" t="s">
        <v>8676</v>
      </c>
      <c r="H210" s="120" t="s">
        <v>8677</v>
      </c>
      <c r="I210" s="135">
        <v>45848</v>
      </c>
      <c r="J210" s="120" t="s">
        <v>8678</v>
      </c>
      <c r="K210" s="120" t="s">
        <v>8679</v>
      </c>
      <c r="L210" s="120" t="s">
        <v>43</v>
      </c>
      <c r="M210" s="120" t="s">
        <v>43</v>
      </c>
      <c r="N210" s="130"/>
    </row>
    <row r="211" spans="1:14" ht="20.05" customHeight="1">
      <c r="A211" s="150">
        <v>210</v>
      </c>
      <c r="B211" s="151" t="s">
        <v>789</v>
      </c>
      <c r="C211" s="120" t="s">
        <v>295</v>
      </c>
      <c r="D211" s="120" t="s">
        <v>5433</v>
      </c>
      <c r="E211" s="120" t="s">
        <v>892</v>
      </c>
      <c r="F211" s="120" t="s">
        <v>29</v>
      </c>
      <c r="G211" s="120" t="s">
        <v>8680</v>
      </c>
      <c r="H211" s="120" t="s">
        <v>8681</v>
      </c>
      <c r="I211" s="135">
        <v>45847</v>
      </c>
      <c r="J211" s="120" t="s">
        <v>8682</v>
      </c>
      <c r="K211" s="120" t="s">
        <v>8683</v>
      </c>
      <c r="L211" s="120" t="s">
        <v>8684</v>
      </c>
      <c r="M211" s="120" t="s">
        <v>43</v>
      </c>
      <c r="N211" s="130"/>
    </row>
    <row r="212" spans="1:14" ht="20.05" customHeight="1">
      <c r="A212" s="150">
        <v>211</v>
      </c>
      <c r="B212" s="151" t="s">
        <v>1390</v>
      </c>
      <c r="C212" s="120" t="s">
        <v>8685</v>
      </c>
      <c r="D212" s="120" t="s">
        <v>8686</v>
      </c>
      <c r="E212" s="120" t="s">
        <v>8687</v>
      </c>
      <c r="F212" s="120" t="s">
        <v>29</v>
      </c>
      <c r="G212" s="120" t="s">
        <v>8688</v>
      </c>
      <c r="H212" s="120" t="s">
        <v>8689</v>
      </c>
      <c r="I212" s="120" t="s">
        <v>8690</v>
      </c>
      <c r="J212" s="120" t="s">
        <v>8691</v>
      </c>
      <c r="K212" s="120" t="s">
        <v>8692</v>
      </c>
      <c r="L212" s="120" t="s">
        <v>8693</v>
      </c>
      <c r="M212" s="120" t="s">
        <v>43</v>
      </c>
      <c r="N212" s="130"/>
    </row>
    <row r="213" spans="1:14" ht="20.05" customHeight="1">
      <c r="A213" s="150">
        <v>212</v>
      </c>
      <c r="B213" s="151" t="s">
        <v>287</v>
      </c>
      <c r="C213" s="120" t="s">
        <v>8694</v>
      </c>
      <c r="D213" s="120" t="s">
        <v>8695</v>
      </c>
      <c r="E213" s="120" t="s">
        <v>8696</v>
      </c>
      <c r="F213" s="120" t="s">
        <v>29</v>
      </c>
      <c r="G213" s="120" t="s">
        <v>8697</v>
      </c>
      <c r="H213" s="120" t="s">
        <v>8698</v>
      </c>
      <c r="I213" s="120" t="s">
        <v>8699</v>
      </c>
      <c r="J213" s="120" t="s">
        <v>43</v>
      </c>
      <c r="K213" s="120" t="s">
        <v>8700</v>
      </c>
      <c r="L213" s="120" t="s">
        <v>8701</v>
      </c>
      <c r="M213" s="120" t="s">
        <v>43</v>
      </c>
      <c r="N213" s="130"/>
    </row>
    <row r="214" spans="1:14" ht="20.05" customHeight="1">
      <c r="A214" s="150">
        <v>213</v>
      </c>
      <c r="B214" s="141" t="s">
        <v>287</v>
      </c>
      <c r="C214" s="116" t="s">
        <v>8702</v>
      </c>
      <c r="D214" s="120" t="s">
        <v>52</v>
      </c>
      <c r="E214" s="120" t="s">
        <v>8703</v>
      </c>
      <c r="F214" s="120" t="s">
        <v>29</v>
      </c>
      <c r="G214" s="120" t="s">
        <v>8704</v>
      </c>
      <c r="H214" s="120" t="s">
        <v>8705</v>
      </c>
      <c r="I214" s="120" t="s">
        <v>8706</v>
      </c>
      <c r="J214" s="120" t="s">
        <v>8707</v>
      </c>
      <c r="K214" s="120" t="s">
        <v>8708</v>
      </c>
      <c r="L214" s="120" t="s">
        <v>43</v>
      </c>
      <c r="M214" s="120" t="s">
        <v>43</v>
      </c>
      <c r="N214" s="130"/>
    </row>
    <row r="215" spans="1:14" ht="20.05" customHeight="1">
      <c r="A215" s="150">
        <v>214</v>
      </c>
      <c r="B215" s="151" t="s">
        <v>1024</v>
      </c>
      <c r="C215" s="120" t="s">
        <v>74</v>
      </c>
      <c r="D215" s="120" t="s">
        <v>8709</v>
      </c>
      <c r="E215" s="120" t="s">
        <v>60</v>
      </c>
      <c r="F215" s="120" t="s">
        <v>29</v>
      </c>
      <c r="G215" s="120" t="s">
        <v>43</v>
      </c>
      <c r="H215" s="120" t="s">
        <v>8710</v>
      </c>
      <c r="I215" s="120" t="s">
        <v>43</v>
      </c>
      <c r="J215" s="120" t="s">
        <v>43</v>
      </c>
      <c r="K215" s="120" t="s">
        <v>8711</v>
      </c>
      <c r="L215" s="120" t="s">
        <v>43</v>
      </c>
      <c r="M215" s="120" t="s">
        <v>43</v>
      </c>
      <c r="N215" s="130"/>
    </row>
    <row r="216" spans="1:14" ht="20.05" customHeight="1">
      <c r="A216" s="150">
        <v>215</v>
      </c>
      <c r="B216" s="142" t="s">
        <v>371</v>
      </c>
      <c r="C216" s="117" t="s">
        <v>1383</v>
      </c>
      <c r="D216" s="120" t="s">
        <v>8712</v>
      </c>
      <c r="E216" s="120" t="s">
        <v>5396</v>
      </c>
      <c r="F216" s="120" t="s">
        <v>29</v>
      </c>
      <c r="G216" s="120" t="s">
        <v>8713</v>
      </c>
      <c r="H216" s="120" t="s">
        <v>8714</v>
      </c>
      <c r="I216" s="120" t="s">
        <v>8715</v>
      </c>
      <c r="J216" s="120" t="s">
        <v>43</v>
      </c>
      <c r="K216" s="120" t="s">
        <v>8716</v>
      </c>
      <c r="L216" s="120" t="s">
        <v>8717</v>
      </c>
      <c r="M216" s="120" t="s">
        <v>8718</v>
      </c>
      <c r="N216" s="130"/>
    </row>
    <row r="217" spans="1:14" ht="20.05" customHeight="1">
      <c r="A217" s="150">
        <v>216</v>
      </c>
      <c r="B217" s="151" t="s">
        <v>760</v>
      </c>
      <c r="C217" s="120" t="s">
        <v>799</v>
      </c>
      <c r="D217" s="120" t="s">
        <v>8719</v>
      </c>
      <c r="E217" s="120" t="s">
        <v>7230</v>
      </c>
      <c r="F217" s="120" t="s">
        <v>88</v>
      </c>
      <c r="G217" s="120" t="s">
        <v>8720</v>
      </c>
      <c r="H217" s="120" t="s">
        <v>8721</v>
      </c>
      <c r="I217" s="136">
        <v>45895</v>
      </c>
      <c r="J217" s="120" t="s">
        <v>43</v>
      </c>
      <c r="K217" s="120" t="s">
        <v>8722</v>
      </c>
      <c r="L217" s="120" t="s">
        <v>43</v>
      </c>
      <c r="M217" s="120" t="s">
        <v>43</v>
      </c>
      <c r="N217" s="130"/>
    </row>
    <row r="218" spans="1:14" ht="20.05" customHeight="1">
      <c r="A218" s="150">
        <v>217</v>
      </c>
      <c r="B218" s="151" t="s">
        <v>789</v>
      </c>
      <c r="C218" s="120" t="s">
        <v>8723</v>
      </c>
      <c r="D218" s="120" t="s">
        <v>8724</v>
      </c>
      <c r="E218" s="120" t="s">
        <v>892</v>
      </c>
      <c r="F218" s="120" t="s">
        <v>29</v>
      </c>
      <c r="G218" s="120" t="s">
        <v>8725</v>
      </c>
      <c r="H218" s="120" t="s">
        <v>8726</v>
      </c>
      <c r="I218" s="120" t="s">
        <v>8727</v>
      </c>
      <c r="J218" s="120" t="s">
        <v>8728</v>
      </c>
      <c r="K218" s="120" t="s">
        <v>8729</v>
      </c>
      <c r="L218" s="120" t="s">
        <v>8730</v>
      </c>
      <c r="M218" s="120" t="s">
        <v>43</v>
      </c>
      <c r="N218" s="130"/>
    </row>
    <row r="219" spans="1:14" ht="20.05" customHeight="1">
      <c r="A219" s="150">
        <v>218</v>
      </c>
      <c r="B219" s="151" t="s">
        <v>789</v>
      </c>
      <c r="C219" s="120" t="s">
        <v>8731</v>
      </c>
      <c r="D219" s="120" t="s">
        <v>8732</v>
      </c>
      <c r="E219" s="120" t="s">
        <v>8733</v>
      </c>
      <c r="F219" s="120" t="s">
        <v>29</v>
      </c>
      <c r="G219" s="120" t="s">
        <v>8734</v>
      </c>
      <c r="H219" s="120" t="s">
        <v>8735</v>
      </c>
      <c r="I219" s="120" t="s">
        <v>8736</v>
      </c>
      <c r="J219" s="120" t="s">
        <v>625</v>
      </c>
      <c r="K219" s="120" t="s">
        <v>8737</v>
      </c>
      <c r="L219" s="120" t="s">
        <v>8738</v>
      </c>
      <c r="M219" s="120" t="s">
        <v>43</v>
      </c>
      <c r="N219" s="130"/>
    </row>
    <row r="220" spans="1:14" ht="20.05" customHeight="1">
      <c r="A220" s="150">
        <v>219</v>
      </c>
      <c r="B220" s="151" t="s">
        <v>435</v>
      </c>
      <c r="C220" s="120" t="s">
        <v>8739</v>
      </c>
      <c r="D220" s="120" t="s">
        <v>8740</v>
      </c>
      <c r="E220" s="120" t="s">
        <v>43</v>
      </c>
      <c r="F220" s="120" t="s">
        <v>29</v>
      </c>
      <c r="G220" s="120" t="s">
        <v>8741</v>
      </c>
      <c r="H220" s="120" t="s">
        <v>8742</v>
      </c>
      <c r="I220" s="135">
        <v>45857</v>
      </c>
      <c r="J220" s="120" t="s">
        <v>43</v>
      </c>
      <c r="K220" s="120" t="s">
        <v>8743</v>
      </c>
      <c r="L220" s="120" t="s">
        <v>43</v>
      </c>
      <c r="M220" s="120" t="s">
        <v>43</v>
      </c>
      <c r="N220" s="130"/>
    </row>
    <row r="221" spans="1:14" ht="20.05" customHeight="1">
      <c r="A221" s="150">
        <v>220</v>
      </c>
      <c r="B221" s="151" t="s">
        <v>435</v>
      </c>
      <c r="C221" s="120" t="s">
        <v>582</v>
      </c>
      <c r="D221" s="120" t="s">
        <v>8744</v>
      </c>
      <c r="E221" s="120" t="s">
        <v>43</v>
      </c>
      <c r="F221" s="120" t="s">
        <v>29</v>
      </c>
      <c r="G221" s="120" t="s">
        <v>8745</v>
      </c>
      <c r="H221" s="120" t="s">
        <v>8746</v>
      </c>
      <c r="I221" s="120" t="s">
        <v>8747</v>
      </c>
      <c r="J221" s="120" t="s">
        <v>43</v>
      </c>
      <c r="K221" s="120" t="s">
        <v>8748</v>
      </c>
      <c r="L221" s="120" t="s">
        <v>8749</v>
      </c>
      <c r="M221" s="120" t="s">
        <v>43</v>
      </c>
      <c r="N221" s="130"/>
    </row>
    <row r="222" spans="1:14" ht="20.05" customHeight="1">
      <c r="A222" s="150">
        <v>221</v>
      </c>
      <c r="B222" s="151" t="s">
        <v>435</v>
      </c>
      <c r="C222" s="120" t="s">
        <v>609</v>
      </c>
      <c r="D222" s="120" t="s">
        <v>8744</v>
      </c>
      <c r="E222" s="120" t="s">
        <v>43</v>
      </c>
      <c r="F222" s="120" t="s">
        <v>29</v>
      </c>
      <c r="G222" s="120" t="s">
        <v>8750</v>
      </c>
      <c r="H222" s="120" t="s">
        <v>8751</v>
      </c>
      <c r="I222" s="135">
        <v>45855</v>
      </c>
      <c r="J222" s="120" t="s">
        <v>43</v>
      </c>
      <c r="K222" s="120" t="s">
        <v>8752</v>
      </c>
      <c r="L222" s="120" t="s">
        <v>8753</v>
      </c>
      <c r="M222" s="120" t="s">
        <v>43</v>
      </c>
      <c r="N222" s="130"/>
    </row>
    <row r="223" spans="1:14" ht="20.05" customHeight="1">
      <c r="A223" s="150">
        <v>222</v>
      </c>
      <c r="B223" s="151" t="s">
        <v>287</v>
      </c>
      <c r="C223" s="120" t="s">
        <v>7491</v>
      </c>
      <c r="D223" s="120" t="s">
        <v>8754</v>
      </c>
      <c r="E223" s="120" t="s">
        <v>8755</v>
      </c>
      <c r="F223" s="120" t="s">
        <v>29</v>
      </c>
      <c r="G223" s="120" t="s">
        <v>8756</v>
      </c>
      <c r="H223" s="120" t="s">
        <v>8757</v>
      </c>
      <c r="I223" s="120" t="s">
        <v>8758</v>
      </c>
      <c r="J223" s="120" t="s">
        <v>43</v>
      </c>
      <c r="K223" s="120" t="s">
        <v>8759</v>
      </c>
      <c r="L223" s="120" t="s">
        <v>8760</v>
      </c>
      <c r="M223" s="120" t="s">
        <v>8761</v>
      </c>
      <c r="N223" s="130"/>
    </row>
    <row r="224" spans="1:14" ht="20.05" customHeight="1">
      <c r="A224" s="150">
        <v>223</v>
      </c>
      <c r="B224" s="151" t="s">
        <v>156</v>
      </c>
      <c r="C224" s="120" t="s">
        <v>390</v>
      </c>
      <c r="D224" s="120" t="s">
        <v>8762</v>
      </c>
      <c r="E224" s="120" t="s">
        <v>8763</v>
      </c>
      <c r="F224" s="120" t="s">
        <v>29</v>
      </c>
      <c r="G224" s="120" t="s">
        <v>8764</v>
      </c>
      <c r="H224" s="120" t="s">
        <v>8765</v>
      </c>
      <c r="I224" s="135" t="s">
        <v>8395</v>
      </c>
      <c r="J224" s="120" t="s">
        <v>43</v>
      </c>
      <c r="K224" s="120" t="s">
        <v>8766</v>
      </c>
      <c r="L224" s="120" t="s">
        <v>8767</v>
      </c>
      <c r="M224" s="120" t="s">
        <v>43</v>
      </c>
      <c r="N224" s="130"/>
    </row>
    <row r="225" spans="1:14" ht="20.05" customHeight="1">
      <c r="A225" s="150">
        <v>224</v>
      </c>
      <c r="B225" s="151" t="s">
        <v>5706</v>
      </c>
      <c r="C225" s="120" t="s">
        <v>59</v>
      </c>
      <c r="D225" s="120" t="s">
        <v>36</v>
      </c>
      <c r="E225" s="120" t="s">
        <v>8768</v>
      </c>
      <c r="F225" s="120" t="s">
        <v>1707</v>
      </c>
      <c r="G225" s="120" t="s">
        <v>8769</v>
      </c>
      <c r="H225" s="120" t="s">
        <v>8770</v>
      </c>
      <c r="I225" s="120" t="s">
        <v>8771</v>
      </c>
      <c r="J225" s="120" t="s">
        <v>8772</v>
      </c>
      <c r="K225" s="120" t="s">
        <v>8773</v>
      </c>
      <c r="L225" s="120" t="s">
        <v>8774</v>
      </c>
      <c r="M225" s="120" t="s">
        <v>8775</v>
      </c>
      <c r="N225" s="130"/>
    </row>
    <row r="226" spans="1:14" ht="20.05" customHeight="1">
      <c r="A226" s="150">
        <v>225</v>
      </c>
      <c r="B226" s="141" t="s">
        <v>435</v>
      </c>
      <c r="C226" s="116" t="s">
        <v>8776</v>
      </c>
      <c r="D226" s="120" t="s">
        <v>564</v>
      </c>
      <c r="E226" s="120" t="s">
        <v>585</v>
      </c>
      <c r="F226" s="120" t="s">
        <v>29</v>
      </c>
      <c r="G226" s="120" t="s">
        <v>8777</v>
      </c>
      <c r="H226" s="120" t="s">
        <v>8778</v>
      </c>
      <c r="I226" s="135" t="s">
        <v>8779</v>
      </c>
      <c r="J226" s="120" t="s">
        <v>43</v>
      </c>
      <c r="K226" s="120" t="s">
        <v>8780</v>
      </c>
      <c r="L226" s="120" t="s">
        <v>8781</v>
      </c>
      <c r="M226" s="120" t="s">
        <v>43</v>
      </c>
      <c r="N226" s="130"/>
    </row>
    <row r="227" spans="1:14" ht="20.05" customHeight="1">
      <c r="A227" s="150">
        <v>226</v>
      </c>
      <c r="B227" s="151" t="s">
        <v>435</v>
      </c>
      <c r="C227" s="120" t="s">
        <v>390</v>
      </c>
      <c r="D227" s="120" t="s">
        <v>8744</v>
      </c>
      <c r="E227" s="120" t="s">
        <v>43</v>
      </c>
      <c r="F227" s="120" t="s">
        <v>29</v>
      </c>
      <c r="G227" s="120" t="s">
        <v>8782</v>
      </c>
      <c r="H227" s="120" t="s">
        <v>8783</v>
      </c>
      <c r="I227" s="120" t="s">
        <v>8784</v>
      </c>
      <c r="J227" s="120" t="s">
        <v>43</v>
      </c>
      <c r="K227" s="120" t="s">
        <v>8785</v>
      </c>
      <c r="L227" s="120" t="s">
        <v>8786</v>
      </c>
      <c r="M227" s="120" t="s">
        <v>43</v>
      </c>
      <c r="N227" s="130"/>
    </row>
    <row r="228" spans="1:14" ht="20.05" customHeight="1">
      <c r="A228" s="150">
        <v>227</v>
      </c>
      <c r="B228" s="142" t="s">
        <v>789</v>
      </c>
      <c r="C228" s="117" t="s">
        <v>5188</v>
      </c>
      <c r="D228" s="120" t="s">
        <v>8787</v>
      </c>
      <c r="E228" s="120" t="s">
        <v>8788</v>
      </c>
      <c r="F228" s="120" t="s">
        <v>29</v>
      </c>
      <c r="G228" s="120" t="s">
        <v>8789</v>
      </c>
      <c r="H228" s="120" t="s">
        <v>8790</v>
      </c>
      <c r="I228" s="135" t="s">
        <v>8791</v>
      </c>
      <c r="J228" s="120" t="s">
        <v>8792</v>
      </c>
      <c r="K228" s="120" t="s">
        <v>8793</v>
      </c>
      <c r="L228" s="120" t="s">
        <v>8794</v>
      </c>
      <c r="M228" s="120" t="s">
        <v>43</v>
      </c>
      <c r="N228" s="130"/>
    </row>
    <row r="229" spans="1:14" ht="20.05" customHeight="1">
      <c r="A229" s="150">
        <v>228</v>
      </c>
      <c r="B229" s="151" t="s">
        <v>789</v>
      </c>
      <c r="C229" s="120" t="s">
        <v>390</v>
      </c>
      <c r="D229" s="120" t="s">
        <v>1076</v>
      </c>
      <c r="E229" s="120" t="s">
        <v>8795</v>
      </c>
      <c r="F229" s="120" t="s">
        <v>29</v>
      </c>
      <c r="G229" s="120" t="s">
        <v>8796</v>
      </c>
      <c r="H229" s="120" t="s">
        <v>8797</v>
      </c>
      <c r="I229" s="120" t="s">
        <v>8798</v>
      </c>
      <c r="J229" s="120" t="s">
        <v>204</v>
      </c>
      <c r="K229" s="120" t="s">
        <v>8799</v>
      </c>
      <c r="L229" s="120" t="s">
        <v>43</v>
      </c>
      <c r="M229" s="120" t="s">
        <v>43</v>
      </c>
      <c r="N229" s="130"/>
    </row>
    <row r="230" spans="1:14" ht="20.05" customHeight="1">
      <c r="A230" s="150">
        <v>229</v>
      </c>
      <c r="B230" s="151" t="s">
        <v>5706</v>
      </c>
      <c r="C230" s="120" t="s">
        <v>945</v>
      </c>
      <c r="D230" s="120" t="s">
        <v>2026</v>
      </c>
      <c r="E230" s="120" t="s">
        <v>5786</v>
      </c>
      <c r="F230" s="120" t="s">
        <v>29</v>
      </c>
      <c r="G230" s="120" t="s">
        <v>8800</v>
      </c>
      <c r="H230" s="120" t="s">
        <v>8801</v>
      </c>
      <c r="I230" s="135">
        <v>45862</v>
      </c>
      <c r="J230" s="120" t="s">
        <v>493</v>
      </c>
      <c r="K230" s="120" t="s">
        <v>8802</v>
      </c>
      <c r="L230" s="120" t="s">
        <v>8803</v>
      </c>
      <c r="M230" s="120" t="s">
        <v>43</v>
      </c>
      <c r="N230" s="130"/>
    </row>
    <row r="231" spans="1:14" ht="20.05" customHeight="1">
      <c r="A231" s="150">
        <v>230</v>
      </c>
      <c r="B231" s="151" t="s">
        <v>5706</v>
      </c>
      <c r="C231" s="120" t="s">
        <v>5073</v>
      </c>
      <c r="D231" s="120" t="s">
        <v>8804</v>
      </c>
      <c r="E231" s="120" t="s">
        <v>8805</v>
      </c>
      <c r="F231" s="120" t="s">
        <v>29</v>
      </c>
      <c r="G231" s="120" t="s">
        <v>43</v>
      </c>
      <c r="H231" s="120" t="s">
        <v>8806</v>
      </c>
      <c r="I231" s="120" t="s">
        <v>257</v>
      </c>
      <c r="J231" s="120" t="s">
        <v>8807</v>
      </c>
      <c r="K231" s="120" t="s">
        <v>8808</v>
      </c>
      <c r="L231" s="120" t="s">
        <v>8809</v>
      </c>
      <c r="M231" s="120" t="s">
        <v>43</v>
      </c>
      <c r="N231" s="130"/>
    </row>
    <row r="232" spans="1:14" ht="20.05" customHeight="1">
      <c r="A232" s="150">
        <v>231</v>
      </c>
      <c r="B232" s="151" t="s">
        <v>5706</v>
      </c>
      <c r="C232" s="120" t="s">
        <v>8810</v>
      </c>
      <c r="D232" s="120" t="s">
        <v>8811</v>
      </c>
      <c r="E232" s="120" t="s">
        <v>43</v>
      </c>
      <c r="F232" s="120" t="s">
        <v>29</v>
      </c>
      <c r="G232" s="120" t="s">
        <v>8812</v>
      </c>
      <c r="H232" s="120" t="s">
        <v>8813</v>
      </c>
      <c r="I232" s="135" t="s">
        <v>8814</v>
      </c>
      <c r="J232" s="120" t="s">
        <v>796</v>
      </c>
      <c r="K232" s="120" t="s">
        <v>8815</v>
      </c>
      <c r="L232" s="120" t="s">
        <v>8816</v>
      </c>
      <c r="M232" s="120" t="s">
        <v>8817</v>
      </c>
      <c r="N232" s="130"/>
    </row>
    <row r="233" spans="1:14" ht="20.05" customHeight="1">
      <c r="A233" s="150">
        <v>232</v>
      </c>
      <c r="B233" s="151" t="s">
        <v>371</v>
      </c>
      <c r="C233" s="120" t="s">
        <v>1672</v>
      </c>
      <c r="D233" s="120" t="s">
        <v>8818</v>
      </c>
      <c r="E233" s="120" t="s">
        <v>7075</v>
      </c>
      <c r="F233" s="120" t="s">
        <v>88</v>
      </c>
      <c r="G233" s="120" t="s">
        <v>8819</v>
      </c>
      <c r="H233" s="120" t="s">
        <v>8820</v>
      </c>
      <c r="I233" s="137">
        <v>45839</v>
      </c>
      <c r="J233" s="120" t="s">
        <v>43</v>
      </c>
      <c r="K233" s="120" t="s">
        <v>8821</v>
      </c>
      <c r="L233" s="120" t="s">
        <v>43</v>
      </c>
      <c r="M233" s="120" t="s">
        <v>43</v>
      </c>
      <c r="N233" s="130"/>
    </row>
    <row r="234" spans="1:14" ht="20.05" customHeight="1">
      <c r="A234" s="150">
        <v>233</v>
      </c>
      <c r="B234" s="151" t="s">
        <v>1483</v>
      </c>
      <c r="C234" s="120" t="s">
        <v>5785</v>
      </c>
      <c r="D234" s="120" t="s">
        <v>8822</v>
      </c>
      <c r="E234" s="120" t="s">
        <v>8823</v>
      </c>
      <c r="F234" s="120" t="s">
        <v>8824</v>
      </c>
      <c r="G234" s="120" t="s">
        <v>8825</v>
      </c>
      <c r="H234" s="120" t="s">
        <v>8826</v>
      </c>
      <c r="I234" s="120" t="s">
        <v>8827</v>
      </c>
      <c r="J234" s="120" t="s">
        <v>625</v>
      </c>
      <c r="K234" s="120" t="s">
        <v>8828</v>
      </c>
      <c r="L234" s="120" t="s">
        <v>43</v>
      </c>
      <c r="M234" s="120" t="s">
        <v>43</v>
      </c>
      <c r="N234" s="130"/>
    </row>
    <row r="235" spans="1:14" ht="20.05" customHeight="1">
      <c r="A235" s="150">
        <v>234</v>
      </c>
      <c r="B235" s="151" t="s">
        <v>1483</v>
      </c>
      <c r="C235" s="120" t="s">
        <v>8829</v>
      </c>
      <c r="D235" s="120" t="s">
        <v>7635</v>
      </c>
      <c r="E235" s="120" t="s">
        <v>8823</v>
      </c>
      <c r="F235" s="120" t="s">
        <v>8830</v>
      </c>
      <c r="G235" s="120" t="s">
        <v>43</v>
      </c>
      <c r="H235" s="120" t="s">
        <v>8831</v>
      </c>
      <c r="I235" s="120" t="s">
        <v>8832</v>
      </c>
      <c r="J235" s="120" t="s">
        <v>314</v>
      </c>
      <c r="K235" s="120" t="s">
        <v>8833</v>
      </c>
      <c r="L235" s="120" t="s">
        <v>43</v>
      </c>
      <c r="M235" s="120" t="s">
        <v>8834</v>
      </c>
      <c r="N235" s="130"/>
    </row>
    <row r="236" spans="1:14" ht="20.05" customHeight="1">
      <c r="A236" s="150">
        <v>235</v>
      </c>
      <c r="B236" s="151" t="s">
        <v>1483</v>
      </c>
      <c r="C236" s="120" t="s">
        <v>8835</v>
      </c>
      <c r="D236" s="120" t="s">
        <v>8836</v>
      </c>
      <c r="E236" s="120" t="s">
        <v>8837</v>
      </c>
      <c r="F236" s="120" t="s">
        <v>29</v>
      </c>
      <c r="G236" s="120" t="s">
        <v>43</v>
      </c>
      <c r="H236" s="120" t="s">
        <v>43</v>
      </c>
      <c r="I236" s="135">
        <v>45874</v>
      </c>
      <c r="J236" s="120" t="s">
        <v>43</v>
      </c>
      <c r="K236" s="120" t="s">
        <v>43</v>
      </c>
      <c r="L236" s="120" t="s">
        <v>8838</v>
      </c>
      <c r="M236" s="120" t="s">
        <v>43</v>
      </c>
      <c r="N236" s="130"/>
    </row>
    <row r="237" spans="1:14" ht="20.05" customHeight="1">
      <c r="A237" s="150">
        <v>236</v>
      </c>
      <c r="B237" s="151" t="s">
        <v>1483</v>
      </c>
      <c r="C237" s="120" t="s">
        <v>8839</v>
      </c>
      <c r="D237" s="120" t="s">
        <v>43</v>
      </c>
      <c r="E237" s="120" t="s">
        <v>43</v>
      </c>
      <c r="F237" s="120" t="s">
        <v>29</v>
      </c>
      <c r="G237" s="120" t="s">
        <v>8840</v>
      </c>
      <c r="H237" s="120" t="s">
        <v>8841</v>
      </c>
      <c r="I237" s="120" t="s">
        <v>8842</v>
      </c>
      <c r="J237" s="120" t="s">
        <v>43</v>
      </c>
      <c r="K237" s="120" t="s">
        <v>8843</v>
      </c>
      <c r="L237" s="120" t="s">
        <v>8844</v>
      </c>
      <c r="M237" s="120" t="s">
        <v>43</v>
      </c>
      <c r="N237" s="130"/>
    </row>
    <row r="238" spans="1:14" ht="20.05" customHeight="1">
      <c r="A238" s="150">
        <v>237</v>
      </c>
      <c r="B238" s="141" t="s">
        <v>1483</v>
      </c>
      <c r="C238" s="116" t="s">
        <v>8845</v>
      </c>
      <c r="D238" s="120" t="s">
        <v>8846</v>
      </c>
      <c r="E238" s="120" t="s">
        <v>8847</v>
      </c>
      <c r="F238" s="120" t="s">
        <v>29</v>
      </c>
      <c r="G238" s="120" t="s">
        <v>8848</v>
      </c>
      <c r="H238" s="120" t="s">
        <v>8849</v>
      </c>
      <c r="I238" s="135">
        <v>45854</v>
      </c>
      <c r="J238" s="120" t="s">
        <v>43</v>
      </c>
      <c r="K238" s="120" t="s">
        <v>8850</v>
      </c>
      <c r="L238" s="120" t="s">
        <v>43</v>
      </c>
      <c r="M238" s="120" t="s">
        <v>8851</v>
      </c>
      <c r="N238" s="130"/>
    </row>
    <row r="239" spans="1:14" ht="20.05" customHeight="1">
      <c r="A239" s="150">
        <v>238</v>
      </c>
      <c r="B239" s="151" t="s">
        <v>1483</v>
      </c>
      <c r="C239" s="120" t="s">
        <v>1484</v>
      </c>
      <c r="D239" s="120" t="s">
        <v>8852</v>
      </c>
      <c r="E239" s="120" t="s">
        <v>1486</v>
      </c>
      <c r="F239" s="120" t="s">
        <v>29</v>
      </c>
      <c r="G239" s="120" t="s">
        <v>8853</v>
      </c>
      <c r="H239" s="120" t="s">
        <v>8854</v>
      </c>
      <c r="I239" s="120" t="s">
        <v>43</v>
      </c>
      <c r="J239" s="120" t="s">
        <v>402</v>
      </c>
      <c r="K239" s="120" t="s">
        <v>8855</v>
      </c>
      <c r="L239" s="120" t="s">
        <v>43</v>
      </c>
      <c r="M239" s="120" t="s">
        <v>43</v>
      </c>
      <c r="N239" s="130"/>
    </row>
    <row r="240" spans="1:14" ht="20.05" customHeight="1">
      <c r="A240" s="150">
        <v>239</v>
      </c>
      <c r="B240" s="142" t="s">
        <v>1390</v>
      </c>
      <c r="C240" s="117" t="s">
        <v>945</v>
      </c>
      <c r="D240" s="120" t="s">
        <v>8856</v>
      </c>
      <c r="E240" s="120" t="s">
        <v>8857</v>
      </c>
      <c r="F240" s="120"/>
      <c r="G240" s="120" t="s">
        <v>8858</v>
      </c>
      <c r="H240" s="120" t="s">
        <v>8859</v>
      </c>
      <c r="I240" s="135">
        <v>45861</v>
      </c>
      <c r="J240" s="120" t="s">
        <v>8860</v>
      </c>
      <c r="K240" s="120" t="s">
        <v>8861</v>
      </c>
      <c r="L240" s="120" t="s">
        <v>43</v>
      </c>
      <c r="M240" s="120" t="s">
        <v>43</v>
      </c>
      <c r="N240" s="130"/>
    </row>
    <row r="241" spans="1:14" ht="20.05" customHeight="1">
      <c r="A241" s="150">
        <v>240</v>
      </c>
      <c r="B241" s="151" t="s">
        <v>789</v>
      </c>
      <c r="C241" s="120" t="s">
        <v>1181</v>
      </c>
      <c r="D241" s="120" t="s">
        <v>1076</v>
      </c>
      <c r="E241" s="120" t="s">
        <v>8862</v>
      </c>
      <c r="F241" s="120" t="s">
        <v>29</v>
      </c>
      <c r="G241" s="120" t="s">
        <v>43</v>
      </c>
      <c r="H241" s="120" t="s">
        <v>8863</v>
      </c>
      <c r="I241" s="120" t="s">
        <v>3893</v>
      </c>
      <c r="J241" s="120" t="s">
        <v>8864</v>
      </c>
      <c r="K241" s="120" t="s">
        <v>8865</v>
      </c>
      <c r="L241" s="120" t="s">
        <v>8866</v>
      </c>
      <c r="M241" s="120" t="s">
        <v>43</v>
      </c>
      <c r="N241" s="130"/>
    </row>
    <row r="242" spans="1:14" ht="20.05" customHeight="1">
      <c r="A242" s="150">
        <v>241</v>
      </c>
      <c r="B242" s="151" t="s">
        <v>789</v>
      </c>
      <c r="C242" s="120" t="s">
        <v>7422</v>
      </c>
      <c r="D242" s="120" t="s">
        <v>8867</v>
      </c>
      <c r="E242" s="120" t="s">
        <v>8868</v>
      </c>
      <c r="F242" s="120" t="s">
        <v>1783</v>
      </c>
      <c r="G242" s="120" t="s">
        <v>8869</v>
      </c>
      <c r="H242" s="120" t="s">
        <v>8870</v>
      </c>
      <c r="I242" s="135" t="s">
        <v>8871</v>
      </c>
      <c r="J242" s="120" t="s">
        <v>8872</v>
      </c>
      <c r="K242" s="120" t="s">
        <v>8873</v>
      </c>
      <c r="L242" s="120" t="s">
        <v>8874</v>
      </c>
      <c r="M242" s="120" t="s">
        <v>43</v>
      </c>
      <c r="N242" s="130"/>
    </row>
    <row r="243" spans="1:14" ht="20.05" customHeight="1">
      <c r="A243" s="150">
        <v>242</v>
      </c>
      <c r="B243" s="151" t="s">
        <v>790</v>
      </c>
      <c r="C243" s="120" t="s">
        <v>43</v>
      </c>
      <c r="D243" s="120" t="s">
        <v>1076</v>
      </c>
      <c r="E243" s="120" t="s">
        <v>8875</v>
      </c>
      <c r="F243" s="120" t="s">
        <v>29</v>
      </c>
      <c r="G243" s="120" t="s">
        <v>8876</v>
      </c>
      <c r="H243" s="120" t="s">
        <v>8877</v>
      </c>
      <c r="I243" s="137" t="s">
        <v>8878</v>
      </c>
      <c r="J243" s="120" t="s">
        <v>5458</v>
      </c>
      <c r="K243" s="120" t="s">
        <v>8879</v>
      </c>
      <c r="L243" s="120" t="s">
        <v>8880</v>
      </c>
      <c r="M243" s="120" t="s">
        <v>43</v>
      </c>
      <c r="N243" s="130"/>
    </row>
    <row r="244" spans="1:14" ht="20.05" customHeight="1">
      <c r="A244" s="150">
        <v>244</v>
      </c>
      <c r="B244" s="151" t="s">
        <v>50</v>
      </c>
      <c r="C244" s="120" t="s">
        <v>8881</v>
      </c>
      <c r="D244" s="120" t="s">
        <v>8882</v>
      </c>
      <c r="E244" s="120" t="s">
        <v>8883</v>
      </c>
      <c r="F244" s="120" t="s">
        <v>29</v>
      </c>
      <c r="G244" s="120" t="s">
        <v>8884</v>
      </c>
      <c r="H244" s="120" t="s">
        <v>8885</v>
      </c>
      <c r="I244" s="120" t="s">
        <v>8886</v>
      </c>
      <c r="J244" s="120"/>
      <c r="K244" s="120" t="s">
        <v>8887</v>
      </c>
      <c r="L244" s="120" t="s">
        <v>43</v>
      </c>
      <c r="M244" s="120" t="s">
        <v>43</v>
      </c>
      <c r="N244" s="130"/>
    </row>
    <row r="245" spans="1:14" ht="20.05" customHeight="1">
      <c r="A245" s="150">
        <v>245</v>
      </c>
      <c r="B245" s="151" t="s">
        <v>2864</v>
      </c>
      <c r="C245" s="120" t="s">
        <v>654</v>
      </c>
      <c r="D245" s="120" t="s">
        <v>8888</v>
      </c>
      <c r="E245" s="120" t="s">
        <v>43</v>
      </c>
      <c r="F245" s="120" t="s">
        <v>29</v>
      </c>
      <c r="G245" s="120" t="s">
        <v>8889</v>
      </c>
      <c r="H245" s="120" t="s">
        <v>8890</v>
      </c>
      <c r="I245" s="120" t="s">
        <v>8891</v>
      </c>
      <c r="J245" s="120" t="s">
        <v>43</v>
      </c>
      <c r="K245" s="120" t="s">
        <v>8892</v>
      </c>
      <c r="L245" s="120" t="s">
        <v>8893</v>
      </c>
      <c r="M245" s="120" t="s">
        <v>43</v>
      </c>
      <c r="N245" s="130"/>
    </row>
    <row r="246" spans="1:14" ht="20.05" customHeight="1">
      <c r="A246" s="150">
        <v>246</v>
      </c>
      <c r="B246" s="151" t="s">
        <v>435</v>
      </c>
      <c r="C246" s="120" t="s">
        <v>569</v>
      </c>
      <c r="D246" s="120" t="s">
        <v>8894</v>
      </c>
      <c r="E246" s="120" t="s">
        <v>8895</v>
      </c>
      <c r="F246" s="120" t="s">
        <v>29</v>
      </c>
      <c r="G246" s="120" t="s">
        <v>8896</v>
      </c>
      <c r="H246" s="120" t="s">
        <v>8897</v>
      </c>
      <c r="I246" s="120" t="s">
        <v>8898</v>
      </c>
      <c r="J246" s="120" t="s">
        <v>237</v>
      </c>
      <c r="K246" s="120" t="s">
        <v>8899</v>
      </c>
      <c r="L246" s="120" t="s">
        <v>43</v>
      </c>
      <c r="M246" s="120" t="s">
        <v>43</v>
      </c>
      <c r="N246" s="130"/>
    </row>
    <row r="247" spans="1:14" ht="20.05" customHeight="1">
      <c r="A247" s="150">
        <v>247</v>
      </c>
      <c r="B247" s="151" t="s">
        <v>789</v>
      </c>
      <c r="C247" s="120" t="s">
        <v>7570</v>
      </c>
      <c r="D247" s="120" t="s">
        <v>8900</v>
      </c>
      <c r="E247" s="120" t="s">
        <v>8901</v>
      </c>
      <c r="F247" s="120" t="s">
        <v>1783</v>
      </c>
      <c r="G247" s="120" t="s">
        <v>8902</v>
      </c>
      <c r="H247" s="120" t="s">
        <v>8903</v>
      </c>
      <c r="I247" s="120" t="s">
        <v>257</v>
      </c>
      <c r="J247" s="120" t="s">
        <v>8904</v>
      </c>
      <c r="K247" s="120" t="s">
        <v>8905</v>
      </c>
      <c r="L247" s="120" t="s">
        <v>8906</v>
      </c>
      <c r="M247" s="120" t="s">
        <v>43</v>
      </c>
      <c r="N247" s="130"/>
    </row>
    <row r="248" spans="1:14" ht="20.05" customHeight="1">
      <c r="A248" s="150">
        <v>248</v>
      </c>
      <c r="B248" s="151" t="s">
        <v>287</v>
      </c>
      <c r="C248" s="120" t="s">
        <v>5825</v>
      </c>
      <c r="D248" s="120" t="s">
        <v>8754</v>
      </c>
      <c r="E248" s="120" t="s">
        <v>8907</v>
      </c>
      <c r="F248" s="120" t="s">
        <v>29</v>
      </c>
      <c r="G248" s="120" t="s">
        <v>43</v>
      </c>
      <c r="H248" s="120" t="s">
        <v>8908</v>
      </c>
      <c r="I248" s="120" t="s">
        <v>8909</v>
      </c>
      <c r="J248" s="120" t="s">
        <v>942</v>
      </c>
      <c r="K248" s="120" t="s">
        <v>8910</v>
      </c>
      <c r="L248" s="120" t="s">
        <v>43</v>
      </c>
      <c r="M248" s="120" t="s">
        <v>8477</v>
      </c>
      <c r="N248" s="130"/>
    </row>
    <row r="249" spans="1:14" ht="20.05" customHeight="1">
      <c r="A249" s="150">
        <v>249</v>
      </c>
      <c r="B249" s="141" t="s">
        <v>1645</v>
      </c>
      <c r="C249" s="116" t="s">
        <v>8911</v>
      </c>
      <c r="D249" s="120" t="s">
        <v>8912</v>
      </c>
      <c r="E249" s="120" t="s">
        <v>1026</v>
      </c>
      <c r="F249" s="120" t="s">
        <v>29</v>
      </c>
      <c r="G249" s="120" t="s">
        <v>8913</v>
      </c>
      <c r="H249" s="120" t="s">
        <v>8914</v>
      </c>
      <c r="I249" s="120" t="s">
        <v>8915</v>
      </c>
      <c r="J249" s="120" t="s">
        <v>43</v>
      </c>
      <c r="K249" s="120" t="s">
        <v>8916</v>
      </c>
      <c r="L249" s="120" t="s">
        <v>43</v>
      </c>
      <c r="M249" s="120" t="s">
        <v>43</v>
      </c>
      <c r="N249" s="130"/>
    </row>
    <row r="250" spans="1:14" ht="20.05" customHeight="1">
      <c r="A250" s="150">
        <v>250</v>
      </c>
      <c r="B250" s="151" t="s">
        <v>287</v>
      </c>
      <c r="C250" s="120" t="s">
        <v>390</v>
      </c>
      <c r="D250" s="120" t="s">
        <v>8917</v>
      </c>
      <c r="E250" s="120" t="s">
        <v>7432</v>
      </c>
      <c r="F250" s="120"/>
      <c r="G250" s="120" t="s">
        <v>43</v>
      </c>
      <c r="H250" s="120" t="s">
        <v>8918</v>
      </c>
      <c r="I250" s="120" t="s">
        <v>8919</v>
      </c>
      <c r="J250" s="120" t="s">
        <v>8707</v>
      </c>
      <c r="K250" s="120" t="s">
        <v>8920</v>
      </c>
      <c r="L250" s="120" t="s">
        <v>5608</v>
      </c>
      <c r="M250" s="120" t="s">
        <v>43</v>
      </c>
      <c r="N250" s="130"/>
    </row>
    <row r="251" spans="1:14" ht="20.05" customHeight="1">
      <c r="A251" s="150">
        <v>251</v>
      </c>
      <c r="B251" s="142" t="s">
        <v>13</v>
      </c>
      <c r="C251" s="120" t="s">
        <v>390</v>
      </c>
      <c r="D251" s="120" t="s">
        <v>7631</v>
      </c>
      <c r="E251" s="120" t="s">
        <v>839</v>
      </c>
      <c r="F251" s="120" t="s">
        <v>8921</v>
      </c>
      <c r="G251" s="120" t="s">
        <v>8922</v>
      </c>
      <c r="H251" s="120" t="s">
        <v>8923</v>
      </c>
      <c r="I251" s="135">
        <v>45863</v>
      </c>
      <c r="J251" s="120" t="s">
        <v>43</v>
      </c>
      <c r="K251" s="120" t="s">
        <v>8924</v>
      </c>
      <c r="L251" s="120" t="s">
        <v>43</v>
      </c>
      <c r="M251" s="120" t="s">
        <v>43</v>
      </c>
      <c r="N251" s="130"/>
    </row>
    <row r="252" spans="1:14" ht="20.05" customHeight="1">
      <c r="A252" s="150">
        <v>252</v>
      </c>
      <c r="B252" s="151" t="s">
        <v>333</v>
      </c>
      <c r="C252" s="120" t="s">
        <v>1332</v>
      </c>
      <c r="D252" s="120" t="s">
        <v>8925</v>
      </c>
      <c r="E252" s="120" t="s">
        <v>509</v>
      </c>
      <c r="F252" s="120" t="s">
        <v>29</v>
      </c>
      <c r="G252" s="120" t="s">
        <v>8926</v>
      </c>
      <c r="H252" s="120" t="s">
        <v>8927</v>
      </c>
      <c r="I252" s="120" t="s">
        <v>8928</v>
      </c>
      <c r="J252" s="120" t="s">
        <v>323</v>
      </c>
      <c r="K252" s="120" t="s">
        <v>8929</v>
      </c>
      <c r="L252" s="120" t="s">
        <v>8930</v>
      </c>
      <c r="M252" s="120" t="s">
        <v>43</v>
      </c>
      <c r="N252" s="130"/>
    </row>
    <row r="253" spans="1:14" ht="20.05" customHeight="1">
      <c r="A253" s="150">
        <v>253</v>
      </c>
      <c r="B253" s="151" t="s">
        <v>5706</v>
      </c>
      <c r="C253" s="120" t="s">
        <v>390</v>
      </c>
      <c r="D253" s="120" t="s">
        <v>36</v>
      </c>
      <c r="E253" s="120" t="s">
        <v>8931</v>
      </c>
      <c r="F253" s="120" t="s">
        <v>29</v>
      </c>
      <c r="G253" s="120" t="s">
        <v>8932</v>
      </c>
      <c r="H253" s="120" t="s">
        <v>8933</v>
      </c>
      <c r="I253" s="120" t="s">
        <v>8352</v>
      </c>
      <c r="J253" s="120" t="s">
        <v>204</v>
      </c>
      <c r="K253" s="120" t="s">
        <v>8934</v>
      </c>
      <c r="L253" s="120" t="s">
        <v>8935</v>
      </c>
      <c r="M253" s="120" t="s">
        <v>8936</v>
      </c>
      <c r="N253" s="130"/>
    </row>
    <row r="254" spans="1:14" ht="20.05" customHeight="1">
      <c r="A254" s="150">
        <v>254</v>
      </c>
      <c r="B254" s="151" t="s">
        <v>287</v>
      </c>
      <c r="C254" s="120" t="s">
        <v>7541</v>
      </c>
      <c r="D254" s="120" t="s">
        <v>8937</v>
      </c>
      <c r="E254" s="120" t="s">
        <v>8938</v>
      </c>
      <c r="F254" s="120" t="s">
        <v>29</v>
      </c>
      <c r="G254" s="120" t="s">
        <v>43</v>
      </c>
      <c r="H254" s="120" t="s">
        <v>8939</v>
      </c>
      <c r="I254" s="120" t="s">
        <v>8940</v>
      </c>
      <c r="J254" s="120" t="s">
        <v>43</v>
      </c>
      <c r="K254" s="120" t="s">
        <v>8941</v>
      </c>
      <c r="L254" s="120" t="s">
        <v>43</v>
      </c>
      <c r="M254" s="120" t="s">
        <v>43</v>
      </c>
      <c r="N254" s="130"/>
    </row>
    <row r="255" spans="1:14" ht="20.05" customHeight="1">
      <c r="A255" s="150">
        <v>255</v>
      </c>
      <c r="B255" s="151" t="s">
        <v>1671</v>
      </c>
      <c r="C255" s="120" t="s">
        <v>7591</v>
      </c>
      <c r="D255" s="120" t="s">
        <v>7592</v>
      </c>
      <c r="E255" s="120" t="s">
        <v>7593</v>
      </c>
      <c r="F255" s="120" t="s">
        <v>29</v>
      </c>
      <c r="G255" s="120" t="s">
        <v>8942</v>
      </c>
      <c r="H255" s="120" t="s">
        <v>8943</v>
      </c>
      <c r="I255" s="120" t="s">
        <v>8944</v>
      </c>
      <c r="J255" s="120" t="s">
        <v>139</v>
      </c>
      <c r="K255" s="120" t="s">
        <v>8945</v>
      </c>
      <c r="L255" s="120" t="s">
        <v>7596</v>
      </c>
      <c r="M255" s="120" t="s">
        <v>8946</v>
      </c>
      <c r="N255" s="130"/>
    </row>
    <row r="256" spans="1:14" ht="20.05" customHeight="1">
      <c r="A256" s="150">
        <v>256</v>
      </c>
      <c r="B256" s="151" t="s">
        <v>50</v>
      </c>
      <c r="C256" s="120" t="s">
        <v>351</v>
      </c>
      <c r="D256" s="120" t="s">
        <v>8882</v>
      </c>
      <c r="E256" s="120" t="s">
        <v>8883</v>
      </c>
      <c r="F256" s="120" t="s">
        <v>29</v>
      </c>
      <c r="G256" s="120" t="s">
        <v>8947</v>
      </c>
      <c r="H256" s="120" t="s">
        <v>8948</v>
      </c>
      <c r="I256" s="120" t="s">
        <v>8949</v>
      </c>
      <c r="J256" s="120"/>
      <c r="K256" s="120" t="s">
        <v>8950</v>
      </c>
      <c r="L256" s="120" t="s">
        <v>43</v>
      </c>
      <c r="M256" s="120" t="s">
        <v>43</v>
      </c>
      <c r="N256" s="130"/>
    </row>
    <row r="257" spans="1:14" ht="20.05" customHeight="1">
      <c r="A257" s="150">
        <v>257</v>
      </c>
      <c r="B257" s="151" t="s">
        <v>5706</v>
      </c>
      <c r="C257" s="120" t="s">
        <v>35</v>
      </c>
      <c r="D257" s="120" t="s">
        <v>8951</v>
      </c>
      <c r="E257" s="120" t="s">
        <v>8952</v>
      </c>
      <c r="F257" s="120" t="s">
        <v>29</v>
      </c>
      <c r="G257" s="120" t="s">
        <v>8953</v>
      </c>
      <c r="H257" s="120" t="s">
        <v>8954</v>
      </c>
      <c r="I257" s="120" t="s">
        <v>8955</v>
      </c>
      <c r="J257" s="120" t="s">
        <v>8956</v>
      </c>
      <c r="K257" s="120" t="s">
        <v>8957</v>
      </c>
      <c r="L257" s="120" t="s">
        <v>8958</v>
      </c>
      <c r="M257" s="120" t="s">
        <v>43</v>
      </c>
      <c r="N257" s="130"/>
    </row>
    <row r="258" spans="1:14" ht="20.05" customHeight="1">
      <c r="A258" s="150">
        <v>258</v>
      </c>
      <c r="B258" s="151" t="s">
        <v>5706</v>
      </c>
      <c r="C258" s="120" t="s">
        <v>478</v>
      </c>
      <c r="D258" s="120" t="s">
        <v>8959</v>
      </c>
      <c r="E258" s="120" t="s">
        <v>8960</v>
      </c>
      <c r="F258" s="120" t="s">
        <v>29</v>
      </c>
      <c r="G258" s="120" t="s">
        <v>8961</v>
      </c>
      <c r="H258" s="120" t="s">
        <v>8962</v>
      </c>
      <c r="I258" s="120" t="s">
        <v>8963</v>
      </c>
      <c r="J258" s="120" t="s">
        <v>8964</v>
      </c>
      <c r="K258" s="120" t="s">
        <v>8965</v>
      </c>
      <c r="L258" s="120" t="s">
        <v>8966</v>
      </c>
      <c r="M258" s="120" t="s">
        <v>8967</v>
      </c>
      <c r="N258" s="130"/>
    </row>
    <row r="259" spans="1:14" ht="20.05" customHeight="1">
      <c r="A259" s="150">
        <v>259</v>
      </c>
      <c r="B259" s="151" t="s">
        <v>435</v>
      </c>
      <c r="C259" s="120" t="s">
        <v>563</v>
      </c>
      <c r="D259" s="120" t="s">
        <v>8968</v>
      </c>
      <c r="E259" s="120" t="s">
        <v>43</v>
      </c>
      <c r="F259" s="120" t="s">
        <v>88</v>
      </c>
      <c r="G259" s="120" t="s">
        <v>8969</v>
      </c>
      <c r="H259" s="120" t="s">
        <v>8970</v>
      </c>
      <c r="I259" s="120" t="s">
        <v>8971</v>
      </c>
      <c r="J259" s="120"/>
      <c r="K259" s="120" t="s">
        <v>8972</v>
      </c>
      <c r="L259" s="120" t="s">
        <v>43</v>
      </c>
      <c r="M259" s="120" t="s">
        <v>43</v>
      </c>
      <c r="N259" s="130"/>
    </row>
    <row r="260" spans="1:14" ht="20.05" customHeight="1">
      <c r="A260" s="150">
        <v>260</v>
      </c>
      <c r="B260" s="151" t="s">
        <v>2190</v>
      </c>
      <c r="C260" s="120" t="s">
        <v>8973</v>
      </c>
      <c r="D260" s="120" t="s">
        <v>8882</v>
      </c>
      <c r="E260" s="120" t="s">
        <v>8974</v>
      </c>
      <c r="F260" s="120" t="s">
        <v>29</v>
      </c>
      <c r="G260" s="120" t="s">
        <v>8975</v>
      </c>
      <c r="H260" s="120" t="s">
        <v>8976</v>
      </c>
      <c r="I260" s="120" t="s">
        <v>8949</v>
      </c>
      <c r="J260" s="120" t="s">
        <v>43</v>
      </c>
      <c r="K260" s="120" t="s">
        <v>8977</v>
      </c>
      <c r="L260" s="120" t="s">
        <v>8978</v>
      </c>
      <c r="M260" s="120" t="s">
        <v>43</v>
      </c>
      <c r="N260" s="130" t="s">
        <v>8979</v>
      </c>
    </row>
    <row r="261" spans="1:14" ht="20.05" customHeight="1">
      <c r="A261" s="150">
        <v>262</v>
      </c>
      <c r="B261" s="141" t="s">
        <v>50</v>
      </c>
      <c r="C261" s="116" t="s">
        <v>1167</v>
      </c>
      <c r="D261" s="120" t="s">
        <v>8980</v>
      </c>
      <c r="E261" s="120" t="s">
        <v>1026</v>
      </c>
      <c r="F261" s="120" t="s">
        <v>29</v>
      </c>
      <c r="G261" s="120" t="s">
        <v>8981</v>
      </c>
      <c r="H261" s="120" t="s">
        <v>8982</v>
      </c>
      <c r="I261" s="120" t="s">
        <v>8983</v>
      </c>
      <c r="J261" s="120" t="s">
        <v>43</v>
      </c>
      <c r="K261" s="120" t="s">
        <v>43</v>
      </c>
      <c r="L261" s="120" t="s">
        <v>8984</v>
      </c>
      <c r="M261" s="120"/>
      <c r="N261" s="130"/>
    </row>
    <row r="262" spans="1:14" ht="20.05" customHeight="1">
      <c r="A262" s="150">
        <v>263</v>
      </c>
      <c r="B262" s="151" t="s">
        <v>789</v>
      </c>
      <c r="C262" s="120" t="s">
        <v>8985</v>
      </c>
      <c r="D262" s="120" t="s">
        <v>5189</v>
      </c>
      <c r="E262" s="120" t="s">
        <v>892</v>
      </c>
      <c r="F262" s="120" t="s">
        <v>29</v>
      </c>
      <c r="G262" s="120" t="s">
        <v>8986</v>
      </c>
      <c r="H262" s="120" t="s">
        <v>8987</v>
      </c>
      <c r="I262" s="120" t="s">
        <v>8988</v>
      </c>
      <c r="J262" s="120" t="s">
        <v>8989</v>
      </c>
      <c r="K262" s="120" t="s">
        <v>8990</v>
      </c>
      <c r="L262" s="120" t="s">
        <v>8991</v>
      </c>
      <c r="M262" s="120" t="s">
        <v>43</v>
      </c>
      <c r="N262" s="130"/>
    </row>
    <row r="263" spans="1:14" ht="20.05" customHeight="1">
      <c r="A263" s="150">
        <v>264</v>
      </c>
      <c r="B263" s="142" t="s">
        <v>1189</v>
      </c>
      <c r="C263" s="117" t="s">
        <v>1397</v>
      </c>
      <c r="D263" s="120" t="s">
        <v>43</v>
      </c>
      <c r="E263" s="120" t="s">
        <v>43</v>
      </c>
      <c r="F263" s="120" t="s">
        <v>29</v>
      </c>
      <c r="G263" s="120" t="s">
        <v>8992</v>
      </c>
      <c r="H263" s="120" t="s">
        <v>8993</v>
      </c>
      <c r="I263" s="135">
        <v>45863</v>
      </c>
      <c r="J263" s="120" t="s">
        <v>43</v>
      </c>
      <c r="K263" s="120" t="s">
        <v>43</v>
      </c>
      <c r="L263" s="120" t="s">
        <v>8994</v>
      </c>
      <c r="M263" s="120" t="s">
        <v>43</v>
      </c>
      <c r="N263" s="130"/>
    </row>
    <row r="264" spans="1:14" ht="20.05" customHeight="1">
      <c r="A264" s="144">
        <v>265</v>
      </c>
      <c r="B264" s="145" t="s">
        <v>1483</v>
      </c>
      <c r="C264" s="118" t="s">
        <v>952</v>
      </c>
      <c r="D264" s="118" t="s">
        <v>8995</v>
      </c>
      <c r="E264" s="118" t="s">
        <v>8996</v>
      </c>
      <c r="F264" s="118" t="s">
        <v>720</v>
      </c>
      <c r="G264" s="118" t="s">
        <v>8997</v>
      </c>
      <c r="H264" s="118" t="s">
        <v>8998</v>
      </c>
      <c r="I264" s="118" t="s">
        <v>43</v>
      </c>
      <c r="J264" s="118" t="s">
        <v>231</v>
      </c>
      <c r="K264" s="120" t="s">
        <v>8999</v>
      </c>
      <c r="L264" s="118" t="s">
        <v>43</v>
      </c>
      <c r="M264" s="118" t="s">
        <v>43</v>
      </c>
      <c r="N264" s="114"/>
    </row>
    <row r="265" spans="1:14" ht="20.05" customHeight="1">
      <c r="A265" s="144">
        <v>266</v>
      </c>
      <c r="B265" s="145" t="s">
        <v>9000</v>
      </c>
      <c r="C265" s="118" t="s">
        <v>1397</v>
      </c>
      <c r="D265" s="118" t="s">
        <v>43</v>
      </c>
      <c r="E265" s="118" t="s">
        <v>43</v>
      </c>
      <c r="F265" s="118" t="s">
        <v>29</v>
      </c>
      <c r="G265" s="118" t="s">
        <v>9001</v>
      </c>
      <c r="H265" s="118" t="s">
        <v>9002</v>
      </c>
      <c r="I265" s="118" t="s">
        <v>9003</v>
      </c>
      <c r="J265" s="118" t="s">
        <v>402</v>
      </c>
      <c r="K265" s="120" t="s">
        <v>9004</v>
      </c>
      <c r="L265" s="118" t="s">
        <v>9005</v>
      </c>
      <c r="M265" s="118" t="s">
        <v>7740</v>
      </c>
      <c r="N265" s="114"/>
    </row>
    <row r="266" spans="1:14" ht="20.05" customHeight="1">
      <c r="A266" s="144">
        <v>267</v>
      </c>
      <c r="B266" s="145" t="s">
        <v>9000</v>
      </c>
      <c r="C266" s="118" t="s">
        <v>9006</v>
      </c>
      <c r="D266" s="118" t="s">
        <v>43</v>
      </c>
      <c r="E266" s="118" t="s">
        <v>43</v>
      </c>
      <c r="F266" s="118" t="s">
        <v>88</v>
      </c>
      <c r="G266" s="120" t="s">
        <v>9007</v>
      </c>
      <c r="H266" s="118" t="s">
        <v>9008</v>
      </c>
      <c r="I266" s="118" t="s">
        <v>9009</v>
      </c>
      <c r="J266" s="118" t="s">
        <v>402</v>
      </c>
      <c r="K266" s="120" t="s">
        <v>9010</v>
      </c>
      <c r="L266" s="118" t="s">
        <v>43</v>
      </c>
      <c r="M266" s="118" t="s">
        <v>43</v>
      </c>
      <c r="N266" s="114"/>
    </row>
    <row r="267" spans="1:14" ht="20.05" customHeight="1">
      <c r="A267" s="144">
        <v>268</v>
      </c>
      <c r="B267" s="145" t="s">
        <v>5706</v>
      </c>
      <c r="C267" s="118" t="s">
        <v>116</v>
      </c>
      <c r="D267" s="118" t="s">
        <v>9011</v>
      </c>
      <c r="E267" s="118" t="s">
        <v>9012</v>
      </c>
      <c r="F267" s="118" t="s">
        <v>29</v>
      </c>
      <c r="G267" s="120" t="s">
        <v>9013</v>
      </c>
      <c r="H267" s="118" t="s">
        <v>9014</v>
      </c>
      <c r="I267" s="118" t="s">
        <v>9015</v>
      </c>
      <c r="J267" s="118" t="s">
        <v>402</v>
      </c>
      <c r="K267" s="120" t="s">
        <v>9016</v>
      </c>
      <c r="L267" s="120" t="s">
        <v>9017</v>
      </c>
      <c r="M267" s="118" t="s">
        <v>43</v>
      </c>
      <c r="N267" s="114"/>
    </row>
    <row r="268" spans="1:14" ht="20.05" customHeight="1">
      <c r="A268" s="144">
        <v>269</v>
      </c>
      <c r="B268" s="145" t="s">
        <v>9018</v>
      </c>
      <c r="C268" s="118" t="s">
        <v>116</v>
      </c>
      <c r="D268" s="118" t="s">
        <v>43</v>
      </c>
      <c r="E268" s="118" t="s">
        <v>43</v>
      </c>
      <c r="F268" s="118" t="s">
        <v>29</v>
      </c>
      <c r="G268" s="118" t="s">
        <v>9019</v>
      </c>
      <c r="H268" s="118" t="s">
        <v>9020</v>
      </c>
      <c r="I268" s="118" t="s">
        <v>9021</v>
      </c>
      <c r="J268" s="118" t="s">
        <v>9022</v>
      </c>
      <c r="K268" s="118" t="s">
        <v>43</v>
      </c>
      <c r="L268" s="120" t="s">
        <v>9023</v>
      </c>
      <c r="M268" s="118" t="s">
        <v>43</v>
      </c>
      <c r="N268" s="114"/>
    </row>
    <row r="269" spans="1:14" ht="20.05" customHeight="1">
      <c r="A269" s="144">
        <v>270</v>
      </c>
      <c r="B269" s="145" t="s">
        <v>50</v>
      </c>
      <c r="C269" s="118" t="s">
        <v>4470</v>
      </c>
      <c r="D269" s="118" t="s">
        <v>43</v>
      </c>
      <c r="E269" s="118" t="s">
        <v>9024</v>
      </c>
      <c r="F269" s="118" t="s">
        <v>29</v>
      </c>
      <c r="G269" s="118" t="s">
        <v>43</v>
      </c>
      <c r="H269" s="118" t="s">
        <v>9008</v>
      </c>
      <c r="I269" s="118" t="s">
        <v>9025</v>
      </c>
      <c r="J269" s="118" t="s">
        <v>4383</v>
      </c>
      <c r="K269" s="118" t="s">
        <v>9026</v>
      </c>
      <c r="L269" s="118" t="s">
        <v>9027</v>
      </c>
      <c r="M269" s="118" t="s">
        <v>43</v>
      </c>
      <c r="N269" s="114"/>
    </row>
    <row r="270" spans="1:14" ht="20.05" customHeight="1">
      <c r="A270" s="144">
        <v>271</v>
      </c>
      <c r="B270" s="145" t="s">
        <v>1390</v>
      </c>
      <c r="C270" s="118" t="s">
        <v>9028</v>
      </c>
      <c r="D270" s="118" t="s">
        <v>9029</v>
      </c>
      <c r="E270" s="118" t="s">
        <v>9030</v>
      </c>
      <c r="F270" s="118" t="s">
        <v>29</v>
      </c>
      <c r="G270" s="120" t="s">
        <v>9031</v>
      </c>
      <c r="H270" s="118" t="s">
        <v>9032</v>
      </c>
      <c r="I270" s="118" t="s">
        <v>9033</v>
      </c>
      <c r="J270" s="118" t="s">
        <v>4383</v>
      </c>
      <c r="K270" s="120" t="s">
        <v>9034</v>
      </c>
      <c r="L270" s="120" t="s">
        <v>9035</v>
      </c>
      <c r="M270" s="118" t="s">
        <v>43</v>
      </c>
      <c r="N270" s="114"/>
    </row>
    <row r="271" spans="1:14" ht="20.05" customHeight="1">
      <c r="A271" s="144">
        <v>272</v>
      </c>
      <c r="B271" s="145" t="s">
        <v>333</v>
      </c>
      <c r="C271" s="118" t="s">
        <v>1435</v>
      </c>
      <c r="D271" s="118" t="s">
        <v>7272</v>
      </c>
      <c r="E271" s="118" t="s">
        <v>43</v>
      </c>
      <c r="F271" s="118" t="s">
        <v>9036</v>
      </c>
      <c r="G271" s="118" t="e" vm="1">
        <f ca="1">_xlfn.DISPIMG("ID_5A98D8CB8571430AACF0AB4439DB348B",1)</f>
        <v>#NAME?</v>
      </c>
      <c r="H271" s="118" t="s">
        <v>9037</v>
      </c>
      <c r="I271" s="118" t="s">
        <v>9038</v>
      </c>
      <c r="J271" s="118" t="s">
        <v>9039</v>
      </c>
      <c r="K271" s="120" t="s">
        <v>9040</v>
      </c>
      <c r="L271" s="118" t="s">
        <v>9041</v>
      </c>
      <c r="M271" s="118" t="s">
        <v>43</v>
      </c>
      <c r="N271" s="114"/>
    </row>
    <row r="272" spans="1:14" ht="20.05" customHeight="1">
      <c r="A272" s="144">
        <v>273</v>
      </c>
      <c r="B272" s="145" t="s">
        <v>1388</v>
      </c>
      <c r="C272" s="118" t="s">
        <v>1475</v>
      </c>
      <c r="D272" s="118" t="s">
        <v>9042</v>
      </c>
      <c r="E272" s="118" t="s">
        <v>9043</v>
      </c>
      <c r="F272" s="118" t="s">
        <v>29</v>
      </c>
      <c r="G272" s="118" t="s">
        <v>43</v>
      </c>
      <c r="H272" s="118" t="s">
        <v>9044</v>
      </c>
      <c r="I272" s="118" t="s">
        <v>9045</v>
      </c>
      <c r="J272" s="118" t="s">
        <v>43</v>
      </c>
      <c r="K272" s="118" t="s">
        <v>9046</v>
      </c>
      <c r="L272" s="118" t="s">
        <v>43</v>
      </c>
      <c r="M272" s="118" t="s">
        <v>43</v>
      </c>
      <c r="N272" s="114"/>
    </row>
    <row r="273" spans="1:14" ht="20.05" customHeight="1">
      <c r="A273" s="144">
        <v>274</v>
      </c>
      <c r="B273" s="145" t="s">
        <v>1671</v>
      </c>
      <c r="C273" s="118" t="s">
        <v>5073</v>
      </c>
      <c r="D273" s="120" t="s">
        <v>9047</v>
      </c>
      <c r="E273" s="118" t="s">
        <v>5626</v>
      </c>
      <c r="F273" s="118" t="s">
        <v>29</v>
      </c>
      <c r="G273" s="118" t="s">
        <v>8660</v>
      </c>
      <c r="H273" s="118" t="s">
        <v>9048</v>
      </c>
      <c r="I273" s="118" t="s">
        <v>9049</v>
      </c>
      <c r="J273" s="118" t="s">
        <v>6651</v>
      </c>
      <c r="K273" s="120" t="s">
        <v>9050</v>
      </c>
      <c r="L273" s="118" t="s">
        <v>7596</v>
      </c>
      <c r="M273" s="118" t="s">
        <v>43</v>
      </c>
      <c r="N273" s="114"/>
    </row>
    <row r="274" spans="1:14" ht="20.05" customHeight="1">
      <c r="A274" s="144">
        <v>275</v>
      </c>
      <c r="B274" s="145" t="s">
        <v>1015</v>
      </c>
      <c r="C274" s="118" t="s">
        <v>9051</v>
      </c>
      <c r="D274" s="118" t="s">
        <v>9052</v>
      </c>
      <c r="E274" s="118" t="s">
        <v>9053</v>
      </c>
      <c r="F274" s="118" t="s">
        <v>29</v>
      </c>
      <c r="G274" s="120" t="s">
        <v>9054</v>
      </c>
      <c r="H274" s="118" t="s">
        <v>9055</v>
      </c>
      <c r="I274" s="118" t="s">
        <v>9056</v>
      </c>
      <c r="J274" s="118" t="s">
        <v>9057</v>
      </c>
      <c r="K274" s="120" t="s">
        <v>9058</v>
      </c>
      <c r="L274" s="120" t="s">
        <v>9059</v>
      </c>
      <c r="M274" s="118" t="s">
        <v>43</v>
      </c>
      <c r="N274" s="114"/>
    </row>
    <row r="275" spans="1:14" ht="20.05" customHeight="1">
      <c r="A275" s="144">
        <v>276</v>
      </c>
      <c r="B275" s="145" t="s">
        <v>50</v>
      </c>
      <c r="C275" s="118" t="s">
        <v>864</v>
      </c>
      <c r="D275" s="118" t="s">
        <v>9060</v>
      </c>
      <c r="E275" s="118" t="s">
        <v>9061</v>
      </c>
      <c r="F275" s="118" t="s">
        <v>29</v>
      </c>
      <c r="G275" s="118" t="s">
        <v>43</v>
      </c>
      <c r="H275" s="118" t="s">
        <v>9062</v>
      </c>
      <c r="I275" s="118" t="s">
        <v>8352</v>
      </c>
      <c r="J275" s="118" t="s">
        <v>43</v>
      </c>
      <c r="K275" s="118" t="s">
        <v>9063</v>
      </c>
      <c r="L275" s="118" t="s">
        <v>9064</v>
      </c>
      <c r="M275" s="118" t="s">
        <v>43</v>
      </c>
      <c r="N275" s="114"/>
    </row>
    <row r="276" spans="1:14" ht="20.05" customHeight="1">
      <c r="A276" s="144">
        <v>277</v>
      </c>
      <c r="B276" s="145" t="s">
        <v>133</v>
      </c>
      <c r="C276" s="118" t="s">
        <v>9065</v>
      </c>
      <c r="D276" s="118" t="s">
        <v>43</v>
      </c>
      <c r="E276" s="118" t="s">
        <v>9066</v>
      </c>
      <c r="F276" s="118" t="s">
        <v>29</v>
      </c>
      <c r="G276" s="118" t="e" vm="1">
        <f ca="1">_xlfn.DISPIMG("ID_EDCF8B291A524C5CB5A5C2AC0B7D4598",1)</f>
        <v>#NAME?</v>
      </c>
      <c r="H276" s="118" t="s">
        <v>9067</v>
      </c>
      <c r="I276" s="118" t="s">
        <v>9068</v>
      </c>
      <c r="J276" s="118" t="s">
        <v>9069</v>
      </c>
      <c r="K276" s="120" t="s">
        <v>9070</v>
      </c>
      <c r="L276" s="120" t="s">
        <v>9071</v>
      </c>
      <c r="M276" s="118" t="s">
        <v>43</v>
      </c>
      <c r="N276" s="114"/>
    </row>
    <row r="277" spans="1:14" ht="20.05" customHeight="1">
      <c r="A277" s="144">
        <v>278</v>
      </c>
      <c r="B277" s="145" t="s">
        <v>677</v>
      </c>
      <c r="C277" s="118" t="s">
        <v>9072</v>
      </c>
      <c r="D277" s="118" t="s">
        <v>9073</v>
      </c>
      <c r="E277" s="118" t="e" vm="1">
        <f ca="1">_xlfn.DISPIMG("ID_1D50AAF99C26413888D9AC97509C95F8",1)</f>
        <v>#NAME?</v>
      </c>
      <c r="F277" s="118" t="s">
        <v>29</v>
      </c>
      <c r="G277" s="118" t="s">
        <v>43</v>
      </c>
      <c r="H277" s="118" t="s">
        <v>9074</v>
      </c>
      <c r="I277" s="118" t="s">
        <v>9075</v>
      </c>
      <c r="J277" s="118" t="s">
        <v>9076</v>
      </c>
      <c r="K277" s="118" t="s">
        <v>9077</v>
      </c>
      <c r="L277" s="118" t="s">
        <v>9078</v>
      </c>
      <c r="M277" s="118" t="s">
        <v>43</v>
      </c>
      <c r="N277" s="114"/>
    </row>
    <row r="278" spans="1:14" ht="20.05" customHeight="1">
      <c r="A278" s="144">
        <v>279</v>
      </c>
      <c r="B278" s="145" t="s">
        <v>9079</v>
      </c>
      <c r="C278" s="118" t="s">
        <v>116</v>
      </c>
      <c r="D278" s="118" t="s">
        <v>43</v>
      </c>
      <c r="E278" s="118" t="s">
        <v>43</v>
      </c>
      <c r="F278" s="118" t="s">
        <v>88</v>
      </c>
      <c r="G278" s="118" t="s">
        <v>43</v>
      </c>
      <c r="H278" s="118" t="s">
        <v>9080</v>
      </c>
      <c r="I278" s="118" t="s">
        <v>9045</v>
      </c>
      <c r="J278" s="118" t="s">
        <v>43</v>
      </c>
      <c r="K278" s="118" t="s">
        <v>9081</v>
      </c>
      <c r="L278" s="118" t="s">
        <v>43</v>
      </c>
      <c r="M278" s="118" t="s">
        <v>43</v>
      </c>
      <c r="N278" s="114"/>
    </row>
    <row r="279" spans="1:14" ht="20.05" customHeight="1">
      <c r="A279" s="144">
        <v>280</v>
      </c>
      <c r="B279" s="145" t="s">
        <v>333</v>
      </c>
      <c r="C279" s="118" t="s">
        <v>1407</v>
      </c>
      <c r="D279" s="118" t="s">
        <v>43</v>
      </c>
      <c r="E279" s="118" t="s">
        <v>43</v>
      </c>
      <c r="F279" s="118" t="s">
        <v>29</v>
      </c>
      <c r="G279" s="118" t="s">
        <v>43</v>
      </c>
      <c r="H279" s="118" t="s">
        <v>9082</v>
      </c>
      <c r="I279" s="118" t="s">
        <v>9083</v>
      </c>
      <c r="J279" s="118" t="s">
        <v>9076</v>
      </c>
      <c r="K279" s="120" t="s">
        <v>9084</v>
      </c>
      <c r="L279" s="118" t="s">
        <v>9085</v>
      </c>
      <c r="M279" s="118" t="s">
        <v>43</v>
      </c>
      <c r="N279" s="114"/>
    </row>
    <row r="280" spans="1:14" ht="20.05" customHeight="1">
      <c r="A280" s="144">
        <v>281</v>
      </c>
      <c r="B280" s="145" t="s">
        <v>1226</v>
      </c>
      <c r="C280" s="118" t="s">
        <v>116</v>
      </c>
      <c r="D280" s="118" t="s">
        <v>9086</v>
      </c>
      <c r="E280" s="118" t="s">
        <v>43</v>
      </c>
      <c r="F280" s="118" t="s">
        <v>29</v>
      </c>
      <c r="G280" s="118" t="s">
        <v>43</v>
      </c>
      <c r="H280" s="118" t="s">
        <v>9087</v>
      </c>
      <c r="I280" s="118" t="s">
        <v>9088</v>
      </c>
      <c r="J280" s="118" t="s">
        <v>3913</v>
      </c>
      <c r="K280" s="118" t="s">
        <v>9089</v>
      </c>
      <c r="L280" s="118" t="s">
        <v>9090</v>
      </c>
      <c r="M280" s="118"/>
      <c r="N280" s="114"/>
    </row>
    <row r="281" spans="1:14" ht="20.05" customHeight="1">
      <c r="A281" s="144">
        <v>282</v>
      </c>
      <c r="B281" s="145" t="s">
        <v>898</v>
      </c>
      <c r="C281" s="118" t="s">
        <v>9091</v>
      </c>
      <c r="D281" s="118" t="s">
        <v>9092</v>
      </c>
      <c r="E281" s="118"/>
      <c r="F281" s="118"/>
      <c r="G281" s="118"/>
      <c r="H281" s="118" t="s">
        <v>9087</v>
      </c>
      <c r="I281" s="118" t="s">
        <v>9088</v>
      </c>
      <c r="J281" s="118" t="s">
        <v>5458</v>
      </c>
      <c r="K281" s="120" t="s">
        <v>9093</v>
      </c>
      <c r="L281" s="120" t="s">
        <v>9094</v>
      </c>
      <c r="M281" s="118" t="s">
        <v>43</v>
      </c>
      <c r="N281" s="114"/>
    </row>
    <row r="282" spans="1:14" ht="20.05" customHeight="1">
      <c r="A282" s="144">
        <v>283</v>
      </c>
      <c r="B282" s="145" t="s">
        <v>954</v>
      </c>
      <c r="C282" s="118" t="s">
        <v>1484</v>
      </c>
      <c r="D282" s="118" t="s">
        <v>9095</v>
      </c>
      <c r="E282" s="118" t="s">
        <v>43</v>
      </c>
      <c r="F282" s="118" t="s">
        <v>29</v>
      </c>
      <c r="G282" s="120" t="s">
        <v>9096</v>
      </c>
      <c r="H282" s="118" t="s">
        <v>9097</v>
      </c>
      <c r="I282" s="118" t="s">
        <v>9098</v>
      </c>
      <c r="J282" s="118" t="s">
        <v>43</v>
      </c>
      <c r="K282" s="118" t="s">
        <v>43</v>
      </c>
      <c r="L282" s="118" t="s">
        <v>9099</v>
      </c>
      <c r="M282" s="118" t="s">
        <v>43</v>
      </c>
      <c r="N282" s="114"/>
    </row>
    <row r="283" spans="1:14" ht="20.05" customHeight="1">
      <c r="A283" s="144">
        <v>284</v>
      </c>
      <c r="B283" s="145" t="s">
        <v>1671</v>
      </c>
      <c r="C283" s="118" t="s">
        <v>945</v>
      </c>
      <c r="D283" s="118" t="s">
        <v>9100</v>
      </c>
      <c r="E283" s="118" t="s">
        <v>9101</v>
      </c>
      <c r="F283" s="118" t="s">
        <v>29</v>
      </c>
      <c r="G283" s="118" t="s">
        <v>43</v>
      </c>
      <c r="H283" s="118" t="s">
        <v>9102</v>
      </c>
      <c r="I283" s="118" t="s">
        <v>9103</v>
      </c>
      <c r="J283" s="118" t="s">
        <v>43</v>
      </c>
      <c r="K283" s="118" t="s">
        <v>9104</v>
      </c>
      <c r="L283" s="118" t="s">
        <v>9105</v>
      </c>
      <c r="M283" s="118" t="s">
        <v>43</v>
      </c>
      <c r="N283" s="114"/>
    </row>
    <row r="284" spans="1:14" ht="20.05" customHeight="1">
      <c r="A284" s="144">
        <v>285</v>
      </c>
      <c r="B284" s="145" t="s">
        <v>1226</v>
      </c>
      <c r="C284" s="118" t="s">
        <v>116</v>
      </c>
      <c r="D284" s="118" t="s">
        <v>9106</v>
      </c>
      <c r="E284" s="118" t="s">
        <v>43</v>
      </c>
      <c r="F284" s="118" t="s">
        <v>29</v>
      </c>
      <c r="G284" s="118" t="s">
        <v>9107</v>
      </c>
      <c r="H284" s="118" t="s">
        <v>9108</v>
      </c>
      <c r="I284" s="118" t="s">
        <v>9088</v>
      </c>
      <c r="J284" s="118" t="s">
        <v>3913</v>
      </c>
      <c r="K284" s="120" t="s">
        <v>9109</v>
      </c>
      <c r="L284" s="120" t="s">
        <v>9110</v>
      </c>
      <c r="M284" s="118"/>
      <c r="N284" s="114"/>
    </row>
    <row r="285" spans="1:14" ht="20.05" customHeight="1">
      <c r="A285" s="144">
        <v>286</v>
      </c>
      <c r="B285" s="145" t="s">
        <v>1015</v>
      </c>
      <c r="C285" s="118" t="s">
        <v>1635</v>
      </c>
      <c r="D285" s="118" t="s">
        <v>43</v>
      </c>
      <c r="E285" s="118" t="s">
        <v>43</v>
      </c>
      <c r="F285" s="118" t="s">
        <v>29</v>
      </c>
      <c r="G285" s="118" t="s">
        <v>43</v>
      </c>
      <c r="H285" s="118" t="s">
        <v>9111</v>
      </c>
      <c r="I285" s="118" t="s">
        <v>9112</v>
      </c>
      <c r="J285" s="118" t="s">
        <v>402</v>
      </c>
      <c r="K285" s="118" t="s">
        <v>9113</v>
      </c>
      <c r="L285" s="118" t="s">
        <v>9114</v>
      </c>
      <c r="M285" s="118"/>
      <c r="N285" s="114"/>
    </row>
    <row r="286" spans="1:14" ht="20.05" customHeight="1">
      <c r="A286" s="144">
        <v>287</v>
      </c>
      <c r="B286" s="145" t="s">
        <v>9115</v>
      </c>
      <c r="C286" s="118" t="s">
        <v>9116</v>
      </c>
      <c r="D286" s="118" t="s">
        <v>43</v>
      </c>
      <c r="E286" s="118" t="s">
        <v>43</v>
      </c>
      <c r="F286" s="118" t="s">
        <v>29</v>
      </c>
      <c r="G286" s="118" t="s">
        <v>43</v>
      </c>
      <c r="H286" s="118" t="s">
        <v>9117</v>
      </c>
      <c r="I286" s="118" t="s">
        <v>9118</v>
      </c>
      <c r="J286" s="118" t="s">
        <v>314</v>
      </c>
      <c r="K286" s="118" t="s">
        <v>9119</v>
      </c>
      <c r="L286" s="118" t="s">
        <v>9120</v>
      </c>
      <c r="M286" s="118"/>
      <c r="N286" s="114"/>
    </row>
    <row r="287" spans="1:14" ht="20.05" customHeight="1">
      <c r="A287" s="150">
        <v>288</v>
      </c>
      <c r="B287" s="151" t="s">
        <v>50</v>
      </c>
      <c r="C287" s="120" t="s">
        <v>9121</v>
      </c>
      <c r="D287" s="120" t="s">
        <v>8882</v>
      </c>
      <c r="E287" s="120" t="s">
        <v>8883</v>
      </c>
      <c r="F287" s="120" t="s">
        <v>88</v>
      </c>
      <c r="G287" s="120" t="s">
        <v>9122</v>
      </c>
      <c r="H287" s="120" t="s">
        <v>9123</v>
      </c>
      <c r="I287" s="120" t="s">
        <v>9124</v>
      </c>
      <c r="J287" s="120" t="s">
        <v>43</v>
      </c>
      <c r="K287" s="120" t="s">
        <v>9125</v>
      </c>
      <c r="L287" s="120" t="s">
        <v>43</v>
      </c>
      <c r="M287" s="120" t="s">
        <v>43</v>
      </c>
      <c r="N287" s="130"/>
    </row>
    <row r="288" spans="1:14" ht="20.05" customHeight="1">
      <c r="A288" s="150">
        <v>289</v>
      </c>
      <c r="B288" s="151" t="s">
        <v>50</v>
      </c>
      <c r="C288" s="120" t="s">
        <v>1167</v>
      </c>
      <c r="D288" s="120" t="s">
        <v>9126</v>
      </c>
      <c r="E288" s="120" t="s">
        <v>60</v>
      </c>
      <c r="F288" s="120" t="s">
        <v>29</v>
      </c>
      <c r="G288" s="120" t="s">
        <v>9127</v>
      </c>
      <c r="H288" s="120" t="s">
        <v>9128</v>
      </c>
      <c r="I288" s="131" t="s">
        <v>9129</v>
      </c>
      <c r="J288" s="120" t="s">
        <v>139</v>
      </c>
      <c r="K288" s="120" t="s">
        <v>9130</v>
      </c>
      <c r="L288" s="120" t="s">
        <v>9131</v>
      </c>
      <c r="M288" s="120" t="s">
        <v>43</v>
      </c>
      <c r="N288" s="130"/>
    </row>
    <row r="289" spans="1:14" ht="20.05" customHeight="1">
      <c r="A289" s="150">
        <v>290</v>
      </c>
      <c r="B289" s="151" t="s">
        <v>8640</v>
      </c>
      <c r="C289" s="120" t="s">
        <v>1668</v>
      </c>
      <c r="D289" s="115" t="s">
        <v>9132</v>
      </c>
      <c r="E289" s="115" t="s">
        <v>9133</v>
      </c>
      <c r="F289" s="120" t="s">
        <v>29</v>
      </c>
      <c r="G289" s="120" t="s">
        <v>9134</v>
      </c>
      <c r="H289" s="115" t="s">
        <v>9038</v>
      </c>
      <c r="I289" s="115" t="s">
        <v>9135</v>
      </c>
      <c r="J289" s="132" t="e" vm="1">
        <f ca="1">_xlfn.DISPIMG("ID_7B12AED143C040719781BBEFDE811CF7",1)</f>
        <v>#NAME?</v>
      </c>
      <c r="K289" s="120" t="s">
        <v>9136</v>
      </c>
      <c r="L289" s="120" t="s">
        <v>9137</v>
      </c>
      <c r="M289" s="120" t="s">
        <v>43</v>
      </c>
      <c r="N289" s="130"/>
    </row>
    <row r="290" spans="1:14" ht="20.05" customHeight="1">
      <c r="A290" s="150">
        <v>291</v>
      </c>
      <c r="B290" s="151" t="s">
        <v>8640</v>
      </c>
      <c r="C290" s="120" t="s">
        <v>945</v>
      </c>
      <c r="D290" s="120" t="s">
        <v>9138</v>
      </c>
      <c r="E290" s="120" t="s">
        <v>9139</v>
      </c>
      <c r="F290" s="120" t="s">
        <v>29</v>
      </c>
      <c r="G290" s="120" t="s">
        <v>9140</v>
      </c>
      <c r="H290" s="117" t="s">
        <v>9141</v>
      </c>
      <c r="I290" s="117" t="s">
        <v>9142</v>
      </c>
      <c r="J290" s="120" t="s">
        <v>43</v>
      </c>
      <c r="K290" s="120" t="s">
        <v>9143</v>
      </c>
      <c r="L290" s="120" t="s">
        <v>9144</v>
      </c>
      <c r="M290" s="120" t="s">
        <v>43</v>
      </c>
      <c r="N290" s="133"/>
    </row>
    <row r="291" spans="1:14" ht="20.05" customHeight="1">
      <c r="A291" s="150">
        <v>292</v>
      </c>
      <c r="B291" s="141" t="s">
        <v>8640</v>
      </c>
      <c r="C291" s="116" t="s">
        <v>5073</v>
      </c>
      <c r="D291" s="112" t="s">
        <v>9145</v>
      </c>
      <c r="E291" s="112" t="s">
        <v>9146</v>
      </c>
      <c r="F291" s="112" t="s">
        <v>29</v>
      </c>
      <c r="G291" s="120" t="s">
        <v>9147</v>
      </c>
      <c r="H291" s="112" t="s">
        <v>9148</v>
      </c>
      <c r="I291" s="112" t="s">
        <v>9142</v>
      </c>
      <c r="J291" s="112" t="s">
        <v>43</v>
      </c>
      <c r="K291" s="120" t="s">
        <v>9149</v>
      </c>
      <c r="L291" s="112" t="s">
        <v>9150</v>
      </c>
      <c r="M291" s="112" t="s">
        <v>43</v>
      </c>
      <c r="N291" s="130"/>
    </row>
  </sheetData>
  <phoneticPr fontId="5" type="noConversion"/>
  <hyperlinks>
    <hyperlink ref="G60" r:id="rId1" tooltip="file:///C:/Users/小诺/Documents/WeChat Files/wxid_j8dfirc4cbhp22/FileStorage/Temp/2cddc86badc9ade06f4baa413317d4f.jpg" xr:uid="{8BDF1D00-0606-45F9-8CC0-4E096D7E01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72AE5-63B5-4411-9F39-DDCD00815324}">
  <dimension ref="A1:N304"/>
  <sheetViews>
    <sheetView zoomScale="30" zoomScaleNormal="30" workbookViewId="0">
      <selection activeCell="B2" sqref="B2"/>
    </sheetView>
  </sheetViews>
  <sheetFormatPr defaultColWidth="7.796875" defaultRowHeight="15"/>
  <cols>
    <col min="1" max="1" width="10.33203125" customWidth="1"/>
    <col min="2" max="2" width="40.59765625" customWidth="1"/>
    <col min="3" max="3" width="32" customWidth="1"/>
    <col min="4" max="4" width="71.06640625" customWidth="1"/>
    <col min="5" max="5" width="116.796875" customWidth="1"/>
    <col min="6" max="6" width="46.59765625" customWidth="1"/>
    <col min="7" max="7" width="67.06640625" customWidth="1"/>
    <col min="8" max="8" width="82.59765625" customWidth="1"/>
    <col min="9" max="10" width="46.59765625" customWidth="1"/>
    <col min="11" max="11" width="107.265625" customWidth="1"/>
    <col min="12" max="12" width="162.59765625" customWidth="1"/>
    <col min="13" max="13" width="137.06640625" customWidth="1"/>
    <col min="14" max="14" width="221.53125" customWidth="1"/>
  </cols>
  <sheetData>
    <row r="1" spans="1:14" s="94" customFormat="1" ht="186.9" customHeight="1">
      <c r="A1" s="91" t="s">
        <v>5851</v>
      </c>
      <c r="B1" s="92" t="s">
        <v>0</v>
      </c>
      <c r="C1" s="91" t="s">
        <v>1</v>
      </c>
      <c r="D1" s="91" t="s">
        <v>5852</v>
      </c>
      <c r="E1" s="91" t="s">
        <v>5853</v>
      </c>
      <c r="F1" s="91" t="s">
        <v>5854</v>
      </c>
      <c r="G1" s="91" t="s">
        <v>5855</v>
      </c>
      <c r="H1" s="91" t="s">
        <v>5856</v>
      </c>
      <c r="I1" s="91" t="s">
        <v>5857</v>
      </c>
      <c r="J1" s="91" t="s">
        <v>5858</v>
      </c>
      <c r="K1" s="91" t="s">
        <v>5859</v>
      </c>
      <c r="L1" s="91" t="s">
        <v>5860</v>
      </c>
      <c r="M1" s="91" t="s">
        <v>5861</v>
      </c>
      <c r="N1" s="93" t="s">
        <v>12</v>
      </c>
    </row>
    <row r="2" spans="1:14" s="100" customFormat="1" ht="208" customHeight="1">
      <c r="A2" s="95">
        <v>1</v>
      </c>
      <c r="B2" s="95" t="s">
        <v>58</v>
      </c>
      <c r="C2" s="95" t="s">
        <v>4192</v>
      </c>
      <c r="D2" s="96" t="s">
        <v>9152</v>
      </c>
      <c r="E2" s="97" t="s">
        <v>5862</v>
      </c>
      <c r="F2" s="96" t="s">
        <v>29</v>
      </c>
      <c r="G2" s="96" t="s">
        <v>5863</v>
      </c>
      <c r="H2" s="96" t="s">
        <v>43</v>
      </c>
      <c r="I2" s="98">
        <v>45474</v>
      </c>
      <c r="J2" s="96" t="s">
        <v>43</v>
      </c>
      <c r="K2" s="96" t="s">
        <v>5864</v>
      </c>
      <c r="L2" s="96" t="s">
        <v>5865</v>
      </c>
      <c r="M2" s="96" t="s">
        <v>43</v>
      </c>
      <c r="N2" s="99" t="s">
        <v>5866</v>
      </c>
    </row>
    <row r="3" spans="1:14" s="100" customFormat="1" ht="208" customHeight="1">
      <c r="A3" s="95">
        <v>2</v>
      </c>
      <c r="B3" s="95" t="s">
        <v>5867</v>
      </c>
      <c r="C3" s="95" t="s">
        <v>43</v>
      </c>
      <c r="D3" s="96" t="s">
        <v>5868</v>
      </c>
      <c r="E3" s="96" t="s">
        <v>43</v>
      </c>
      <c r="F3" s="96" t="s">
        <v>29</v>
      </c>
      <c r="G3" s="96" t="s">
        <v>43</v>
      </c>
      <c r="H3" s="96" t="s">
        <v>4089</v>
      </c>
      <c r="I3" s="96" t="s">
        <v>5869</v>
      </c>
      <c r="J3" s="96" t="s">
        <v>43</v>
      </c>
      <c r="K3" s="97" t="s">
        <v>5870</v>
      </c>
      <c r="L3" s="97" t="s">
        <v>5871</v>
      </c>
      <c r="M3" s="97" t="s">
        <v>5872</v>
      </c>
      <c r="N3" s="101" t="s">
        <v>5873</v>
      </c>
    </row>
    <row r="4" spans="1:14" s="100" customFormat="1" ht="208" customHeight="1">
      <c r="A4" s="95">
        <v>3</v>
      </c>
      <c r="B4" s="95" t="s">
        <v>235</v>
      </c>
      <c r="C4" s="95" t="s">
        <v>43</v>
      </c>
      <c r="D4" s="96" t="s">
        <v>43</v>
      </c>
      <c r="E4" s="96" t="s">
        <v>37</v>
      </c>
      <c r="F4" s="96" t="s">
        <v>43</v>
      </c>
      <c r="G4" s="96" t="s">
        <v>43</v>
      </c>
      <c r="H4" s="96" t="s">
        <v>5874</v>
      </c>
      <c r="I4" s="96" t="s">
        <v>43</v>
      </c>
      <c r="J4" s="96" t="s">
        <v>43</v>
      </c>
      <c r="K4" s="97" t="s">
        <v>5875</v>
      </c>
      <c r="L4" s="96" t="s">
        <v>43</v>
      </c>
      <c r="M4" s="96" t="s">
        <v>43</v>
      </c>
      <c r="N4" s="101" t="s">
        <v>5876</v>
      </c>
    </row>
    <row r="5" spans="1:14" s="100" customFormat="1" ht="208" customHeight="1">
      <c r="A5" s="95">
        <v>4</v>
      </c>
      <c r="B5" s="95" t="s">
        <v>26</v>
      </c>
      <c r="C5" s="95" t="s">
        <v>27</v>
      </c>
      <c r="D5" s="96" t="s">
        <v>5877</v>
      </c>
      <c r="E5" s="96" t="s">
        <v>43</v>
      </c>
      <c r="F5" s="96" t="s">
        <v>29</v>
      </c>
      <c r="G5" s="96" t="s">
        <v>5878</v>
      </c>
      <c r="H5" s="96" t="s">
        <v>5879</v>
      </c>
      <c r="I5" s="96" t="s">
        <v>5880</v>
      </c>
      <c r="J5" s="96" t="s">
        <v>5881</v>
      </c>
      <c r="K5" s="97" t="s">
        <v>5882</v>
      </c>
      <c r="L5" s="96" t="s">
        <v>5883</v>
      </c>
      <c r="M5" s="96" t="s">
        <v>5883</v>
      </c>
      <c r="N5" s="101" t="s">
        <v>5884</v>
      </c>
    </row>
    <row r="6" spans="1:14" s="100" customFormat="1" ht="208" customHeight="1">
      <c r="A6" s="95">
        <v>5</v>
      </c>
      <c r="B6" s="95" t="s">
        <v>4127</v>
      </c>
      <c r="C6" s="95" t="s">
        <v>4128</v>
      </c>
      <c r="D6" s="97" t="s">
        <v>5885</v>
      </c>
      <c r="E6" s="96" t="s">
        <v>43</v>
      </c>
      <c r="F6" s="96" t="s">
        <v>29</v>
      </c>
      <c r="G6" s="96" t="s">
        <v>5886</v>
      </c>
      <c r="H6" s="96" t="s">
        <v>5887</v>
      </c>
      <c r="I6" s="96" t="s">
        <v>5888</v>
      </c>
      <c r="J6" s="96" t="s">
        <v>43</v>
      </c>
      <c r="K6" s="96" t="s">
        <v>43</v>
      </c>
      <c r="L6" s="97" t="s">
        <v>5889</v>
      </c>
      <c r="M6" s="96" t="s">
        <v>5890</v>
      </c>
      <c r="N6" s="99" t="s">
        <v>43</v>
      </c>
    </row>
    <row r="7" spans="1:14" s="100" customFormat="1" ht="208" customHeight="1">
      <c r="A7" s="95">
        <v>6</v>
      </c>
      <c r="B7" s="95" t="s">
        <v>58</v>
      </c>
      <c r="C7" s="95" t="s">
        <v>267</v>
      </c>
      <c r="D7" s="97" t="s">
        <v>5891</v>
      </c>
      <c r="E7" s="96" t="s">
        <v>5892</v>
      </c>
      <c r="F7" s="96" t="s">
        <v>29</v>
      </c>
      <c r="G7" s="97" t="s">
        <v>5893</v>
      </c>
      <c r="H7" s="96" t="s">
        <v>5894</v>
      </c>
      <c r="I7" s="96" t="s">
        <v>43</v>
      </c>
      <c r="J7" s="96" t="s">
        <v>43</v>
      </c>
      <c r="K7" s="97" t="s">
        <v>5895</v>
      </c>
      <c r="L7" s="97" t="s">
        <v>4157</v>
      </c>
      <c r="M7" s="96" t="s">
        <v>43</v>
      </c>
      <c r="N7" s="99" t="s">
        <v>5896</v>
      </c>
    </row>
    <row r="8" spans="1:14" s="100" customFormat="1" ht="208" customHeight="1">
      <c r="A8" s="95">
        <v>7</v>
      </c>
      <c r="B8" s="95" t="s">
        <v>13</v>
      </c>
      <c r="C8" s="95" t="s">
        <v>1661</v>
      </c>
      <c r="D8" s="97" t="s">
        <v>5897</v>
      </c>
      <c r="E8" s="96" t="s">
        <v>5898</v>
      </c>
      <c r="F8" s="96" t="s">
        <v>29</v>
      </c>
      <c r="G8" s="96" t="s">
        <v>43</v>
      </c>
      <c r="H8" s="96" t="s">
        <v>5899</v>
      </c>
      <c r="I8" s="96" t="s">
        <v>5900</v>
      </c>
      <c r="J8" s="96" t="s">
        <v>237</v>
      </c>
      <c r="K8" s="97" t="s">
        <v>5901</v>
      </c>
      <c r="L8" s="96" t="s">
        <v>5902</v>
      </c>
      <c r="M8" s="96" t="s">
        <v>43</v>
      </c>
      <c r="N8" s="101" t="s">
        <v>5903</v>
      </c>
    </row>
    <row r="9" spans="1:14" s="100" customFormat="1" ht="208" customHeight="1">
      <c r="A9" s="95">
        <v>8</v>
      </c>
      <c r="B9" s="95" t="s">
        <v>133</v>
      </c>
      <c r="C9" s="95" t="s">
        <v>134</v>
      </c>
      <c r="D9" s="96" t="s">
        <v>5904</v>
      </c>
      <c r="E9" s="96" t="s">
        <v>5905</v>
      </c>
      <c r="F9" s="96" t="s">
        <v>43</v>
      </c>
      <c r="G9" s="97" t="s">
        <v>5906</v>
      </c>
      <c r="H9" s="96" t="s">
        <v>5907</v>
      </c>
      <c r="I9" s="96" t="s">
        <v>62</v>
      </c>
      <c r="J9" s="96" t="s">
        <v>43</v>
      </c>
      <c r="K9" s="97" t="s">
        <v>5908</v>
      </c>
      <c r="L9" s="96" t="s">
        <v>5909</v>
      </c>
      <c r="M9" s="96" t="s">
        <v>43</v>
      </c>
      <c r="N9" s="101" t="s">
        <v>5910</v>
      </c>
    </row>
    <row r="10" spans="1:14" s="100" customFormat="1" ht="208" customHeight="1">
      <c r="A10" s="95">
        <v>9</v>
      </c>
      <c r="B10" s="95" t="s">
        <v>58</v>
      </c>
      <c r="C10" s="95" t="s">
        <v>59</v>
      </c>
      <c r="D10" s="152" t="s">
        <v>5911</v>
      </c>
      <c r="E10" s="152"/>
      <c r="F10" s="152"/>
      <c r="G10" s="152"/>
      <c r="H10" s="152"/>
      <c r="I10" s="152"/>
      <c r="J10" s="152"/>
      <c r="K10" s="96" t="s">
        <v>43</v>
      </c>
      <c r="L10" s="96" t="s">
        <v>43</v>
      </c>
      <c r="M10" s="96" t="s">
        <v>43</v>
      </c>
      <c r="N10" s="99" t="s">
        <v>43</v>
      </c>
    </row>
    <row r="11" spans="1:14" s="100" customFormat="1" ht="208" customHeight="1">
      <c r="A11" s="95">
        <v>10</v>
      </c>
      <c r="B11" s="95" t="s">
        <v>13</v>
      </c>
      <c r="C11" s="95" t="s">
        <v>14</v>
      </c>
      <c r="D11" s="97" t="s">
        <v>5912</v>
      </c>
      <c r="E11" s="96" t="s">
        <v>5913</v>
      </c>
      <c r="F11" s="96" t="s">
        <v>43</v>
      </c>
      <c r="G11" s="96" t="s">
        <v>5914</v>
      </c>
      <c r="H11" s="96" t="s">
        <v>5915</v>
      </c>
      <c r="I11" s="96" t="s">
        <v>5914</v>
      </c>
      <c r="J11" s="96" t="s">
        <v>43</v>
      </c>
      <c r="K11" s="97" t="s">
        <v>5916</v>
      </c>
      <c r="L11" s="96" t="s">
        <v>43</v>
      </c>
      <c r="M11" s="96" t="s">
        <v>43</v>
      </c>
      <c r="N11" s="101" t="s">
        <v>5917</v>
      </c>
    </row>
    <row r="12" spans="1:14" s="100" customFormat="1" ht="208" customHeight="1">
      <c r="A12" s="95">
        <v>11</v>
      </c>
      <c r="B12" s="95" t="s">
        <v>20</v>
      </c>
      <c r="C12" s="95" t="s">
        <v>5918</v>
      </c>
      <c r="D12" s="97" t="s">
        <v>5919</v>
      </c>
      <c r="E12" s="96" t="s">
        <v>5920</v>
      </c>
      <c r="F12" s="96" t="s">
        <v>29</v>
      </c>
      <c r="G12" s="102" t="s">
        <v>5921</v>
      </c>
      <c r="H12" s="96" t="s">
        <v>5922</v>
      </c>
      <c r="I12" s="96" t="s">
        <v>1744</v>
      </c>
      <c r="J12" s="96" t="s">
        <v>32</v>
      </c>
      <c r="K12" s="97" t="s">
        <v>5923</v>
      </c>
      <c r="L12" s="96" t="s">
        <v>5924</v>
      </c>
      <c r="M12" s="96" t="s">
        <v>43</v>
      </c>
      <c r="N12" s="101" t="s">
        <v>5925</v>
      </c>
    </row>
    <row r="13" spans="1:14" s="100" customFormat="1" ht="208" customHeight="1">
      <c r="A13" s="95">
        <v>12</v>
      </c>
      <c r="B13" s="95" t="s">
        <v>109</v>
      </c>
      <c r="C13" s="95" t="s">
        <v>1098</v>
      </c>
      <c r="D13" s="96" t="s">
        <v>5926</v>
      </c>
      <c r="E13" s="96" t="s">
        <v>5927</v>
      </c>
      <c r="F13" s="96" t="s">
        <v>5928</v>
      </c>
      <c r="G13" s="96" t="s">
        <v>5929</v>
      </c>
      <c r="H13" s="96" t="s">
        <v>5930</v>
      </c>
      <c r="I13" s="96" t="s">
        <v>5931</v>
      </c>
      <c r="J13" s="96" t="s">
        <v>5932</v>
      </c>
      <c r="K13" s="97" t="s">
        <v>5933</v>
      </c>
      <c r="L13" s="96" t="s">
        <v>43</v>
      </c>
      <c r="M13" s="96" t="s">
        <v>43</v>
      </c>
      <c r="N13" s="99" t="s">
        <v>5934</v>
      </c>
    </row>
    <row r="14" spans="1:14" s="100" customFormat="1" ht="208" customHeight="1">
      <c r="A14" s="95">
        <v>13</v>
      </c>
      <c r="B14" s="95" t="s">
        <v>109</v>
      </c>
      <c r="C14" s="95" t="s">
        <v>225</v>
      </c>
      <c r="D14" s="96" t="s">
        <v>5935</v>
      </c>
      <c r="E14" s="96" t="s">
        <v>5936</v>
      </c>
      <c r="F14" s="96" t="s">
        <v>29</v>
      </c>
      <c r="G14" s="96" t="s">
        <v>5937</v>
      </c>
      <c r="H14" s="96" t="s">
        <v>5938</v>
      </c>
      <c r="I14" s="96" t="s">
        <v>5939</v>
      </c>
      <c r="J14" s="96" t="s">
        <v>231</v>
      </c>
      <c r="K14" s="97" t="s">
        <v>5940</v>
      </c>
      <c r="L14" s="96" t="s">
        <v>2172</v>
      </c>
      <c r="M14" s="96" t="s">
        <v>5941</v>
      </c>
      <c r="N14" s="99" t="s">
        <v>43</v>
      </c>
    </row>
    <row r="15" spans="1:14" s="100" customFormat="1" ht="208" customHeight="1">
      <c r="A15" s="95">
        <v>14</v>
      </c>
      <c r="B15" s="95" t="s">
        <v>4519</v>
      </c>
      <c r="C15" s="95" t="s">
        <v>43</v>
      </c>
      <c r="D15" s="97" t="s">
        <v>5942</v>
      </c>
      <c r="E15" s="96" t="s">
        <v>5943</v>
      </c>
      <c r="F15" s="96" t="s">
        <v>29</v>
      </c>
      <c r="G15" s="97" t="s">
        <v>5944</v>
      </c>
      <c r="H15" s="96" t="s">
        <v>5945</v>
      </c>
      <c r="I15" s="96" t="s">
        <v>43</v>
      </c>
      <c r="J15" s="96" t="s">
        <v>43</v>
      </c>
      <c r="K15" s="97" t="s">
        <v>5946</v>
      </c>
      <c r="L15" s="96" t="s">
        <v>43</v>
      </c>
      <c r="M15" s="96" t="s">
        <v>5947</v>
      </c>
      <c r="N15" s="101" t="s">
        <v>5948</v>
      </c>
    </row>
    <row r="16" spans="1:14" s="100" customFormat="1" ht="208" customHeight="1">
      <c r="A16" s="95">
        <v>15</v>
      </c>
      <c r="B16" s="95" t="s">
        <v>73</v>
      </c>
      <c r="C16" s="95" t="s">
        <v>74</v>
      </c>
      <c r="D16" s="96" t="s">
        <v>75</v>
      </c>
      <c r="E16" s="96" t="s">
        <v>3067</v>
      </c>
      <c r="F16" s="96" t="s">
        <v>29</v>
      </c>
      <c r="G16" s="96" t="s">
        <v>5949</v>
      </c>
      <c r="H16" s="96" t="s">
        <v>5950</v>
      </c>
      <c r="I16" s="96" t="s">
        <v>368</v>
      </c>
      <c r="J16" s="96" t="s">
        <v>43</v>
      </c>
      <c r="K16" s="97" t="s">
        <v>5951</v>
      </c>
      <c r="L16" s="96" t="s">
        <v>5952</v>
      </c>
      <c r="M16" s="96" t="s">
        <v>43</v>
      </c>
      <c r="N16" s="101" t="s">
        <v>5953</v>
      </c>
    </row>
    <row r="17" spans="1:14" s="100" customFormat="1" ht="208" customHeight="1">
      <c r="A17" s="95">
        <v>16</v>
      </c>
      <c r="B17" s="95" t="s">
        <v>109</v>
      </c>
      <c r="C17" s="95" t="s">
        <v>148</v>
      </c>
      <c r="D17" s="96" t="s">
        <v>43</v>
      </c>
      <c r="E17" s="96" t="s">
        <v>5954</v>
      </c>
      <c r="F17" s="96" t="s">
        <v>29</v>
      </c>
      <c r="G17" s="97" t="s">
        <v>5955</v>
      </c>
      <c r="H17" s="96" t="s">
        <v>5956</v>
      </c>
      <c r="I17" s="96" t="s">
        <v>2005</v>
      </c>
      <c r="J17" s="96" t="s">
        <v>154</v>
      </c>
      <c r="K17" s="97" t="s">
        <v>5957</v>
      </c>
      <c r="L17" s="96" t="s">
        <v>5958</v>
      </c>
      <c r="M17" s="96" t="s">
        <v>43</v>
      </c>
      <c r="N17" s="99" t="s">
        <v>43</v>
      </c>
    </row>
    <row r="18" spans="1:14" s="100" customFormat="1" ht="208" customHeight="1">
      <c r="A18" s="95">
        <v>17</v>
      </c>
      <c r="B18" s="95" t="s">
        <v>20</v>
      </c>
      <c r="C18" s="95" t="s">
        <v>217</v>
      </c>
      <c r="D18" s="96" t="s">
        <v>5959</v>
      </c>
      <c r="E18" s="96" t="s">
        <v>43</v>
      </c>
      <c r="F18" s="96" t="s">
        <v>29</v>
      </c>
      <c r="G18" s="96" t="s">
        <v>5960</v>
      </c>
      <c r="H18" s="96" t="s">
        <v>5961</v>
      </c>
      <c r="I18" s="96" t="s">
        <v>5962</v>
      </c>
      <c r="J18" s="96" t="s">
        <v>43</v>
      </c>
      <c r="K18" s="97" t="s">
        <v>5963</v>
      </c>
      <c r="L18" s="96" t="s">
        <v>5964</v>
      </c>
      <c r="M18" s="96" t="s">
        <v>43</v>
      </c>
      <c r="N18" s="99" t="s">
        <v>43</v>
      </c>
    </row>
    <row r="19" spans="1:14" s="100" customFormat="1" ht="208" customHeight="1">
      <c r="A19" s="95">
        <v>18</v>
      </c>
      <c r="B19" s="103" t="s">
        <v>101</v>
      </c>
      <c r="C19" s="95" t="s">
        <v>43</v>
      </c>
      <c r="D19" s="96" t="s">
        <v>5965</v>
      </c>
      <c r="E19" s="96" t="s">
        <v>5966</v>
      </c>
      <c r="F19" s="96" t="s">
        <v>29</v>
      </c>
      <c r="G19" s="96" t="s">
        <v>5967</v>
      </c>
      <c r="H19" s="96" t="s">
        <v>5968</v>
      </c>
      <c r="I19" s="96" t="s">
        <v>5969</v>
      </c>
      <c r="J19" s="96" t="s">
        <v>43</v>
      </c>
      <c r="K19" s="96" t="s">
        <v>5970</v>
      </c>
      <c r="L19" s="96" t="s">
        <v>5971</v>
      </c>
      <c r="M19" s="96" t="s">
        <v>43</v>
      </c>
      <c r="N19" s="99" t="s">
        <v>5972</v>
      </c>
    </row>
    <row r="20" spans="1:14" s="100" customFormat="1" ht="208" customHeight="1">
      <c r="A20" s="95">
        <v>19</v>
      </c>
      <c r="B20" s="103" t="s">
        <v>50</v>
      </c>
      <c r="C20" s="95" t="s">
        <v>51</v>
      </c>
      <c r="D20" s="96" t="s">
        <v>52</v>
      </c>
      <c r="E20" s="96" t="s">
        <v>43</v>
      </c>
      <c r="F20" s="96" t="s">
        <v>29</v>
      </c>
      <c r="G20" s="96" t="s">
        <v>5973</v>
      </c>
      <c r="H20" s="96" t="s">
        <v>5974</v>
      </c>
      <c r="I20" s="96" t="s">
        <v>5975</v>
      </c>
      <c r="J20" s="96" t="s">
        <v>4834</v>
      </c>
      <c r="K20" s="96" t="s">
        <v>43</v>
      </c>
      <c r="L20" s="96" t="s">
        <v>43</v>
      </c>
      <c r="M20" s="96" t="s">
        <v>43</v>
      </c>
      <c r="N20" s="99" t="s">
        <v>43</v>
      </c>
    </row>
    <row r="21" spans="1:14" s="100" customFormat="1" ht="208" customHeight="1">
      <c r="A21" s="95">
        <v>20</v>
      </c>
      <c r="B21" s="95" t="s">
        <v>109</v>
      </c>
      <c r="C21" s="95" t="s">
        <v>5976</v>
      </c>
      <c r="D21" s="96" t="s">
        <v>43</v>
      </c>
      <c r="E21" s="96" t="s">
        <v>43</v>
      </c>
      <c r="F21" s="96" t="s">
        <v>29</v>
      </c>
      <c r="G21" s="96" t="s">
        <v>5977</v>
      </c>
      <c r="H21" s="104" t="s">
        <v>5978</v>
      </c>
      <c r="I21" s="96" t="s">
        <v>5979</v>
      </c>
      <c r="J21" s="96" t="s">
        <v>4373</v>
      </c>
      <c r="K21" s="97" t="s">
        <v>5980</v>
      </c>
      <c r="L21" s="96" t="s">
        <v>5981</v>
      </c>
      <c r="M21" s="96" t="s">
        <v>43</v>
      </c>
      <c r="N21" s="99" t="s">
        <v>43</v>
      </c>
    </row>
    <row r="22" spans="1:14" s="100" customFormat="1" ht="208" customHeight="1">
      <c r="A22" s="95">
        <v>21</v>
      </c>
      <c r="B22" s="103" t="s">
        <v>109</v>
      </c>
      <c r="C22" s="103" t="s">
        <v>4228</v>
      </c>
      <c r="D22" s="96" t="s">
        <v>4229</v>
      </c>
      <c r="E22" s="96" t="s">
        <v>1905</v>
      </c>
      <c r="F22" s="96" t="s">
        <v>29</v>
      </c>
      <c r="G22" s="96" t="s">
        <v>43</v>
      </c>
      <c r="H22" s="96" t="s">
        <v>5982</v>
      </c>
      <c r="I22" s="96" t="s">
        <v>5983</v>
      </c>
      <c r="J22" s="96" t="s">
        <v>43</v>
      </c>
      <c r="K22" s="97" t="s">
        <v>5984</v>
      </c>
      <c r="L22" s="96" t="s">
        <v>5985</v>
      </c>
      <c r="M22" s="96" t="s">
        <v>43</v>
      </c>
      <c r="N22" s="99" t="s">
        <v>43</v>
      </c>
    </row>
    <row r="23" spans="1:14" s="100" customFormat="1" ht="208" customHeight="1">
      <c r="A23" s="95">
        <v>22</v>
      </c>
      <c r="B23" s="95" t="s">
        <v>5848</v>
      </c>
      <c r="C23" s="95" t="s">
        <v>43</v>
      </c>
      <c r="D23" s="96" t="s">
        <v>36</v>
      </c>
      <c r="E23" s="96" t="s">
        <v>82</v>
      </c>
      <c r="F23" s="96" t="s">
        <v>29</v>
      </c>
      <c r="G23" s="96" t="s">
        <v>43</v>
      </c>
      <c r="H23" s="96" t="s">
        <v>5968</v>
      </c>
      <c r="I23" s="96" t="s">
        <v>5986</v>
      </c>
      <c r="J23" s="96" t="s">
        <v>63</v>
      </c>
      <c r="K23" s="97" t="s">
        <v>5987</v>
      </c>
      <c r="L23" s="96" t="s">
        <v>43</v>
      </c>
      <c r="M23" s="96" t="s">
        <v>43</v>
      </c>
      <c r="N23" s="99" t="s">
        <v>5988</v>
      </c>
    </row>
    <row r="24" spans="1:14" s="100" customFormat="1" ht="208" customHeight="1">
      <c r="A24" s="95">
        <v>23</v>
      </c>
      <c r="B24" s="103" t="s">
        <v>156</v>
      </c>
      <c r="C24" s="103" t="s">
        <v>177</v>
      </c>
      <c r="D24" s="96" t="s">
        <v>5989</v>
      </c>
      <c r="E24" s="96" t="s">
        <v>43</v>
      </c>
      <c r="F24" s="96" t="s">
        <v>29</v>
      </c>
      <c r="G24" s="96" t="s">
        <v>43</v>
      </c>
      <c r="H24" s="96" t="s">
        <v>5990</v>
      </c>
      <c r="I24" s="96" t="s">
        <v>5991</v>
      </c>
      <c r="J24" s="96" t="s">
        <v>2617</v>
      </c>
      <c r="K24" s="97" t="s">
        <v>5992</v>
      </c>
      <c r="L24" s="96" t="s">
        <v>43</v>
      </c>
      <c r="M24" s="96" t="s">
        <v>43</v>
      </c>
      <c r="N24" s="99" t="s">
        <v>43</v>
      </c>
    </row>
    <row r="25" spans="1:14" s="100" customFormat="1" ht="208" customHeight="1">
      <c r="A25" s="95">
        <v>24</v>
      </c>
      <c r="B25" s="103" t="s">
        <v>156</v>
      </c>
      <c r="C25" s="103" t="s">
        <v>183</v>
      </c>
      <c r="D25" s="96" t="s">
        <v>5993</v>
      </c>
      <c r="E25" s="96" t="s">
        <v>4213</v>
      </c>
      <c r="F25" s="96" t="s">
        <v>29</v>
      </c>
      <c r="G25" s="96" t="s">
        <v>5994</v>
      </c>
      <c r="H25" s="96" t="s">
        <v>5990</v>
      </c>
      <c r="I25" s="96" t="s">
        <v>5995</v>
      </c>
      <c r="J25" s="96" t="s">
        <v>161</v>
      </c>
      <c r="K25" s="97" t="s">
        <v>5996</v>
      </c>
      <c r="L25" s="96" t="s">
        <v>5997</v>
      </c>
      <c r="M25" s="96" t="s">
        <v>43</v>
      </c>
      <c r="N25" s="99" t="s">
        <v>5998</v>
      </c>
    </row>
    <row r="26" spans="1:14" s="100" customFormat="1" ht="208" customHeight="1">
      <c r="A26" s="95">
        <v>25</v>
      </c>
      <c r="B26" s="103" t="s">
        <v>156</v>
      </c>
      <c r="C26" s="95" t="s">
        <v>180</v>
      </c>
      <c r="D26" s="96" t="s">
        <v>36</v>
      </c>
      <c r="E26" s="96" t="s">
        <v>16</v>
      </c>
      <c r="F26" s="96" t="s">
        <v>43</v>
      </c>
      <c r="G26" s="96" t="s">
        <v>43</v>
      </c>
      <c r="H26" s="96" t="s">
        <v>5990</v>
      </c>
      <c r="I26" s="96" t="s">
        <v>5983</v>
      </c>
      <c r="J26" s="96" t="s">
        <v>56</v>
      </c>
      <c r="K26" s="97" t="s">
        <v>5999</v>
      </c>
      <c r="L26" s="96" t="s">
        <v>43</v>
      </c>
      <c r="M26" s="96" t="s">
        <v>43</v>
      </c>
      <c r="N26" s="99" t="s">
        <v>43</v>
      </c>
    </row>
    <row r="27" spans="1:14" s="100" customFormat="1" ht="208" customHeight="1">
      <c r="A27" s="95">
        <v>26</v>
      </c>
      <c r="B27" s="103" t="s">
        <v>156</v>
      </c>
      <c r="C27" s="95" t="s">
        <v>6000</v>
      </c>
      <c r="D27" s="96" t="s">
        <v>36</v>
      </c>
      <c r="E27" s="96" t="s">
        <v>60</v>
      </c>
      <c r="F27" s="96" t="s">
        <v>29</v>
      </c>
      <c r="G27" s="96" t="s">
        <v>6001</v>
      </c>
      <c r="H27" s="96" t="s">
        <v>5990</v>
      </c>
      <c r="I27" s="98" t="s">
        <v>6002</v>
      </c>
      <c r="J27" s="96" t="s">
        <v>174</v>
      </c>
      <c r="K27" s="97" t="s">
        <v>6003</v>
      </c>
      <c r="L27" s="96" t="s">
        <v>5997</v>
      </c>
      <c r="M27" s="96" t="s">
        <v>43</v>
      </c>
      <c r="N27" s="99" t="s">
        <v>6004</v>
      </c>
    </row>
    <row r="28" spans="1:14" s="100" customFormat="1" ht="208" customHeight="1">
      <c r="A28" s="95">
        <v>27</v>
      </c>
      <c r="B28" s="103" t="s">
        <v>109</v>
      </c>
      <c r="C28" s="103" t="s">
        <v>6005</v>
      </c>
      <c r="D28" s="96" t="s">
        <v>36</v>
      </c>
      <c r="E28" s="96" t="s">
        <v>60</v>
      </c>
      <c r="F28" s="96" t="s">
        <v>29</v>
      </c>
      <c r="G28" s="96" t="s">
        <v>43</v>
      </c>
      <c r="H28" s="96" t="s">
        <v>6006</v>
      </c>
      <c r="I28" s="96" t="s">
        <v>6007</v>
      </c>
      <c r="J28" s="96" t="s">
        <v>43</v>
      </c>
      <c r="K28" s="97" t="s">
        <v>6008</v>
      </c>
      <c r="L28" s="96" t="s">
        <v>6009</v>
      </c>
      <c r="M28" s="97" t="s">
        <v>6010</v>
      </c>
      <c r="N28" s="99" t="s">
        <v>43</v>
      </c>
    </row>
    <row r="29" spans="1:14" s="100" customFormat="1" ht="208" customHeight="1">
      <c r="A29" s="95">
        <v>28</v>
      </c>
      <c r="B29" s="103" t="s">
        <v>109</v>
      </c>
      <c r="C29" s="103" t="s">
        <v>4337</v>
      </c>
      <c r="D29" s="96" t="s">
        <v>52</v>
      </c>
      <c r="E29" s="96" t="s">
        <v>43</v>
      </c>
      <c r="F29" s="96" t="s">
        <v>29</v>
      </c>
      <c r="G29" s="96" t="s">
        <v>6011</v>
      </c>
      <c r="H29" s="96" t="s">
        <v>6012</v>
      </c>
      <c r="I29" s="96" t="s">
        <v>6013</v>
      </c>
      <c r="J29" s="96" t="s">
        <v>43</v>
      </c>
      <c r="K29" s="97" t="s">
        <v>6014</v>
      </c>
      <c r="L29" s="96" t="s">
        <v>6015</v>
      </c>
      <c r="M29" s="96" t="s">
        <v>43</v>
      </c>
      <c r="N29" s="99" t="s">
        <v>6016</v>
      </c>
    </row>
    <row r="30" spans="1:14" s="100" customFormat="1" ht="208" customHeight="1">
      <c r="A30" s="95">
        <v>29</v>
      </c>
      <c r="B30" s="95" t="s">
        <v>439</v>
      </c>
      <c r="C30" s="95" t="s">
        <v>74</v>
      </c>
      <c r="D30" s="96" t="s">
        <v>572</v>
      </c>
      <c r="E30" s="96" t="s">
        <v>6017</v>
      </c>
      <c r="F30" s="96" t="s">
        <v>29</v>
      </c>
      <c r="G30" s="96" t="s">
        <v>43</v>
      </c>
      <c r="H30" s="96" t="s">
        <v>6018</v>
      </c>
      <c r="I30" s="96" t="s">
        <v>6019</v>
      </c>
      <c r="J30" s="96" t="s">
        <v>174</v>
      </c>
      <c r="K30" s="97" t="s">
        <v>6020</v>
      </c>
      <c r="L30" s="96" t="s">
        <v>6021</v>
      </c>
      <c r="M30" s="96" t="s">
        <v>6022</v>
      </c>
      <c r="N30" s="99" t="s">
        <v>6023</v>
      </c>
    </row>
    <row r="31" spans="1:14" s="100" customFormat="1" ht="208" customHeight="1">
      <c r="A31" s="95">
        <v>30</v>
      </c>
      <c r="B31" s="95" t="s">
        <v>439</v>
      </c>
      <c r="C31" s="95" t="s">
        <v>35</v>
      </c>
      <c r="D31" s="96" t="s">
        <v>6024</v>
      </c>
      <c r="E31" s="96" t="s">
        <v>60</v>
      </c>
      <c r="F31" s="96" t="s">
        <v>29</v>
      </c>
      <c r="G31" s="96" t="s">
        <v>43</v>
      </c>
      <c r="H31" s="96" t="s">
        <v>6025</v>
      </c>
      <c r="I31" s="96" t="s">
        <v>6026</v>
      </c>
      <c r="J31" s="96" t="s">
        <v>43</v>
      </c>
      <c r="K31" s="96" t="s">
        <v>6027</v>
      </c>
      <c r="L31" s="96" t="s">
        <v>6028</v>
      </c>
      <c r="M31" s="96" t="s">
        <v>6029</v>
      </c>
      <c r="N31" s="99" t="s">
        <v>6030</v>
      </c>
    </row>
    <row r="32" spans="1:14" s="100" customFormat="1" ht="208" customHeight="1">
      <c r="A32" s="95">
        <v>31</v>
      </c>
      <c r="B32" s="103" t="s">
        <v>156</v>
      </c>
      <c r="C32" s="103" t="s">
        <v>213</v>
      </c>
      <c r="D32" s="96" t="s">
        <v>36</v>
      </c>
      <c r="E32" s="96" t="s">
        <v>60</v>
      </c>
      <c r="F32" s="96" t="s">
        <v>29</v>
      </c>
      <c r="G32" s="96" t="s">
        <v>43</v>
      </c>
      <c r="H32" s="96" t="s">
        <v>5990</v>
      </c>
      <c r="I32" s="96" t="s">
        <v>6031</v>
      </c>
      <c r="J32" s="96" t="s">
        <v>209</v>
      </c>
      <c r="K32" s="97" t="s">
        <v>6032</v>
      </c>
      <c r="L32" s="96" t="s">
        <v>6033</v>
      </c>
      <c r="M32" s="96" t="s">
        <v>43</v>
      </c>
      <c r="N32" s="99" t="s">
        <v>6034</v>
      </c>
    </row>
    <row r="33" spans="1:14" s="100" customFormat="1" ht="208" customHeight="1">
      <c r="A33" s="95">
        <v>32</v>
      </c>
      <c r="B33" s="103" t="s">
        <v>156</v>
      </c>
      <c r="C33" s="95" t="s">
        <v>59</v>
      </c>
      <c r="D33" s="96" t="s">
        <v>36</v>
      </c>
      <c r="E33" s="96" t="s">
        <v>60</v>
      </c>
      <c r="F33" s="96" t="s">
        <v>29</v>
      </c>
      <c r="G33" s="96" t="s">
        <v>43</v>
      </c>
      <c r="H33" s="96" t="s">
        <v>5990</v>
      </c>
      <c r="I33" s="96" t="s">
        <v>43</v>
      </c>
      <c r="J33" s="96" t="s">
        <v>2591</v>
      </c>
      <c r="K33" s="97" t="s">
        <v>6035</v>
      </c>
      <c r="L33" s="96" t="s">
        <v>43</v>
      </c>
      <c r="M33" s="96" t="s">
        <v>43</v>
      </c>
      <c r="N33" s="99" t="s">
        <v>43</v>
      </c>
    </row>
    <row r="34" spans="1:14" s="100" customFormat="1" ht="208" customHeight="1">
      <c r="A34" s="95">
        <v>33</v>
      </c>
      <c r="B34" s="103" t="s">
        <v>156</v>
      </c>
      <c r="C34" s="95" t="s">
        <v>207</v>
      </c>
      <c r="D34" s="96" t="s">
        <v>36</v>
      </c>
      <c r="E34" s="96" t="s">
        <v>60</v>
      </c>
      <c r="F34" s="96" t="s">
        <v>29</v>
      </c>
      <c r="G34" s="96" t="s">
        <v>43</v>
      </c>
      <c r="H34" s="96" t="s">
        <v>5990</v>
      </c>
      <c r="I34" s="96" t="s">
        <v>43</v>
      </c>
      <c r="J34" s="96" t="s">
        <v>209</v>
      </c>
      <c r="K34" s="97" t="s">
        <v>6036</v>
      </c>
      <c r="L34" s="96" t="s">
        <v>43</v>
      </c>
      <c r="M34" s="96" t="s">
        <v>43</v>
      </c>
      <c r="N34" s="99" t="s">
        <v>6034</v>
      </c>
    </row>
    <row r="35" spans="1:14" s="100" customFormat="1" ht="208" customHeight="1">
      <c r="A35" s="95">
        <v>34</v>
      </c>
      <c r="B35" s="103" t="s">
        <v>156</v>
      </c>
      <c r="C35" s="95" t="s">
        <v>191</v>
      </c>
      <c r="D35" s="96" t="s">
        <v>36</v>
      </c>
      <c r="E35" s="96" t="s">
        <v>60</v>
      </c>
      <c r="F35" s="96" t="s">
        <v>29</v>
      </c>
      <c r="G35" s="96" t="s">
        <v>43</v>
      </c>
      <c r="H35" s="96" t="s">
        <v>5990</v>
      </c>
      <c r="I35" s="96" t="s">
        <v>43</v>
      </c>
      <c r="J35" s="96" t="s">
        <v>174</v>
      </c>
      <c r="K35" s="97" t="s">
        <v>6037</v>
      </c>
      <c r="L35" s="96" t="s">
        <v>43</v>
      </c>
      <c r="M35" s="96" t="s">
        <v>43</v>
      </c>
      <c r="N35" s="99" t="s">
        <v>43</v>
      </c>
    </row>
    <row r="36" spans="1:14" s="100" customFormat="1" ht="208" customHeight="1">
      <c r="A36" s="95">
        <v>35</v>
      </c>
      <c r="B36" s="103" t="s">
        <v>156</v>
      </c>
      <c r="C36" s="95" t="s">
        <v>201</v>
      </c>
      <c r="D36" s="96" t="s">
        <v>36</v>
      </c>
      <c r="E36" s="96" t="s">
        <v>202</v>
      </c>
      <c r="F36" s="96" t="s">
        <v>29</v>
      </c>
      <c r="G36" s="96" t="s">
        <v>6038</v>
      </c>
      <c r="H36" s="96" t="s">
        <v>5990</v>
      </c>
      <c r="I36" s="96" t="s">
        <v>6039</v>
      </c>
      <c r="J36" s="96" t="s">
        <v>204</v>
      </c>
      <c r="K36" s="97" t="s">
        <v>6040</v>
      </c>
      <c r="L36" s="96" t="s">
        <v>43</v>
      </c>
      <c r="M36" s="96" t="s">
        <v>43</v>
      </c>
      <c r="N36" s="99" t="s">
        <v>6041</v>
      </c>
    </row>
    <row r="37" spans="1:14" s="100" customFormat="1" ht="208" customHeight="1">
      <c r="A37" s="95">
        <v>36</v>
      </c>
      <c r="B37" s="103" t="s">
        <v>50</v>
      </c>
      <c r="C37" s="95" t="s">
        <v>351</v>
      </c>
      <c r="D37" s="96" t="s">
        <v>6042</v>
      </c>
      <c r="E37" s="96" t="s">
        <v>749</v>
      </c>
      <c r="F37" s="96" t="s">
        <v>29</v>
      </c>
      <c r="G37" s="97" t="s">
        <v>6043</v>
      </c>
      <c r="H37" s="96" t="s">
        <v>6044</v>
      </c>
      <c r="I37" s="96" t="s">
        <v>6045</v>
      </c>
      <c r="J37" s="96" t="s">
        <v>43</v>
      </c>
      <c r="K37" s="97" t="s">
        <v>6046</v>
      </c>
      <c r="L37" s="97" t="s">
        <v>6047</v>
      </c>
      <c r="M37" s="96" t="s">
        <v>43</v>
      </c>
      <c r="N37" s="99" t="s">
        <v>43</v>
      </c>
    </row>
    <row r="38" spans="1:14" s="100" customFormat="1" ht="208" customHeight="1">
      <c r="A38" s="95">
        <v>37</v>
      </c>
      <c r="B38" s="103" t="s">
        <v>50</v>
      </c>
      <c r="C38" s="95" t="s">
        <v>4470</v>
      </c>
      <c r="D38" s="96" t="s">
        <v>4471</v>
      </c>
      <c r="E38" s="96" t="s">
        <v>6048</v>
      </c>
      <c r="F38" s="96" t="s">
        <v>29</v>
      </c>
      <c r="G38" s="96" t="s">
        <v>43</v>
      </c>
      <c r="H38" s="104" t="s">
        <v>6049</v>
      </c>
      <c r="I38" s="96" t="s">
        <v>5983</v>
      </c>
      <c r="J38" s="96" t="s">
        <v>2077</v>
      </c>
      <c r="K38" s="97" t="s">
        <v>6050</v>
      </c>
      <c r="L38" s="96" t="s">
        <v>6051</v>
      </c>
      <c r="M38" s="96" t="s">
        <v>6052</v>
      </c>
      <c r="N38" s="99" t="s">
        <v>43</v>
      </c>
    </row>
    <row r="39" spans="1:14" s="100" customFormat="1" ht="208" customHeight="1">
      <c r="A39" s="95">
        <v>38</v>
      </c>
      <c r="B39" s="103" t="s">
        <v>156</v>
      </c>
      <c r="C39" s="95" t="s">
        <v>116</v>
      </c>
      <c r="D39" s="96" t="s">
        <v>6053</v>
      </c>
      <c r="E39" s="96" t="s">
        <v>6054</v>
      </c>
      <c r="F39" s="96" t="s">
        <v>29</v>
      </c>
      <c r="G39" s="96" t="s">
        <v>43</v>
      </c>
      <c r="H39" s="96" t="s">
        <v>5990</v>
      </c>
      <c r="I39" s="96" t="s">
        <v>6031</v>
      </c>
      <c r="J39" s="96" t="s">
        <v>198</v>
      </c>
      <c r="K39" s="97" t="s">
        <v>6055</v>
      </c>
      <c r="L39" s="96" t="s">
        <v>43</v>
      </c>
      <c r="M39" s="96" t="s">
        <v>43</v>
      </c>
      <c r="N39" s="99" t="s">
        <v>43</v>
      </c>
    </row>
    <row r="40" spans="1:14" s="100" customFormat="1" ht="208" customHeight="1">
      <c r="A40" s="95">
        <v>39</v>
      </c>
      <c r="B40" s="103" t="s">
        <v>156</v>
      </c>
      <c r="C40" s="95" t="s">
        <v>234</v>
      </c>
      <c r="D40" s="96" t="s">
        <v>6056</v>
      </c>
      <c r="E40" s="96" t="s">
        <v>16</v>
      </c>
      <c r="F40" s="96" t="s">
        <v>29</v>
      </c>
      <c r="G40" s="96" t="s">
        <v>43</v>
      </c>
      <c r="H40" s="96" t="s">
        <v>6057</v>
      </c>
      <c r="I40" s="96" t="s">
        <v>43</v>
      </c>
      <c r="J40" s="96" t="s">
        <v>43</v>
      </c>
      <c r="K40" s="96" t="s">
        <v>43</v>
      </c>
      <c r="L40" s="96" t="s">
        <v>43</v>
      </c>
      <c r="M40" s="96" t="s">
        <v>43</v>
      </c>
      <c r="N40" s="99" t="s">
        <v>43</v>
      </c>
    </row>
    <row r="41" spans="1:14" s="100" customFormat="1" ht="208" customHeight="1">
      <c r="A41" s="95">
        <v>40</v>
      </c>
      <c r="B41" s="103" t="s">
        <v>156</v>
      </c>
      <c r="C41" s="95" t="s">
        <v>4310</v>
      </c>
      <c r="D41" s="96" t="s">
        <v>6058</v>
      </c>
      <c r="E41" s="96" t="s">
        <v>43</v>
      </c>
      <c r="F41" s="96" t="s">
        <v>29</v>
      </c>
      <c r="G41" s="97" t="s">
        <v>6059</v>
      </c>
      <c r="H41" s="96" t="s">
        <v>6060</v>
      </c>
      <c r="I41" s="96" t="s">
        <v>6061</v>
      </c>
      <c r="J41" s="96" t="s">
        <v>43</v>
      </c>
      <c r="K41" s="97" t="s">
        <v>6062</v>
      </c>
      <c r="L41" s="96" t="s">
        <v>43</v>
      </c>
      <c r="M41" s="96" t="s">
        <v>43</v>
      </c>
      <c r="N41" s="99" t="s">
        <v>43</v>
      </c>
    </row>
    <row r="42" spans="1:14" s="100" customFormat="1" ht="208" customHeight="1">
      <c r="A42" s="95">
        <v>41</v>
      </c>
      <c r="B42" s="95" t="s">
        <v>109</v>
      </c>
      <c r="C42" s="95" t="s">
        <v>252</v>
      </c>
      <c r="D42" s="96" t="s">
        <v>253</v>
      </c>
      <c r="E42" s="96" t="s">
        <v>254</v>
      </c>
      <c r="F42" s="96" t="s">
        <v>29</v>
      </c>
      <c r="G42" s="96" t="s">
        <v>6063</v>
      </c>
      <c r="H42" s="104" t="s">
        <v>6064</v>
      </c>
      <c r="I42" s="98" t="s">
        <v>6013</v>
      </c>
      <c r="J42" s="96" t="s">
        <v>512</v>
      </c>
      <c r="K42" s="96" t="s">
        <v>6065</v>
      </c>
      <c r="L42" s="96" t="s">
        <v>6066</v>
      </c>
      <c r="M42" s="96" t="s">
        <v>43</v>
      </c>
      <c r="N42" s="99" t="s">
        <v>43</v>
      </c>
    </row>
    <row r="43" spans="1:14" s="100" customFormat="1" ht="208" customHeight="1">
      <c r="A43" s="95">
        <v>42</v>
      </c>
      <c r="B43" s="95" t="s">
        <v>109</v>
      </c>
      <c r="C43" s="95" t="s">
        <v>2265</v>
      </c>
      <c r="D43" s="96" t="s">
        <v>4136</v>
      </c>
      <c r="E43" s="96" t="s">
        <v>4137</v>
      </c>
      <c r="F43" s="96" t="s">
        <v>29</v>
      </c>
      <c r="G43" s="97" t="s">
        <v>6067</v>
      </c>
      <c r="H43" s="96" t="s">
        <v>6068</v>
      </c>
      <c r="I43" s="96" t="s">
        <v>6069</v>
      </c>
      <c r="J43" s="96" t="s">
        <v>512</v>
      </c>
      <c r="K43" s="96" t="s">
        <v>43</v>
      </c>
      <c r="L43" s="96" t="s">
        <v>6070</v>
      </c>
      <c r="M43" s="96" t="s">
        <v>43</v>
      </c>
      <c r="N43" s="99" t="s">
        <v>43</v>
      </c>
    </row>
    <row r="44" spans="1:14" s="100" customFormat="1" ht="208" customHeight="1">
      <c r="A44" s="103">
        <v>43</v>
      </c>
      <c r="B44" s="103" t="s">
        <v>156</v>
      </c>
      <c r="C44" s="103" t="s">
        <v>4219</v>
      </c>
      <c r="D44" s="96" t="s">
        <v>43</v>
      </c>
      <c r="E44" s="96" t="s">
        <v>43</v>
      </c>
      <c r="F44" s="96" t="s">
        <v>29</v>
      </c>
      <c r="G44" s="96" t="s">
        <v>6071</v>
      </c>
      <c r="H44" s="96" t="s">
        <v>5990</v>
      </c>
      <c r="I44" s="98">
        <v>45444</v>
      </c>
      <c r="J44" s="96" t="s">
        <v>43</v>
      </c>
      <c r="K44" s="96" t="s">
        <v>6072</v>
      </c>
      <c r="L44" s="96" t="s">
        <v>43</v>
      </c>
      <c r="M44" s="96" t="s">
        <v>43</v>
      </c>
      <c r="N44" s="99" t="s">
        <v>43</v>
      </c>
    </row>
    <row r="45" spans="1:14" s="100" customFormat="1" ht="208" customHeight="1">
      <c r="A45" s="103">
        <v>44</v>
      </c>
      <c r="B45" s="103" t="s">
        <v>20</v>
      </c>
      <c r="C45" s="103" t="s">
        <v>116</v>
      </c>
      <c r="D45" s="96" t="s">
        <v>43</v>
      </c>
      <c r="E45" s="96" t="s">
        <v>43</v>
      </c>
      <c r="F45" s="96" t="s">
        <v>29</v>
      </c>
      <c r="G45" s="96" t="s">
        <v>6071</v>
      </c>
      <c r="H45" s="96" t="s">
        <v>6073</v>
      </c>
      <c r="I45" s="96" t="s">
        <v>5995</v>
      </c>
      <c r="J45" s="96" t="s">
        <v>43</v>
      </c>
      <c r="K45" s="97" t="s">
        <v>6074</v>
      </c>
      <c r="L45" s="96" t="s">
        <v>43</v>
      </c>
      <c r="M45" s="96" t="s">
        <v>43</v>
      </c>
      <c r="N45" s="99" t="s">
        <v>43</v>
      </c>
    </row>
    <row r="46" spans="1:14" s="100" customFormat="1" ht="208" customHeight="1">
      <c r="A46" s="103">
        <v>45</v>
      </c>
      <c r="B46" s="103" t="s">
        <v>13</v>
      </c>
      <c r="C46" s="103" t="s">
        <v>6075</v>
      </c>
      <c r="D46" s="96" t="s">
        <v>43</v>
      </c>
      <c r="E46" s="96" t="s">
        <v>43</v>
      </c>
      <c r="F46" s="96" t="s">
        <v>29</v>
      </c>
      <c r="G46" s="96" t="s">
        <v>6071</v>
      </c>
      <c r="H46" s="96" t="s">
        <v>43</v>
      </c>
      <c r="I46" s="96" t="s">
        <v>43</v>
      </c>
      <c r="J46" s="96" t="s">
        <v>43</v>
      </c>
      <c r="K46" s="96" t="s">
        <v>43</v>
      </c>
      <c r="L46" s="96" t="s">
        <v>43</v>
      </c>
      <c r="M46" s="96" t="s">
        <v>43</v>
      </c>
      <c r="N46" s="99" t="s">
        <v>43</v>
      </c>
    </row>
    <row r="47" spans="1:14" s="100" customFormat="1" ht="208" customHeight="1">
      <c r="A47" s="103">
        <v>46</v>
      </c>
      <c r="B47" s="103" t="s">
        <v>156</v>
      </c>
      <c r="C47" s="103" t="s">
        <v>6076</v>
      </c>
      <c r="D47" s="96" t="s">
        <v>43</v>
      </c>
      <c r="E47" s="96" t="s">
        <v>43</v>
      </c>
      <c r="F47" s="96" t="s">
        <v>29</v>
      </c>
      <c r="G47" s="97" t="s">
        <v>6077</v>
      </c>
      <c r="H47" s="96" t="s">
        <v>6078</v>
      </c>
      <c r="I47" s="96" t="s">
        <v>43</v>
      </c>
      <c r="J47" s="96" t="s">
        <v>6079</v>
      </c>
      <c r="K47" s="97" t="s">
        <v>6080</v>
      </c>
      <c r="L47" s="96" t="s">
        <v>6081</v>
      </c>
      <c r="M47" s="96" t="s">
        <v>43</v>
      </c>
      <c r="N47" s="99" t="s">
        <v>43</v>
      </c>
    </row>
    <row r="48" spans="1:14" s="100" customFormat="1" ht="208" customHeight="1">
      <c r="A48" s="103">
        <v>47</v>
      </c>
      <c r="B48" s="103" t="s">
        <v>73</v>
      </c>
      <c r="C48" s="103" t="s">
        <v>261</v>
      </c>
      <c r="D48" s="96" t="s">
        <v>43</v>
      </c>
      <c r="E48" s="96" t="s">
        <v>43</v>
      </c>
      <c r="F48" s="96" t="s">
        <v>88</v>
      </c>
      <c r="G48" s="96" t="s">
        <v>6082</v>
      </c>
      <c r="H48" s="96" t="s">
        <v>6083</v>
      </c>
      <c r="I48" s="96" t="s">
        <v>6084</v>
      </c>
      <c r="J48" s="96" t="s">
        <v>43</v>
      </c>
      <c r="K48" s="97" t="s">
        <v>6085</v>
      </c>
      <c r="L48" s="96" t="s">
        <v>43</v>
      </c>
      <c r="M48" s="96" t="s">
        <v>43</v>
      </c>
      <c r="N48" s="99" t="s">
        <v>43</v>
      </c>
    </row>
    <row r="49" spans="1:14" s="100" customFormat="1" ht="208" customHeight="1">
      <c r="A49" s="103">
        <v>48</v>
      </c>
      <c r="B49" s="103" t="s">
        <v>65</v>
      </c>
      <c r="C49" s="103" t="s">
        <v>35</v>
      </c>
      <c r="D49" s="96" t="s">
        <v>43</v>
      </c>
      <c r="E49" s="97" t="s">
        <v>6086</v>
      </c>
      <c r="F49" s="96" t="s">
        <v>29</v>
      </c>
      <c r="G49" s="96" t="s">
        <v>6087</v>
      </c>
      <c r="H49" s="96" t="s">
        <v>6088</v>
      </c>
      <c r="I49" s="96" t="s">
        <v>6089</v>
      </c>
      <c r="J49" s="96" t="s">
        <v>6090</v>
      </c>
      <c r="K49" s="97" t="s">
        <v>6091</v>
      </c>
      <c r="L49" s="96" t="s">
        <v>5843</v>
      </c>
      <c r="M49" s="96" t="s">
        <v>6092</v>
      </c>
      <c r="N49" s="99" t="s">
        <v>43</v>
      </c>
    </row>
    <row r="50" spans="1:14" s="100" customFormat="1" ht="208" customHeight="1">
      <c r="A50" s="103">
        <v>49</v>
      </c>
      <c r="B50" s="103" t="s">
        <v>2190</v>
      </c>
      <c r="C50" s="103" t="s">
        <v>6093</v>
      </c>
      <c r="D50" s="96" t="s">
        <v>6094</v>
      </c>
      <c r="E50" s="96" t="s">
        <v>6095</v>
      </c>
      <c r="F50" s="96" t="s">
        <v>29</v>
      </c>
      <c r="G50" s="96" t="s">
        <v>6096</v>
      </c>
      <c r="H50" s="96" t="s">
        <v>6097</v>
      </c>
      <c r="I50" s="96" t="s">
        <v>6098</v>
      </c>
      <c r="J50" s="96" t="s">
        <v>43</v>
      </c>
      <c r="K50" s="97" t="s">
        <v>6099</v>
      </c>
      <c r="L50" s="96" t="s">
        <v>6100</v>
      </c>
      <c r="M50" s="96" t="s">
        <v>6101</v>
      </c>
      <c r="N50" s="99" t="s">
        <v>43</v>
      </c>
    </row>
    <row r="51" spans="1:14" s="100" customFormat="1" ht="208" customHeight="1">
      <c r="A51" s="103">
        <v>50</v>
      </c>
      <c r="B51" s="103" t="s">
        <v>6102</v>
      </c>
      <c r="C51" s="103" t="s">
        <v>6103</v>
      </c>
      <c r="D51" s="96" t="s">
        <v>43</v>
      </c>
      <c r="E51" s="96" t="s">
        <v>43</v>
      </c>
      <c r="F51" s="96" t="s">
        <v>5508</v>
      </c>
      <c r="G51" s="97" t="s">
        <v>6104</v>
      </c>
      <c r="H51" s="96" t="s">
        <v>6105</v>
      </c>
      <c r="I51" s="96" t="s">
        <v>6106</v>
      </c>
      <c r="J51" s="96" t="s">
        <v>6107</v>
      </c>
      <c r="K51" s="97" t="s">
        <v>6108</v>
      </c>
      <c r="L51" s="97" t="s">
        <v>6109</v>
      </c>
      <c r="M51" s="96" t="s">
        <v>43</v>
      </c>
      <c r="N51" s="99" t="s">
        <v>43</v>
      </c>
    </row>
    <row r="52" spans="1:14" s="100" customFormat="1" ht="208" customHeight="1">
      <c r="A52" s="103">
        <v>51</v>
      </c>
      <c r="B52" s="103" t="s">
        <v>109</v>
      </c>
      <c r="C52" s="103" t="s">
        <v>345</v>
      </c>
      <c r="D52" s="96" t="s">
        <v>6110</v>
      </c>
      <c r="E52" s="96" t="s">
        <v>6111</v>
      </c>
      <c r="F52" s="96" t="s">
        <v>29</v>
      </c>
      <c r="G52" s="96" t="s">
        <v>6071</v>
      </c>
      <c r="H52" s="96" t="s">
        <v>6112</v>
      </c>
      <c r="I52" s="96" t="s">
        <v>6031</v>
      </c>
      <c r="J52" s="96" t="s">
        <v>43</v>
      </c>
      <c r="K52" s="97" t="s">
        <v>6113</v>
      </c>
      <c r="L52" s="97" t="s">
        <v>6114</v>
      </c>
      <c r="M52" s="96" t="s">
        <v>43</v>
      </c>
      <c r="N52" s="99" t="s">
        <v>43</v>
      </c>
    </row>
    <row r="53" spans="1:14" s="100" customFormat="1" ht="208" customHeight="1">
      <c r="A53" s="103">
        <v>52</v>
      </c>
      <c r="B53" s="103" t="s">
        <v>156</v>
      </c>
      <c r="C53" s="103" t="s">
        <v>211</v>
      </c>
      <c r="D53" s="96" t="s">
        <v>43</v>
      </c>
      <c r="E53" s="96" t="s">
        <v>43</v>
      </c>
      <c r="F53" s="96" t="s">
        <v>29</v>
      </c>
      <c r="G53" s="96" t="s">
        <v>6071</v>
      </c>
      <c r="H53" s="96" t="s">
        <v>5990</v>
      </c>
      <c r="I53" s="96" t="s">
        <v>6115</v>
      </c>
      <c r="J53" s="96" t="s">
        <v>2822</v>
      </c>
      <c r="K53" s="97" t="s">
        <v>6116</v>
      </c>
      <c r="L53" s="96" t="s">
        <v>43</v>
      </c>
      <c r="M53" s="96" t="s">
        <v>43</v>
      </c>
      <c r="N53" s="99" t="s">
        <v>43</v>
      </c>
    </row>
    <row r="54" spans="1:14" s="100" customFormat="1" ht="208" customHeight="1">
      <c r="A54" s="103">
        <v>53</v>
      </c>
      <c r="B54" s="103" t="s">
        <v>50</v>
      </c>
      <c r="C54" s="103" t="s">
        <v>6117</v>
      </c>
      <c r="D54" s="96" t="s">
        <v>43</v>
      </c>
      <c r="E54" s="96" t="s">
        <v>6118</v>
      </c>
      <c r="F54" s="96" t="s">
        <v>29</v>
      </c>
      <c r="G54" s="96" t="s">
        <v>138</v>
      </c>
      <c r="H54" s="96" t="s">
        <v>6119</v>
      </c>
      <c r="I54" s="96" t="s">
        <v>43</v>
      </c>
      <c r="J54" s="96" t="s">
        <v>43</v>
      </c>
      <c r="K54" s="97" t="s">
        <v>6120</v>
      </c>
      <c r="L54" s="96" t="s">
        <v>43</v>
      </c>
      <c r="M54" s="96" t="s">
        <v>6121</v>
      </c>
      <c r="N54" s="99" t="s">
        <v>43</v>
      </c>
    </row>
    <row r="55" spans="1:14" s="100" customFormat="1" ht="208" customHeight="1">
      <c r="A55" s="103">
        <v>54</v>
      </c>
      <c r="B55" s="103" t="s">
        <v>109</v>
      </c>
      <c r="C55" s="103" t="s">
        <v>6122</v>
      </c>
      <c r="D55" s="96" t="s">
        <v>6123</v>
      </c>
      <c r="E55" s="96" t="s">
        <v>43</v>
      </c>
      <c r="F55" s="96" t="s">
        <v>29</v>
      </c>
      <c r="G55" s="96" t="s">
        <v>6071</v>
      </c>
      <c r="H55" s="96" t="s">
        <v>6124</v>
      </c>
      <c r="I55" s="96" t="s">
        <v>6125</v>
      </c>
      <c r="J55" s="96" t="s">
        <v>43</v>
      </c>
      <c r="K55" s="97" t="s">
        <v>6126</v>
      </c>
      <c r="L55" s="96" t="s">
        <v>43</v>
      </c>
      <c r="M55" s="96" t="s">
        <v>43</v>
      </c>
      <c r="N55" s="99" t="s">
        <v>43</v>
      </c>
    </row>
    <row r="56" spans="1:14" s="100" customFormat="1" ht="208" customHeight="1">
      <c r="A56" s="103">
        <v>55</v>
      </c>
      <c r="B56" s="103" t="s">
        <v>109</v>
      </c>
      <c r="C56" s="103" t="s">
        <v>6127</v>
      </c>
      <c r="D56" s="96" t="s">
        <v>43</v>
      </c>
      <c r="E56" s="96" t="s">
        <v>43</v>
      </c>
      <c r="F56" s="96" t="s">
        <v>29</v>
      </c>
      <c r="G56" s="96" t="s">
        <v>6128</v>
      </c>
      <c r="H56" s="96" t="s">
        <v>5907</v>
      </c>
      <c r="I56" s="96" t="s">
        <v>6129</v>
      </c>
      <c r="J56" s="96" t="s">
        <v>43</v>
      </c>
      <c r="K56" s="97" t="s">
        <v>6130</v>
      </c>
      <c r="L56" s="97" t="s">
        <v>6131</v>
      </c>
      <c r="M56" s="96" t="s">
        <v>43</v>
      </c>
      <c r="N56" s="99" t="s">
        <v>43</v>
      </c>
    </row>
    <row r="57" spans="1:14" s="100" customFormat="1" ht="208" customHeight="1">
      <c r="A57" s="103">
        <v>56</v>
      </c>
      <c r="B57" s="103" t="s">
        <v>287</v>
      </c>
      <c r="C57" s="103" t="s">
        <v>4303</v>
      </c>
      <c r="D57" s="96" t="s">
        <v>43</v>
      </c>
      <c r="E57" s="96" t="s">
        <v>6132</v>
      </c>
      <c r="F57" s="96" t="s">
        <v>29</v>
      </c>
      <c r="G57" s="96" t="s">
        <v>6071</v>
      </c>
      <c r="H57" s="96" t="s">
        <v>6133</v>
      </c>
      <c r="I57" s="96" t="s">
        <v>43</v>
      </c>
      <c r="J57" s="96" t="s">
        <v>43</v>
      </c>
      <c r="K57" s="97" t="s">
        <v>6134</v>
      </c>
      <c r="L57" s="96" t="s">
        <v>43</v>
      </c>
      <c r="M57" s="97" t="s">
        <v>6135</v>
      </c>
      <c r="N57" s="99" t="s">
        <v>43</v>
      </c>
    </row>
    <row r="58" spans="1:14" s="100" customFormat="1" ht="208" customHeight="1">
      <c r="A58" s="103">
        <v>57</v>
      </c>
      <c r="B58" s="103" t="s">
        <v>156</v>
      </c>
      <c r="C58" s="103" t="s">
        <v>478</v>
      </c>
      <c r="D58" s="96" t="s">
        <v>43</v>
      </c>
      <c r="E58" s="96" t="s">
        <v>43</v>
      </c>
      <c r="F58" s="96" t="s">
        <v>29</v>
      </c>
      <c r="G58" s="97" t="s">
        <v>6136</v>
      </c>
      <c r="H58" s="96" t="s">
        <v>5990</v>
      </c>
      <c r="I58" s="96" t="s">
        <v>43</v>
      </c>
      <c r="J58" s="96" t="s">
        <v>6137</v>
      </c>
      <c r="K58" s="97" t="s">
        <v>6138</v>
      </c>
      <c r="L58" s="96" t="s">
        <v>43</v>
      </c>
      <c r="M58" s="96" t="s">
        <v>43</v>
      </c>
      <c r="N58" s="99" t="s">
        <v>43</v>
      </c>
    </row>
    <row r="59" spans="1:14" s="100" customFormat="1" ht="208" customHeight="1">
      <c r="A59" s="103">
        <v>58</v>
      </c>
      <c r="B59" s="103" t="s">
        <v>58</v>
      </c>
      <c r="C59" s="103" t="s">
        <v>4668</v>
      </c>
      <c r="D59" s="96" t="s">
        <v>43</v>
      </c>
      <c r="E59" s="96" t="s">
        <v>6139</v>
      </c>
      <c r="F59" s="96" t="s">
        <v>29</v>
      </c>
      <c r="G59" s="97" t="s">
        <v>6140</v>
      </c>
      <c r="H59" s="96" t="s">
        <v>6141</v>
      </c>
      <c r="I59" s="96" t="s">
        <v>6142</v>
      </c>
      <c r="J59" s="96" t="s">
        <v>6143</v>
      </c>
      <c r="K59" s="97" t="s">
        <v>6144</v>
      </c>
      <c r="L59" s="96" t="s">
        <v>6145</v>
      </c>
      <c r="M59" s="96" t="s">
        <v>43</v>
      </c>
      <c r="N59" s="99" t="s">
        <v>43</v>
      </c>
    </row>
    <row r="60" spans="1:14" s="100" customFormat="1" ht="208" customHeight="1">
      <c r="A60" s="103">
        <v>59</v>
      </c>
      <c r="B60" s="103" t="s">
        <v>50</v>
      </c>
      <c r="C60" s="103" t="s">
        <v>6146</v>
      </c>
      <c r="D60" s="96" t="s">
        <v>43</v>
      </c>
      <c r="E60" s="96" t="s">
        <v>6147</v>
      </c>
      <c r="F60" s="96" t="s">
        <v>5508</v>
      </c>
      <c r="G60" s="96" t="s">
        <v>6071</v>
      </c>
      <c r="H60" s="96" t="s">
        <v>6148</v>
      </c>
      <c r="I60" s="96" t="s">
        <v>138</v>
      </c>
      <c r="J60" s="96" t="s">
        <v>43</v>
      </c>
      <c r="K60" s="97" t="s">
        <v>6149</v>
      </c>
      <c r="L60" s="96" t="s">
        <v>43</v>
      </c>
      <c r="M60" s="96" t="s">
        <v>43</v>
      </c>
      <c r="N60" s="99" t="s">
        <v>43</v>
      </c>
    </row>
    <row r="61" spans="1:14" s="100" customFormat="1" ht="208" customHeight="1">
      <c r="A61" s="103">
        <v>60</v>
      </c>
      <c r="B61" s="103" t="s">
        <v>2085</v>
      </c>
      <c r="C61" s="103" t="s">
        <v>2086</v>
      </c>
      <c r="D61" s="96" t="s">
        <v>6150</v>
      </c>
      <c r="E61" s="96" t="s">
        <v>6151</v>
      </c>
      <c r="F61" s="96" t="s">
        <v>29</v>
      </c>
      <c r="G61" s="96" t="s">
        <v>6071</v>
      </c>
      <c r="H61" s="96" t="s">
        <v>6152</v>
      </c>
      <c r="I61" s="98">
        <v>45474</v>
      </c>
      <c r="J61" s="96" t="s">
        <v>231</v>
      </c>
      <c r="K61" s="97" t="s">
        <v>6153</v>
      </c>
      <c r="L61" s="96" t="s">
        <v>43</v>
      </c>
      <c r="M61" s="96" t="s">
        <v>43</v>
      </c>
      <c r="N61" s="99" t="s">
        <v>43</v>
      </c>
    </row>
    <row r="62" spans="1:14" s="100" customFormat="1" ht="208" customHeight="1">
      <c r="A62" s="103">
        <v>61</v>
      </c>
      <c r="B62" s="103" t="s">
        <v>73</v>
      </c>
      <c r="C62" s="103" t="s">
        <v>35</v>
      </c>
      <c r="D62" s="96" t="s">
        <v>43</v>
      </c>
      <c r="E62" s="96" t="s">
        <v>43</v>
      </c>
      <c r="F62" s="96" t="s">
        <v>29</v>
      </c>
      <c r="G62" s="96" t="s">
        <v>6154</v>
      </c>
      <c r="H62" s="96" t="s">
        <v>6155</v>
      </c>
      <c r="I62" s="96" t="s">
        <v>5983</v>
      </c>
      <c r="J62" s="96" t="s">
        <v>43</v>
      </c>
      <c r="K62" s="97" t="s">
        <v>6156</v>
      </c>
      <c r="L62" s="96" t="s">
        <v>43</v>
      </c>
      <c r="M62" s="96" t="s">
        <v>6157</v>
      </c>
      <c r="N62" s="99" t="s">
        <v>43</v>
      </c>
    </row>
    <row r="63" spans="1:14" s="100" customFormat="1" ht="208" customHeight="1">
      <c r="A63" s="103">
        <v>62</v>
      </c>
      <c r="B63" s="103" t="s">
        <v>20</v>
      </c>
      <c r="C63" s="103" t="s">
        <v>6158</v>
      </c>
      <c r="D63" s="96" t="s">
        <v>43</v>
      </c>
      <c r="E63" s="96" t="s">
        <v>43</v>
      </c>
      <c r="F63" s="96" t="s">
        <v>29</v>
      </c>
      <c r="G63" s="96" t="s">
        <v>6071</v>
      </c>
      <c r="H63" s="96" t="s">
        <v>6159</v>
      </c>
      <c r="I63" s="96" t="s">
        <v>6160</v>
      </c>
      <c r="J63" s="96" t="s">
        <v>43</v>
      </c>
      <c r="K63" s="97" t="s">
        <v>6161</v>
      </c>
      <c r="L63" s="96" t="s">
        <v>6162</v>
      </c>
      <c r="M63" s="96" t="s">
        <v>43</v>
      </c>
      <c r="N63" s="99" t="s">
        <v>43</v>
      </c>
    </row>
    <row r="64" spans="1:14" s="100" customFormat="1" ht="208" customHeight="1">
      <c r="A64" s="103">
        <v>63</v>
      </c>
      <c r="B64" s="103" t="s">
        <v>58</v>
      </c>
      <c r="C64" s="103" t="s">
        <v>6163</v>
      </c>
      <c r="D64" s="96" t="s">
        <v>43</v>
      </c>
      <c r="E64" s="96" t="s">
        <v>43</v>
      </c>
      <c r="F64" s="96" t="s">
        <v>29</v>
      </c>
      <c r="G64" s="96" t="s">
        <v>6071</v>
      </c>
      <c r="H64" s="96" t="s">
        <v>43</v>
      </c>
      <c r="I64" s="96">
        <v>5.23</v>
      </c>
      <c r="J64" s="96" t="s">
        <v>43</v>
      </c>
      <c r="K64" s="96" t="s">
        <v>43</v>
      </c>
      <c r="L64" s="96" t="s">
        <v>43</v>
      </c>
      <c r="M64" s="96" t="s">
        <v>43</v>
      </c>
      <c r="N64" s="99" t="s">
        <v>43</v>
      </c>
    </row>
    <row r="65" spans="1:14" s="100" customFormat="1" ht="208" customHeight="1">
      <c r="A65" s="103">
        <v>64</v>
      </c>
      <c r="B65" s="103" t="s">
        <v>287</v>
      </c>
      <c r="C65" s="103" t="s">
        <v>1634</v>
      </c>
      <c r="D65" s="96" t="s">
        <v>6164</v>
      </c>
      <c r="E65" s="96" t="s">
        <v>6165</v>
      </c>
      <c r="F65" s="96" t="s">
        <v>29</v>
      </c>
      <c r="G65" s="96" t="s">
        <v>6071</v>
      </c>
      <c r="H65" s="96" t="s">
        <v>6166</v>
      </c>
      <c r="I65" s="96" t="s">
        <v>6167</v>
      </c>
      <c r="J65" s="96" t="s">
        <v>43</v>
      </c>
      <c r="K65" s="97" t="s">
        <v>6168</v>
      </c>
      <c r="L65" s="96" t="s">
        <v>43</v>
      </c>
      <c r="M65" s="96" t="s">
        <v>6169</v>
      </c>
      <c r="N65" s="99" t="s">
        <v>43</v>
      </c>
    </row>
    <row r="66" spans="1:14" s="100" customFormat="1" ht="208" customHeight="1">
      <c r="A66" s="103">
        <v>65</v>
      </c>
      <c r="B66" s="103" t="s">
        <v>6170</v>
      </c>
      <c r="C66" s="103" t="s">
        <v>6171</v>
      </c>
      <c r="D66" s="96" t="s">
        <v>43</v>
      </c>
      <c r="E66" s="97" t="s">
        <v>6172</v>
      </c>
      <c r="F66" s="96" t="s">
        <v>29</v>
      </c>
      <c r="G66" s="96" t="s">
        <v>6173</v>
      </c>
      <c r="H66" s="96" t="s">
        <v>6174</v>
      </c>
      <c r="I66" s="96" t="s">
        <v>6175</v>
      </c>
      <c r="J66" s="96" t="s">
        <v>237</v>
      </c>
      <c r="K66" s="97" t="s">
        <v>6176</v>
      </c>
      <c r="L66" s="96" t="s">
        <v>6177</v>
      </c>
      <c r="M66" s="96" t="s">
        <v>43</v>
      </c>
      <c r="N66" s="99" t="s">
        <v>43</v>
      </c>
    </row>
    <row r="67" spans="1:14" s="100" customFormat="1" ht="208" customHeight="1">
      <c r="A67" s="103">
        <v>66</v>
      </c>
      <c r="B67" s="103" t="s">
        <v>309</v>
      </c>
      <c r="C67" s="103" t="s">
        <v>5073</v>
      </c>
      <c r="D67" s="96" t="s">
        <v>43</v>
      </c>
      <c r="E67" s="96" t="s">
        <v>43</v>
      </c>
      <c r="F67" s="96" t="s">
        <v>29</v>
      </c>
      <c r="G67" s="96" t="s">
        <v>6178</v>
      </c>
      <c r="H67" s="96" t="s">
        <v>6179</v>
      </c>
      <c r="I67" s="98">
        <v>45474</v>
      </c>
      <c r="J67" s="96" t="s">
        <v>6180</v>
      </c>
      <c r="K67" s="97" t="s">
        <v>6181</v>
      </c>
      <c r="L67" s="96" t="s">
        <v>6182</v>
      </c>
      <c r="M67" s="96" t="s">
        <v>6183</v>
      </c>
      <c r="N67" s="99" t="s">
        <v>43</v>
      </c>
    </row>
    <row r="68" spans="1:14" s="100" customFormat="1" ht="208" customHeight="1">
      <c r="A68" s="103">
        <v>67</v>
      </c>
      <c r="B68" s="103" t="s">
        <v>1665</v>
      </c>
      <c r="C68" s="103" t="s">
        <v>6184</v>
      </c>
      <c r="D68" s="96" t="s">
        <v>43</v>
      </c>
      <c r="E68" s="96" t="s">
        <v>43</v>
      </c>
      <c r="F68" s="96" t="s">
        <v>29</v>
      </c>
      <c r="G68" s="97" t="s">
        <v>6185</v>
      </c>
      <c r="H68" s="96" t="s">
        <v>6186</v>
      </c>
      <c r="I68" s="96" t="s">
        <v>6187</v>
      </c>
      <c r="J68" s="96" t="s">
        <v>43</v>
      </c>
      <c r="K68" s="97" t="s">
        <v>6188</v>
      </c>
      <c r="L68" s="96" t="s">
        <v>43</v>
      </c>
      <c r="M68" s="96" t="s">
        <v>43</v>
      </c>
      <c r="N68" s="99" t="s">
        <v>43</v>
      </c>
    </row>
    <row r="69" spans="1:14" s="100" customFormat="1" ht="208" customHeight="1">
      <c r="A69" s="103">
        <v>68</v>
      </c>
      <c r="B69" s="103" t="s">
        <v>109</v>
      </c>
      <c r="C69" s="103" t="s">
        <v>5850</v>
      </c>
      <c r="D69" s="96" t="s">
        <v>43</v>
      </c>
      <c r="E69" s="96" t="s">
        <v>43</v>
      </c>
      <c r="F69" s="96" t="s">
        <v>29</v>
      </c>
      <c r="G69" s="96" t="s">
        <v>6071</v>
      </c>
      <c r="H69" s="96" t="s">
        <v>6189</v>
      </c>
      <c r="I69" s="96" t="s">
        <v>6190</v>
      </c>
      <c r="J69" s="96" t="s">
        <v>43</v>
      </c>
      <c r="K69" s="97" t="s">
        <v>6191</v>
      </c>
      <c r="L69" s="97" t="s">
        <v>6192</v>
      </c>
      <c r="M69" s="96" t="s">
        <v>43</v>
      </c>
      <c r="N69" s="99" t="s">
        <v>43</v>
      </c>
    </row>
    <row r="70" spans="1:14" s="100" customFormat="1" ht="208" customHeight="1">
      <c r="A70" s="103">
        <v>69</v>
      </c>
      <c r="B70" s="103" t="s">
        <v>287</v>
      </c>
      <c r="C70" s="103" t="s">
        <v>758</v>
      </c>
      <c r="D70" s="96" t="s">
        <v>6193</v>
      </c>
      <c r="E70" s="96" t="s">
        <v>6194</v>
      </c>
      <c r="F70" s="96" t="s">
        <v>29</v>
      </c>
      <c r="G70" s="96" t="s">
        <v>6071</v>
      </c>
      <c r="H70" s="96" t="s">
        <v>6195</v>
      </c>
      <c r="I70" s="96" t="s">
        <v>6196</v>
      </c>
      <c r="J70" s="96" t="s">
        <v>43</v>
      </c>
      <c r="K70" s="97" t="s">
        <v>6197</v>
      </c>
      <c r="L70" s="97" t="s">
        <v>6198</v>
      </c>
      <c r="M70" s="96" t="s">
        <v>6199</v>
      </c>
      <c r="N70" s="99" t="s">
        <v>43</v>
      </c>
    </row>
    <row r="71" spans="1:14" s="100" customFormat="1" ht="208" customHeight="1">
      <c r="A71" s="103">
        <v>70</v>
      </c>
      <c r="B71" s="103" t="s">
        <v>287</v>
      </c>
      <c r="C71" s="103" t="s">
        <v>6200</v>
      </c>
      <c r="D71" s="96" t="s">
        <v>43</v>
      </c>
      <c r="E71" s="96" t="s">
        <v>43</v>
      </c>
      <c r="F71" s="96" t="s">
        <v>88</v>
      </c>
      <c r="G71" s="96" t="s">
        <v>6071</v>
      </c>
      <c r="H71" s="96" t="s">
        <v>43</v>
      </c>
      <c r="I71" s="96" t="s">
        <v>6201</v>
      </c>
      <c r="J71" s="96" t="s">
        <v>43</v>
      </c>
      <c r="K71" s="96" t="s">
        <v>43</v>
      </c>
      <c r="L71" s="96" t="s">
        <v>43</v>
      </c>
      <c r="M71" s="96" t="s">
        <v>43</v>
      </c>
      <c r="N71" s="99" t="s">
        <v>43</v>
      </c>
    </row>
    <row r="72" spans="1:14" s="100" customFormat="1" ht="208" customHeight="1">
      <c r="A72" s="103">
        <v>71</v>
      </c>
      <c r="B72" s="103" t="s">
        <v>333</v>
      </c>
      <c r="C72" s="103" t="s">
        <v>6202</v>
      </c>
      <c r="D72" s="96" t="s">
        <v>648</v>
      </c>
      <c r="E72" s="96" t="s">
        <v>43</v>
      </c>
      <c r="F72" s="96" t="s">
        <v>29</v>
      </c>
      <c r="G72" s="96" t="s">
        <v>6071</v>
      </c>
      <c r="H72" s="96" t="s">
        <v>6203</v>
      </c>
      <c r="I72" s="96" t="s">
        <v>6204</v>
      </c>
      <c r="J72" s="96" t="s">
        <v>6205</v>
      </c>
      <c r="K72" s="97" t="s">
        <v>6206</v>
      </c>
      <c r="L72" s="96" t="s">
        <v>43</v>
      </c>
      <c r="M72" s="96" t="s">
        <v>43</v>
      </c>
      <c r="N72" s="99" t="s">
        <v>43</v>
      </c>
    </row>
    <row r="73" spans="1:14" s="100" customFormat="1" ht="208" customHeight="1">
      <c r="A73" s="103">
        <v>72</v>
      </c>
      <c r="B73" s="103" t="s">
        <v>371</v>
      </c>
      <c r="C73" s="103" t="s">
        <v>478</v>
      </c>
      <c r="D73" s="96" t="s">
        <v>6207</v>
      </c>
      <c r="E73" s="96" t="s">
        <v>6208</v>
      </c>
      <c r="F73" s="96" t="s">
        <v>29</v>
      </c>
      <c r="G73" s="96" t="s">
        <v>6071</v>
      </c>
      <c r="H73" s="105" t="s">
        <v>6209</v>
      </c>
      <c r="I73" s="96" t="s">
        <v>6210</v>
      </c>
      <c r="J73" s="96" t="s">
        <v>43</v>
      </c>
      <c r="K73" s="97" t="s">
        <v>6211</v>
      </c>
      <c r="L73" s="96" t="s">
        <v>43</v>
      </c>
      <c r="M73" s="96" t="s">
        <v>6212</v>
      </c>
      <c r="N73" s="99" t="s">
        <v>43</v>
      </c>
    </row>
    <row r="74" spans="1:14" s="100" customFormat="1" ht="208" customHeight="1">
      <c r="A74" s="103">
        <v>73</v>
      </c>
      <c r="B74" s="103" t="s">
        <v>26</v>
      </c>
      <c r="C74" s="103" t="s">
        <v>295</v>
      </c>
      <c r="D74" s="96" t="s">
        <v>43</v>
      </c>
      <c r="E74" s="96" t="s">
        <v>43</v>
      </c>
      <c r="F74" s="96" t="s">
        <v>29</v>
      </c>
      <c r="G74" s="96" t="s">
        <v>6071</v>
      </c>
      <c r="H74" s="97" t="s">
        <v>6213</v>
      </c>
      <c r="I74" s="96" t="s">
        <v>297</v>
      </c>
      <c r="J74" s="96" t="s">
        <v>43</v>
      </c>
      <c r="K74" s="97" t="s">
        <v>6214</v>
      </c>
      <c r="L74" s="96" t="s">
        <v>43</v>
      </c>
      <c r="M74" s="96" t="s">
        <v>6215</v>
      </c>
      <c r="N74" s="99" t="s">
        <v>43</v>
      </c>
    </row>
    <row r="75" spans="1:14" s="100" customFormat="1" ht="208" customHeight="1">
      <c r="A75" s="103">
        <v>74</v>
      </c>
      <c r="B75" s="103" t="s">
        <v>653</v>
      </c>
      <c r="C75" s="103" t="s">
        <v>654</v>
      </c>
      <c r="D75" s="96" t="s">
        <v>6216</v>
      </c>
      <c r="E75" s="96" t="s">
        <v>6217</v>
      </c>
      <c r="F75" s="96" t="s">
        <v>29</v>
      </c>
      <c r="G75" s="97" t="s">
        <v>6218</v>
      </c>
      <c r="H75" s="96" t="s">
        <v>6219</v>
      </c>
      <c r="I75" s="98">
        <v>45474</v>
      </c>
      <c r="J75" s="96" t="s">
        <v>6220</v>
      </c>
      <c r="K75" s="97" t="s">
        <v>6221</v>
      </c>
      <c r="L75" s="96" t="s">
        <v>5844</v>
      </c>
      <c r="M75" s="96" t="s">
        <v>6222</v>
      </c>
      <c r="N75" s="99" t="s">
        <v>43</v>
      </c>
    </row>
    <row r="76" spans="1:14" s="100" customFormat="1" ht="208" customHeight="1">
      <c r="A76" s="103">
        <v>75</v>
      </c>
      <c r="B76" s="103" t="s">
        <v>383</v>
      </c>
      <c r="C76" s="103" t="s">
        <v>390</v>
      </c>
      <c r="D76" s="96" t="s">
        <v>43</v>
      </c>
      <c r="E76" s="96" t="s">
        <v>43</v>
      </c>
      <c r="F76" s="96" t="s">
        <v>29</v>
      </c>
      <c r="G76" s="96" t="s">
        <v>6071</v>
      </c>
      <c r="H76" s="96" t="s">
        <v>6223</v>
      </c>
      <c r="I76" s="98">
        <v>45505</v>
      </c>
      <c r="J76" s="96" t="s">
        <v>6224</v>
      </c>
      <c r="K76" s="97" t="s">
        <v>6225</v>
      </c>
      <c r="L76" s="96" t="s">
        <v>6226</v>
      </c>
      <c r="M76" s="97" t="s">
        <v>6227</v>
      </c>
      <c r="N76" s="99" t="s">
        <v>43</v>
      </c>
    </row>
    <row r="77" spans="1:14" s="100" customFormat="1" ht="208" customHeight="1">
      <c r="A77" s="103">
        <v>76</v>
      </c>
      <c r="B77" s="103" t="s">
        <v>422</v>
      </c>
      <c r="C77" s="103" t="s">
        <v>5846</v>
      </c>
      <c r="D77" s="96" t="s">
        <v>43</v>
      </c>
      <c r="E77" s="96" t="s">
        <v>43</v>
      </c>
      <c r="F77" s="96" t="s">
        <v>29</v>
      </c>
      <c r="G77" s="97" t="s">
        <v>6228</v>
      </c>
      <c r="H77" s="96" t="s">
        <v>6229</v>
      </c>
      <c r="I77" s="96" t="s">
        <v>6230</v>
      </c>
      <c r="J77" s="96" t="s">
        <v>6231</v>
      </c>
      <c r="K77" s="97" t="s">
        <v>6232</v>
      </c>
      <c r="L77" s="96" t="s">
        <v>43</v>
      </c>
      <c r="M77" s="97" t="s">
        <v>6233</v>
      </c>
      <c r="N77" s="99" t="s">
        <v>43</v>
      </c>
    </row>
    <row r="78" spans="1:14" s="100" customFormat="1" ht="208" customHeight="1">
      <c r="A78" s="103">
        <v>77</v>
      </c>
      <c r="B78" s="103" t="s">
        <v>287</v>
      </c>
      <c r="C78" s="103" t="s">
        <v>6234</v>
      </c>
      <c r="D78" s="96" t="s">
        <v>43</v>
      </c>
      <c r="E78" s="96" t="s">
        <v>43</v>
      </c>
      <c r="F78" s="96" t="s">
        <v>88</v>
      </c>
      <c r="G78" s="97" t="s">
        <v>43</v>
      </c>
      <c r="H78" s="96" t="s">
        <v>43</v>
      </c>
      <c r="I78" s="96" t="s">
        <v>43</v>
      </c>
      <c r="J78" s="96" t="s">
        <v>43</v>
      </c>
      <c r="K78" s="96" t="s">
        <v>43</v>
      </c>
      <c r="L78" s="96" t="s">
        <v>43</v>
      </c>
      <c r="M78" s="96" t="s">
        <v>43</v>
      </c>
      <c r="N78" s="99" t="s">
        <v>43</v>
      </c>
    </row>
    <row r="79" spans="1:14" s="100" customFormat="1" ht="208" customHeight="1">
      <c r="A79" s="103">
        <v>78</v>
      </c>
      <c r="B79" s="103" t="s">
        <v>50</v>
      </c>
      <c r="C79" s="103" t="s">
        <v>6235</v>
      </c>
      <c r="D79" s="96" t="s">
        <v>43</v>
      </c>
      <c r="E79" s="96" t="s">
        <v>4261</v>
      </c>
      <c r="F79" s="96" t="s">
        <v>29</v>
      </c>
      <c r="G79" s="97" t="s">
        <v>6071</v>
      </c>
      <c r="H79" s="96" t="s">
        <v>43</v>
      </c>
      <c r="I79" s="104">
        <v>45467</v>
      </c>
      <c r="J79" s="96" t="s">
        <v>6236</v>
      </c>
      <c r="K79" s="96" t="s">
        <v>6237</v>
      </c>
      <c r="L79" s="96" t="s">
        <v>43</v>
      </c>
      <c r="M79" s="96" t="s">
        <v>4266</v>
      </c>
      <c r="N79" s="99" t="s">
        <v>43</v>
      </c>
    </row>
    <row r="80" spans="1:14" s="100" customFormat="1" ht="208" customHeight="1">
      <c r="A80" s="103">
        <v>79</v>
      </c>
      <c r="B80" s="103" t="s">
        <v>318</v>
      </c>
      <c r="C80" s="103" t="s">
        <v>74</v>
      </c>
      <c r="D80" s="96" t="s">
        <v>6238</v>
      </c>
      <c r="E80" s="96" t="s">
        <v>2053</v>
      </c>
      <c r="F80" s="96" t="s">
        <v>29</v>
      </c>
      <c r="G80" s="96" t="s">
        <v>6239</v>
      </c>
      <c r="H80" s="96" t="s">
        <v>6240</v>
      </c>
      <c r="I80" s="96" t="s">
        <v>43</v>
      </c>
      <c r="J80" s="96" t="s">
        <v>43</v>
      </c>
      <c r="K80" s="97" t="s">
        <v>6241</v>
      </c>
      <c r="L80" s="97" t="s">
        <v>6242</v>
      </c>
      <c r="M80" s="96" t="s">
        <v>43</v>
      </c>
      <c r="N80" s="99" t="s">
        <v>43</v>
      </c>
    </row>
    <row r="81" spans="1:14" s="100" customFormat="1" ht="208" customHeight="1">
      <c r="A81" s="103">
        <v>80</v>
      </c>
      <c r="B81" s="103" t="s">
        <v>318</v>
      </c>
      <c r="C81" s="103" t="s">
        <v>191</v>
      </c>
      <c r="D81" s="96" t="s">
        <v>43</v>
      </c>
      <c r="E81" s="96" t="s">
        <v>6243</v>
      </c>
      <c r="F81" s="96" t="s">
        <v>29</v>
      </c>
      <c r="G81" s="96" t="s">
        <v>6071</v>
      </c>
      <c r="H81" s="96" t="s">
        <v>6244</v>
      </c>
      <c r="I81" s="96" t="s">
        <v>62</v>
      </c>
      <c r="J81" s="96" t="s">
        <v>209</v>
      </c>
      <c r="K81" s="97" t="s">
        <v>6245</v>
      </c>
      <c r="L81" s="96" t="s">
        <v>6246</v>
      </c>
      <c r="M81" s="96" t="s">
        <v>6247</v>
      </c>
      <c r="N81" s="99" t="s">
        <v>43</v>
      </c>
    </row>
    <row r="82" spans="1:14" s="100" customFormat="1" ht="208" customHeight="1">
      <c r="A82" s="103">
        <v>81</v>
      </c>
      <c r="B82" s="103" t="s">
        <v>1015</v>
      </c>
      <c r="C82" s="103" t="s">
        <v>478</v>
      </c>
      <c r="D82" s="96" t="s">
        <v>43</v>
      </c>
      <c r="E82" s="96" t="s">
        <v>43</v>
      </c>
      <c r="F82" s="96" t="s">
        <v>29</v>
      </c>
      <c r="G82" s="96" t="s">
        <v>43</v>
      </c>
      <c r="H82" s="96" t="s">
        <v>43</v>
      </c>
      <c r="I82" s="96" t="s">
        <v>43</v>
      </c>
      <c r="J82" s="96" t="s">
        <v>43</v>
      </c>
      <c r="K82" s="96" t="s">
        <v>43</v>
      </c>
      <c r="L82" s="96" t="s">
        <v>43</v>
      </c>
      <c r="M82" s="96" t="s">
        <v>43</v>
      </c>
      <c r="N82" s="99" t="s">
        <v>43</v>
      </c>
    </row>
    <row r="83" spans="1:14" s="100" customFormat="1" ht="208" customHeight="1">
      <c r="A83" s="103">
        <v>82</v>
      </c>
      <c r="B83" s="103" t="s">
        <v>58</v>
      </c>
      <c r="C83" s="103" t="s">
        <v>758</v>
      </c>
      <c r="D83" s="96" t="s">
        <v>268</v>
      </c>
      <c r="E83" s="96" t="s">
        <v>43</v>
      </c>
      <c r="F83" s="96" t="s">
        <v>29</v>
      </c>
      <c r="G83" s="97" t="s">
        <v>6248</v>
      </c>
      <c r="H83" s="96" t="s">
        <v>6249</v>
      </c>
      <c r="I83" s="96" t="s">
        <v>6250</v>
      </c>
      <c r="J83" s="96" t="s">
        <v>43</v>
      </c>
      <c r="K83" s="97" t="s">
        <v>6251</v>
      </c>
      <c r="L83" s="97" t="s">
        <v>6252</v>
      </c>
      <c r="M83" s="96" t="s">
        <v>43</v>
      </c>
      <c r="N83" s="99" t="s">
        <v>43</v>
      </c>
    </row>
    <row r="84" spans="1:14" s="100" customFormat="1" ht="208" customHeight="1">
      <c r="A84" s="103">
        <v>83</v>
      </c>
      <c r="B84" s="103" t="s">
        <v>109</v>
      </c>
      <c r="C84" s="103" t="s">
        <v>6253</v>
      </c>
      <c r="D84" s="96" t="s">
        <v>6254</v>
      </c>
      <c r="E84" s="96" t="s">
        <v>6255</v>
      </c>
      <c r="F84" s="96" t="s">
        <v>29</v>
      </c>
      <c r="G84" s="97" t="s">
        <v>6256</v>
      </c>
      <c r="H84" s="96" t="s">
        <v>6257</v>
      </c>
      <c r="I84" s="96" t="s">
        <v>6258</v>
      </c>
      <c r="J84" s="96" t="s">
        <v>43</v>
      </c>
      <c r="K84" s="97" t="s">
        <v>6259</v>
      </c>
      <c r="L84" s="96" t="s">
        <v>6260</v>
      </c>
      <c r="M84" s="96" t="s">
        <v>6261</v>
      </c>
      <c r="N84" s="99" t="s">
        <v>43</v>
      </c>
    </row>
    <row r="85" spans="1:14" s="100" customFormat="1" ht="208" customHeight="1">
      <c r="A85" s="103">
        <v>84</v>
      </c>
      <c r="B85" s="103" t="s">
        <v>50</v>
      </c>
      <c r="C85" s="103" t="s">
        <v>877</v>
      </c>
      <c r="D85" s="96" t="s">
        <v>43</v>
      </c>
      <c r="E85" s="96" t="s">
        <v>43</v>
      </c>
      <c r="F85" s="96" t="s">
        <v>5508</v>
      </c>
      <c r="G85" s="97" t="s">
        <v>6262</v>
      </c>
      <c r="H85" s="96" t="s">
        <v>6263</v>
      </c>
      <c r="I85" s="98">
        <v>45474</v>
      </c>
      <c r="J85" s="96" t="s">
        <v>43</v>
      </c>
      <c r="K85" s="97" t="s">
        <v>6264</v>
      </c>
      <c r="L85" s="97" t="s">
        <v>6265</v>
      </c>
      <c r="M85" s="96" t="s">
        <v>6261</v>
      </c>
      <c r="N85" s="99" t="s">
        <v>43</v>
      </c>
    </row>
    <row r="86" spans="1:14" s="100" customFormat="1" ht="208" customHeight="1">
      <c r="A86" s="103">
        <v>85</v>
      </c>
      <c r="B86" s="103" t="s">
        <v>309</v>
      </c>
      <c r="C86" s="103" t="s">
        <v>390</v>
      </c>
      <c r="D86" s="96" t="s">
        <v>6266</v>
      </c>
      <c r="E86" s="96" t="s">
        <v>4365</v>
      </c>
      <c r="F86" s="96" t="s">
        <v>29</v>
      </c>
      <c r="G86" s="96" t="s">
        <v>6267</v>
      </c>
      <c r="H86" s="96" t="s">
        <v>6268</v>
      </c>
      <c r="I86" s="96" t="s">
        <v>6230</v>
      </c>
      <c r="J86" s="96" t="s">
        <v>43</v>
      </c>
      <c r="K86" s="97" t="s">
        <v>6269</v>
      </c>
      <c r="L86" s="97" t="s">
        <v>6270</v>
      </c>
      <c r="M86" s="97" t="s">
        <v>6271</v>
      </c>
      <c r="N86" s="99" t="s">
        <v>43</v>
      </c>
    </row>
    <row r="87" spans="1:14" s="100" customFormat="1" ht="208" customHeight="1">
      <c r="A87" s="103">
        <v>86</v>
      </c>
      <c r="B87" s="103" t="s">
        <v>109</v>
      </c>
      <c r="C87" s="103" t="s">
        <v>772</v>
      </c>
      <c r="D87" s="96" t="s">
        <v>43</v>
      </c>
      <c r="E87" s="96" t="s">
        <v>6272</v>
      </c>
      <c r="F87" s="96" t="s">
        <v>29</v>
      </c>
      <c r="G87" s="96" t="s">
        <v>6273</v>
      </c>
      <c r="H87" s="96" t="s">
        <v>6274</v>
      </c>
      <c r="I87" s="96" t="s">
        <v>6275</v>
      </c>
      <c r="J87" s="96" t="s">
        <v>6276</v>
      </c>
      <c r="K87" s="97" t="s">
        <v>6277</v>
      </c>
      <c r="L87" s="96" t="s">
        <v>4325</v>
      </c>
      <c r="M87" s="96" t="s">
        <v>6278</v>
      </c>
      <c r="N87" s="99" t="s">
        <v>43</v>
      </c>
    </row>
    <row r="88" spans="1:14" s="100" customFormat="1" ht="208" customHeight="1">
      <c r="A88" s="103">
        <v>87</v>
      </c>
      <c r="B88" s="103" t="s">
        <v>318</v>
      </c>
      <c r="C88" s="103" t="s">
        <v>35</v>
      </c>
      <c r="D88" s="96" t="s">
        <v>6279</v>
      </c>
      <c r="E88" s="96" t="s">
        <v>2053</v>
      </c>
      <c r="F88" s="96" t="s">
        <v>29</v>
      </c>
      <c r="G88" s="96" t="s">
        <v>6071</v>
      </c>
      <c r="H88" s="96" t="s">
        <v>6280</v>
      </c>
      <c r="I88" s="96" t="s">
        <v>6281</v>
      </c>
      <c r="J88" s="96" t="s">
        <v>6282</v>
      </c>
      <c r="K88" s="96" t="s">
        <v>43</v>
      </c>
      <c r="L88" s="96" t="s">
        <v>6283</v>
      </c>
      <c r="M88" s="96" t="s">
        <v>43</v>
      </c>
      <c r="N88" s="99" t="s">
        <v>43</v>
      </c>
    </row>
    <row r="89" spans="1:14" s="100" customFormat="1" ht="208" customHeight="1">
      <c r="A89" s="103">
        <v>88</v>
      </c>
      <c r="B89" s="103" t="s">
        <v>422</v>
      </c>
      <c r="C89" s="103" t="s">
        <v>35</v>
      </c>
      <c r="D89" s="96" t="s">
        <v>6284</v>
      </c>
      <c r="E89" s="96" t="s">
        <v>43</v>
      </c>
      <c r="F89" s="96" t="s">
        <v>29</v>
      </c>
      <c r="G89" s="96" t="s">
        <v>6285</v>
      </c>
      <c r="H89" s="96" t="s">
        <v>6286</v>
      </c>
      <c r="I89" s="96" t="s">
        <v>6287</v>
      </c>
      <c r="J89" s="96" t="s">
        <v>6288</v>
      </c>
      <c r="K89" s="97" t="s">
        <v>6289</v>
      </c>
      <c r="L89" s="97" t="s">
        <v>6290</v>
      </c>
      <c r="M89" s="96" t="s">
        <v>43</v>
      </c>
      <c r="N89" s="99" t="s">
        <v>43</v>
      </c>
    </row>
    <row r="90" spans="1:14" s="100" customFormat="1" ht="208" customHeight="1">
      <c r="A90" s="103">
        <v>89</v>
      </c>
      <c r="B90" s="103" t="s">
        <v>435</v>
      </c>
      <c r="C90" s="103" t="s">
        <v>435</v>
      </c>
      <c r="D90" s="96" t="s">
        <v>6291</v>
      </c>
      <c r="E90" s="96" t="s">
        <v>43</v>
      </c>
      <c r="F90" s="96" t="s">
        <v>29</v>
      </c>
      <c r="G90" s="96" t="s">
        <v>6071</v>
      </c>
      <c r="H90" s="96" t="s">
        <v>6292</v>
      </c>
      <c r="I90" s="96" t="s">
        <v>6293</v>
      </c>
      <c r="J90" s="96" t="s">
        <v>43</v>
      </c>
      <c r="K90" s="96" t="s">
        <v>43</v>
      </c>
      <c r="L90" s="96" t="s">
        <v>43</v>
      </c>
      <c r="M90" s="96" t="s">
        <v>6294</v>
      </c>
      <c r="N90" s="99" t="s">
        <v>43</v>
      </c>
    </row>
    <row r="91" spans="1:14" s="100" customFormat="1" ht="208" customHeight="1">
      <c r="A91" s="103">
        <v>90</v>
      </c>
      <c r="B91" s="103" t="s">
        <v>422</v>
      </c>
      <c r="C91" s="103" t="s">
        <v>35</v>
      </c>
      <c r="D91" s="96" t="s">
        <v>43</v>
      </c>
      <c r="E91" s="96" t="s">
        <v>43</v>
      </c>
      <c r="F91" s="96" t="s">
        <v>29</v>
      </c>
      <c r="G91" s="97" t="s">
        <v>6295</v>
      </c>
      <c r="H91" s="96" t="s">
        <v>6286</v>
      </c>
      <c r="I91" s="97" t="s">
        <v>6296</v>
      </c>
      <c r="J91" s="96" t="s">
        <v>43</v>
      </c>
      <c r="K91" s="97" t="s">
        <v>6297</v>
      </c>
      <c r="L91" s="97" t="s">
        <v>6298</v>
      </c>
      <c r="M91" s="96" t="s">
        <v>6299</v>
      </c>
      <c r="N91" s="99" t="s">
        <v>43</v>
      </c>
    </row>
    <row r="92" spans="1:14" s="100" customFormat="1" ht="208" customHeight="1">
      <c r="A92" s="103">
        <v>91</v>
      </c>
      <c r="B92" s="103" t="s">
        <v>4936</v>
      </c>
      <c r="C92" s="103" t="s">
        <v>4936</v>
      </c>
      <c r="D92" s="96" t="s">
        <v>6300</v>
      </c>
      <c r="E92" s="96" t="s">
        <v>43</v>
      </c>
      <c r="F92" s="96" t="s">
        <v>29</v>
      </c>
      <c r="G92" s="96" t="s">
        <v>6071</v>
      </c>
      <c r="H92" s="96" t="s">
        <v>6301</v>
      </c>
      <c r="I92" s="96" t="s">
        <v>6302</v>
      </c>
      <c r="J92" s="96" t="s">
        <v>6303</v>
      </c>
      <c r="K92" s="97" t="s">
        <v>6304</v>
      </c>
      <c r="L92" s="97" t="s">
        <v>6305</v>
      </c>
      <c r="M92" s="96" t="s">
        <v>43</v>
      </c>
      <c r="N92" s="99" t="s">
        <v>43</v>
      </c>
    </row>
    <row r="93" spans="1:14" s="100" customFormat="1" ht="208" customHeight="1">
      <c r="A93" s="103">
        <v>92</v>
      </c>
      <c r="B93" s="103" t="s">
        <v>20</v>
      </c>
      <c r="C93" s="103" t="s">
        <v>295</v>
      </c>
      <c r="D93" s="97" t="s">
        <v>6306</v>
      </c>
      <c r="E93" s="96" t="s">
        <v>43</v>
      </c>
      <c r="F93" s="96" t="s">
        <v>29</v>
      </c>
      <c r="G93" s="96" t="s">
        <v>6071</v>
      </c>
      <c r="H93" s="96" t="s">
        <v>6307</v>
      </c>
      <c r="I93" s="96" t="s">
        <v>6308</v>
      </c>
      <c r="J93" s="96" t="s">
        <v>43</v>
      </c>
      <c r="K93" s="97" t="s">
        <v>6309</v>
      </c>
      <c r="L93" s="96" t="s">
        <v>43</v>
      </c>
      <c r="M93" s="96" t="s">
        <v>43</v>
      </c>
      <c r="N93" s="99" t="s">
        <v>43</v>
      </c>
    </row>
    <row r="94" spans="1:14" s="100" customFormat="1" ht="208" customHeight="1">
      <c r="A94" s="103">
        <v>93</v>
      </c>
      <c r="B94" s="103" t="s">
        <v>898</v>
      </c>
      <c r="C94" s="103" t="s">
        <v>898</v>
      </c>
      <c r="D94" s="97" t="s">
        <v>6310</v>
      </c>
      <c r="E94" s="96" t="s">
        <v>6311</v>
      </c>
      <c r="F94" s="96" t="s">
        <v>29</v>
      </c>
      <c r="G94" s="96" t="s">
        <v>6312</v>
      </c>
      <c r="H94" s="96" t="s">
        <v>6313</v>
      </c>
      <c r="I94" s="97" t="s">
        <v>6314</v>
      </c>
      <c r="J94" s="96" t="s">
        <v>6315</v>
      </c>
      <c r="K94" s="97" t="s">
        <v>6316</v>
      </c>
      <c r="L94" s="97" t="s">
        <v>6317</v>
      </c>
      <c r="M94" s="96" t="s">
        <v>43</v>
      </c>
      <c r="N94" s="99" t="s">
        <v>43</v>
      </c>
    </row>
    <row r="95" spans="1:14" s="100" customFormat="1" ht="208" customHeight="1">
      <c r="A95" s="103">
        <v>94</v>
      </c>
      <c r="B95" s="103" t="s">
        <v>283</v>
      </c>
      <c r="C95" s="103" t="s">
        <v>1662</v>
      </c>
      <c r="D95" s="96" t="s">
        <v>6318</v>
      </c>
      <c r="E95" s="96" t="s">
        <v>43</v>
      </c>
      <c r="F95" s="96" t="s">
        <v>29</v>
      </c>
      <c r="G95" s="96" t="s">
        <v>6071</v>
      </c>
      <c r="H95" s="96" t="s">
        <v>6319</v>
      </c>
      <c r="I95" s="96" t="s">
        <v>6320</v>
      </c>
      <c r="J95" s="96" t="s">
        <v>43</v>
      </c>
      <c r="K95" s="97" t="s">
        <v>6321</v>
      </c>
      <c r="L95" s="97" t="s">
        <v>6322</v>
      </c>
      <c r="M95" s="97" t="s">
        <v>6323</v>
      </c>
      <c r="N95" s="99" t="s">
        <v>43</v>
      </c>
    </row>
    <row r="96" spans="1:14" s="100" customFormat="1" ht="208" customHeight="1">
      <c r="A96" s="103">
        <v>95</v>
      </c>
      <c r="B96" s="103" t="s">
        <v>6324</v>
      </c>
      <c r="C96" s="103" t="s">
        <v>6324</v>
      </c>
      <c r="D96" s="96" t="s">
        <v>43</v>
      </c>
      <c r="E96" s="96" t="s">
        <v>43</v>
      </c>
      <c r="F96" s="96" t="s">
        <v>29</v>
      </c>
      <c r="G96" s="96" t="s">
        <v>6071</v>
      </c>
      <c r="H96" s="96" t="s">
        <v>2061</v>
      </c>
      <c r="I96" s="96" t="s">
        <v>6325</v>
      </c>
      <c r="J96" s="96" t="s">
        <v>43</v>
      </c>
      <c r="K96" s="96" t="s">
        <v>6326</v>
      </c>
      <c r="L96" s="96" t="s">
        <v>43</v>
      </c>
      <c r="M96" s="96" t="s">
        <v>43</v>
      </c>
      <c r="N96" s="99" t="s">
        <v>43</v>
      </c>
    </row>
    <row r="97" spans="1:14" s="100" customFormat="1" ht="208" customHeight="1">
      <c r="A97" s="103">
        <v>96</v>
      </c>
      <c r="B97" s="103" t="s">
        <v>6327</v>
      </c>
      <c r="C97" s="103" t="s">
        <v>6327</v>
      </c>
      <c r="D97" s="97" t="s">
        <v>6328</v>
      </c>
      <c r="E97" s="96" t="s">
        <v>43</v>
      </c>
      <c r="F97" s="96" t="s">
        <v>29</v>
      </c>
      <c r="G97" s="96" t="s">
        <v>6071</v>
      </c>
      <c r="H97" s="96" t="s">
        <v>6329</v>
      </c>
      <c r="I97" s="98">
        <v>45474</v>
      </c>
      <c r="J97" s="96">
        <v>30</v>
      </c>
      <c r="K97" s="97" t="s">
        <v>6330</v>
      </c>
      <c r="L97" s="96" t="s">
        <v>6331</v>
      </c>
      <c r="M97" s="97" t="s">
        <v>6332</v>
      </c>
      <c r="N97" s="99" t="s">
        <v>43</v>
      </c>
    </row>
    <row r="98" spans="1:14" s="100" customFormat="1" ht="208" customHeight="1">
      <c r="A98" s="103">
        <v>97</v>
      </c>
      <c r="B98" s="103" t="s">
        <v>6333</v>
      </c>
      <c r="C98" s="103" t="s">
        <v>6333</v>
      </c>
      <c r="D98" s="96" t="s">
        <v>43</v>
      </c>
      <c r="E98" s="96" t="s">
        <v>6334</v>
      </c>
      <c r="F98" s="96" t="s">
        <v>29</v>
      </c>
      <c r="G98" s="96" t="s">
        <v>6071</v>
      </c>
      <c r="H98" s="96" t="s">
        <v>6335</v>
      </c>
      <c r="I98" s="96" t="s">
        <v>6336</v>
      </c>
      <c r="J98" s="96" t="s">
        <v>43</v>
      </c>
      <c r="K98" s="96" t="s">
        <v>43</v>
      </c>
      <c r="L98" s="96" t="s">
        <v>43</v>
      </c>
      <c r="M98" s="96" t="s">
        <v>43</v>
      </c>
      <c r="N98" s="99" t="s">
        <v>43</v>
      </c>
    </row>
    <row r="99" spans="1:14" s="100" customFormat="1" ht="208" customHeight="1">
      <c r="A99" s="103">
        <v>98</v>
      </c>
      <c r="B99" s="103" t="s">
        <v>6337</v>
      </c>
      <c r="C99" s="103" t="s">
        <v>6338</v>
      </c>
      <c r="D99" s="96" t="s">
        <v>6339</v>
      </c>
      <c r="E99" s="96" t="s">
        <v>6340</v>
      </c>
      <c r="F99" s="96" t="s">
        <v>29</v>
      </c>
      <c r="G99" s="96" t="s">
        <v>6071</v>
      </c>
      <c r="H99" s="96" t="s">
        <v>6341</v>
      </c>
      <c r="I99" s="96" t="s">
        <v>138</v>
      </c>
      <c r="J99" s="96" t="s">
        <v>43</v>
      </c>
      <c r="K99" s="97" t="s">
        <v>6342</v>
      </c>
      <c r="L99" s="96" t="s">
        <v>43</v>
      </c>
      <c r="M99" s="96" t="s">
        <v>43</v>
      </c>
      <c r="N99" s="99" t="s">
        <v>43</v>
      </c>
    </row>
    <row r="100" spans="1:14" s="100" customFormat="1" ht="208" customHeight="1">
      <c r="A100" s="103">
        <v>99</v>
      </c>
      <c r="B100" s="103" t="s">
        <v>109</v>
      </c>
      <c r="C100" s="103" t="s">
        <v>628</v>
      </c>
      <c r="D100" s="96" t="s">
        <v>6343</v>
      </c>
      <c r="E100" s="96" t="s">
        <v>6344</v>
      </c>
      <c r="F100" s="96" t="s">
        <v>29</v>
      </c>
      <c r="G100" s="96" t="s">
        <v>6071</v>
      </c>
      <c r="H100" s="96" t="s">
        <v>2186</v>
      </c>
      <c r="I100" s="96" t="s">
        <v>43</v>
      </c>
      <c r="J100" s="96">
        <v>50</v>
      </c>
      <c r="K100" s="97" t="s">
        <v>6345</v>
      </c>
      <c r="L100" s="97" t="s">
        <v>6346</v>
      </c>
      <c r="M100" s="96" t="s">
        <v>43</v>
      </c>
      <c r="N100" s="99" t="s">
        <v>43</v>
      </c>
    </row>
    <row r="101" spans="1:14" s="100" customFormat="1" ht="208" customHeight="1">
      <c r="A101" s="95">
        <v>100</v>
      </c>
      <c r="B101" s="95" t="s">
        <v>435</v>
      </c>
      <c r="C101" s="95" t="s">
        <v>390</v>
      </c>
      <c r="D101" s="96" t="s">
        <v>43</v>
      </c>
      <c r="E101" s="96" t="s">
        <v>43</v>
      </c>
      <c r="F101" s="96" t="s">
        <v>29</v>
      </c>
      <c r="G101" s="96" t="s">
        <v>6347</v>
      </c>
      <c r="H101" s="96" t="s">
        <v>6348</v>
      </c>
      <c r="I101" s="96" t="s">
        <v>6349</v>
      </c>
      <c r="J101" s="96" t="s">
        <v>6350</v>
      </c>
      <c r="K101" s="96" t="s">
        <v>6351</v>
      </c>
      <c r="L101" s="96" t="s">
        <v>6352</v>
      </c>
      <c r="M101" s="96" t="s">
        <v>6353</v>
      </c>
      <c r="N101" s="99" t="s">
        <v>43</v>
      </c>
    </row>
    <row r="102" spans="1:14" s="100" customFormat="1" ht="208" customHeight="1">
      <c r="A102" s="95">
        <v>101</v>
      </c>
      <c r="B102" s="95" t="s">
        <v>435</v>
      </c>
      <c r="C102" s="95" t="s">
        <v>191</v>
      </c>
      <c r="D102" s="96" t="s">
        <v>43</v>
      </c>
      <c r="E102" s="96" t="s">
        <v>43</v>
      </c>
      <c r="F102" s="96" t="s">
        <v>29</v>
      </c>
      <c r="G102" s="96" t="s">
        <v>6354</v>
      </c>
      <c r="H102" s="96" t="s">
        <v>43</v>
      </c>
      <c r="I102" s="96" t="s">
        <v>6355</v>
      </c>
      <c r="J102" s="96" t="s">
        <v>6350</v>
      </c>
      <c r="K102" s="96" t="s">
        <v>6356</v>
      </c>
      <c r="L102" s="96" t="s">
        <v>6357</v>
      </c>
      <c r="M102" s="96" t="s">
        <v>6358</v>
      </c>
      <c r="N102" s="99" t="s">
        <v>43</v>
      </c>
    </row>
    <row r="103" spans="1:14" s="100" customFormat="1" ht="208" customHeight="1">
      <c r="A103" s="95">
        <v>102</v>
      </c>
      <c r="B103" s="95" t="s">
        <v>58</v>
      </c>
      <c r="C103" s="95" t="s">
        <v>4192</v>
      </c>
      <c r="D103" s="96" t="s">
        <v>43</v>
      </c>
      <c r="E103" s="96" t="s">
        <v>6359</v>
      </c>
      <c r="F103" s="96" t="s">
        <v>29</v>
      </c>
      <c r="G103" s="96" t="s">
        <v>6360</v>
      </c>
      <c r="H103" s="96" t="s">
        <v>6361</v>
      </c>
      <c r="I103" s="96" t="s">
        <v>2005</v>
      </c>
      <c r="J103" s="96" t="s">
        <v>6350</v>
      </c>
      <c r="K103" s="96" t="s">
        <v>6362</v>
      </c>
      <c r="L103" s="96" t="s">
        <v>6363</v>
      </c>
      <c r="M103" s="96" t="s">
        <v>6364</v>
      </c>
      <c r="N103" s="99" t="s">
        <v>43</v>
      </c>
    </row>
    <row r="104" spans="1:14" s="100" customFormat="1" ht="208" customHeight="1">
      <c r="A104" s="95">
        <v>103</v>
      </c>
      <c r="B104" s="95" t="s">
        <v>309</v>
      </c>
      <c r="C104" s="95" t="s">
        <v>59</v>
      </c>
      <c r="D104" s="96" t="s">
        <v>43</v>
      </c>
      <c r="E104" s="96" t="s">
        <v>43</v>
      </c>
      <c r="F104" s="96" t="s">
        <v>29</v>
      </c>
      <c r="G104" s="96" t="s">
        <v>6365</v>
      </c>
      <c r="H104" s="104">
        <v>45473</v>
      </c>
      <c r="I104" s="96" t="s">
        <v>5995</v>
      </c>
      <c r="J104" s="96" t="s">
        <v>139</v>
      </c>
      <c r="K104" s="96" t="s">
        <v>6366</v>
      </c>
      <c r="L104" s="96" t="s">
        <v>6367</v>
      </c>
      <c r="M104" s="96" t="s">
        <v>6368</v>
      </c>
      <c r="N104" s="99" t="s">
        <v>43</v>
      </c>
    </row>
    <row r="105" spans="1:14" s="100" customFormat="1" ht="208" customHeight="1">
      <c r="A105" s="95">
        <v>104</v>
      </c>
      <c r="B105" s="95" t="s">
        <v>58</v>
      </c>
      <c r="C105" s="95" t="s">
        <v>74</v>
      </c>
      <c r="D105" s="96" t="s">
        <v>43</v>
      </c>
      <c r="E105" s="96" t="s">
        <v>43</v>
      </c>
      <c r="F105" s="96" t="s">
        <v>29</v>
      </c>
      <c r="G105" s="96" t="s">
        <v>6369</v>
      </c>
      <c r="H105" s="96" t="s">
        <v>6370</v>
      </c>
      <c r="I105" s="96" t="s">
        <v>6371</v>
      </c>
      <c r="J105" s="96" t="s">
        <v>6372</v>
      </c>
      <c r="K105" s="96" t="s">
        <v>6373</v>
      </c>
      <c r="L105" s="96" t="s">
        <v>43</v>
      </c>
      <c r="M105" s="96" t="s">
        <v>43</v>
      </c>
      <c r="N105" s="99" t="s">
        <v>43</v>
      </c>
    </row>
    <row r="106" spans="1:14" s="100" customFormat="1" ht="208" customHeight="1">
      <c r="A106" s="95">
        <v>105</v>
      </c>
      <c r="B106" s="95" t="s">
        <v>383</v>
      </c>
      <c r="C106" s="95" t="s">
        <v>74</v>
      </c>
      <c r="D106" s="96" t="s">
        <v>6374</v>
      </c>
      <c r="E106" s="96" t="s">
        <v>43</v>
      </c>
      <c r="F106" s="96" t="s">
        <v>29</v>
      </c>
      <c r="G106" s="96" t="s">
        <v>6375</v>
      </c>
      <c r="H106" s="96" t="s">
        <v>6376</v>
      </c>
      <c r="I106" s="96" t="s">
        <v>43</v>
      </c>
      <c r="J106" s="96" t="s">
        <v>6377</v>
      </c>
      <c r="K106" s="96" t="s">
        <v>6378</v>
      </c>
      <c r="L106" s="96" t="s">
        <v>6379</v>
      </c>
      <c r="M106" s="96" t="s">
        <v>6380</v>
      </c>
      <c r="N106" s="99" t="s">
        <v>43</v>
      </c>
    </row>
    <row r="107" spans="1:14" s="100" customFormat="1" ht="208" customHeight="1">
      <c r="A107" s="95">
        <v>106</v>
      </c>
      <c r="B107" s="95" t="s">
        <v>1015</v>
      </c>
      <c r="C107" s="95" t="s">
        <v>59</v>
      </c>
      <c r="D107" s="96" t="s">
        <v>6381</v>
      </c>
      <c r="E107" s="96" t="s">
        <v>6382</v>
      </c>
      <c r="F107" s="96" t="s">
        <v>29</v>
      </c>
      <c r="G107" s="96" t="s">
        <v>43</v>
      </c>
      <c r="H107" s="96" t="s">
        <v>6383</v>
      </c>
      <c r="I107" s="96" t="s">
        <v>6384</v>
      </c>
      <c r="J107" s="96" t="s">
        <v>6236</v>
      </c>
      <c r="K107" s="96" t="s">
        <v>6385</v>
      </c>
      <c r="L107" s="96" t="s">
        <v>6386</v>
      </c>
      <c r="M107" s="96" t="s">
        <v>6387</v>
      </c>
      <c r="N107" s="99" t="s">
        <v>43</v>
      </c>
    </row>
    <row r="108" spans="1:14" s="100" customFormat="1" ht="208" customHeight="1">
      <c r="A108" s="95">
        <v>107</v>
      </c>
      <c r="B108" s="95" t="s">
        <v>435</v>
      </c>
      <c r="C108" s="95" t="s">
        <v>116</v>
      </c>
      <c r="D108" s="96" t="s">
        <v>43</v>
      </c>
      <c r="E108" s="96" t="s">
        <v>43</v>
      </c>
      <c r="F108" s="96" t="s">
        <v>29</v>
      </c>
      <c r="G108" s="96" t="s">
        <v>6388</v>
      </c>
      <c r="H108" s="96" t="s">
        <v>6348</v>
      </c>
      <c r="I108" s="96" t="s">
        <v>6389</v>
      </c>
      <c r="J108" s="96" t="s">
        <v>2822</v>
      </c>
      <c r="K108" s="96" t="s">
        <v>6390</v>
      </c>
      <c r="L108" s="96" t="s">
        <v>6391</v>
      </c>
      <c r="M108" s="96" t="s">
        <v>6392</v>
      </c>
      <c r="N108" s="99" t="s">
        <v>43</v>
      </c>
    </row>
    <row r="109" spans="1:14" s="100" customFormat="1" ht="208" customHeight="1">
      <c r="A109" s="95">
        <v>108</v>
      </c>
      <c r="B109" s="95" t="s">
        <v>50</v>
      </c>
      <c r="C109" s="95" t="s">
        <v>873</v>
      </c>
      <c r="D109" s="96" t="s">
        <v>43</v>
      </c>
      <c r="E109" s="96" t="s">
        <v>6393</v>
      </c>
      <c r="F109" s="96" t="s">
        <v>1783</v>
      </c>
      <c r="G109" s="96" t="s">
        <v>43</v>
      </c>
      <c r="H109" s="96" t="s">
        <v>6394</v>
      </c>
      <c r="I109" s="96" t="s">
        <v>6395</v>
      </c>
      <c r="J109" s="96" t="s">
        <v>6396</v>
      </c>
      <c r="K109" s="96" t="s">
        <v>43</v>
      </c>
      <c r="L109" s="96" t="s">
        <v>43</v>
      </c>
      <c r="M109" s="96" t="s">
        <v>43</v>
      </c>
      <c r="N109" s="99" t="s">
        <v>43</v>
      </c>
    </row>
    <row r="110" spans="1:14" s="100" customFormat="1" ht="208" customHeight="1">
      <c r="A110" s="95">
        <v>109</v>
      </c>
      <c r="B110" s="95" t="s">
        <v>50</v>
      </c>
      <c r="C110" s="95" t="s">
        <v>1218</v>
      </c>
      <c r="D110" s="96" t="s">
        <v>43</v>
      </c>
      <c r="E110" s="96" t="s">
        <v>6397</v>
      </c>
      <c r="F110" s="96" t="s">
        <v>1783</v>
      </c>
      <c r="G110" s="96" t="s">
        <v>6398</v>
      </c>
      <c r="H110" s="96" t="s">
        <v>6399</v>
      </c>
      <c r="I110" s="96" t="s">
        <v>6400</v>
      </c>
      <c r="J110" s="96" t="s">
        <v>6401</v>
      </c>
      <c r="K110" s="96" t="s">
        <v>6402</v>
      </c>
      <c r="L110" s="96" t="s">
        <v>5487</v>
      </c>
      <c r="M110" s="96" t="s">
        <v>6403</v>
      </c>
      <c r="N110" s="99" t="s">
        <v>43</v>
      </c>
    </row>
    <row r="111" spans="1:14" s="100" customFormat="1" ht="208" customHeight="1">
      <c r="A111" s="95">
        <v>110</v>
      </c>
      <c r="B111" s="95" t="s">
        <v>20</v>
      </c>
      <c r="C111" s="95" t="s">
        <v>628</v>
      </c>
      <c r="D111" s="96" t="s">
        <v>6404</v>
      </c>
      <c r="E111" s="96" t="s">
        <v>43</v>
      </c>
      <c r="F111" s="96" t="s">
        <v>29</v>
      </c>
      <c r="G111" s="96" t="s">
        <v>6405</v>
      </c>
      <c r="H111" s="96" t="s">
        <v>6406</v>
      </c>
      <c r="I111" s="104">
        <v>45478</v>
      </c>
      <c r="J111" s="96" t="s">
        <v>43</v>
      </c>
      <c r="K111" s="96" t="s">
        <v>6309</v>
      </c>
      <c r="L111" s="96" t="s">
        <v>43</v>
      </c>
      <c r="M111" s="96" t="s">
        <v>43</v>
      </c>
      <c r="N111" s="99" t="s">
        <v>43</v>
      </c>
    </row>
    <row r="112" spans="1:14" s="100" customFormat="1" ht="208" customHeight="1">
      <c r="A112" s="95">
        <v>111</v>
      </c>
      <c r="B112" s="95" t="s">
        <v>439</v>
      </c>
      <c r="C112" s="95" t="s">
        <v>515</v>
      </c>
      <c r="D112" s="96" t="s">
        <v>6407</v>
      </c>
      <c r="E112" s="96" t="s">
        <v>6408</v>
      </c>
      <c r="F112" s="96" t="s">
        <v>29</v>
      </c>
      <c r="G112" s="96" t="s">
        <v>6409</v>
      </c>
      <c r="H112" s="96" t="s">
        <v>6410</v>
      </c>
      <c r="I112" s="96" t="s">
        <v>6411</v>
      </c>
      <c r="J112" s="96" t="s">
        <v>43</v>
      </c>
      <c r="K112" s="96" t="s">
        <v>6412</v>
      </c>
      <c r="L112" s="96" t="s">
        <v>6413</v>
      </c>
      <c r="M112" s="96" t="s">
        <v>6414</v>
      </c>
      <c r="N112" s="99" t="s">
        <v>43</v>
      </c>
    </row>
    <row r="113" spans="1:14" s="100" customFormat="1" ht="208" customHeight="1">
      <c r="A113" s="95">
        <v>112</v>
      </c>
      <c r="B113" s="95" t="s">
        <v>1015</v>
      </c>
      <c r="C113" s="95" t="s">
        <v>191</v>
      </c>
      <c r="D113" s="96" t="s">
        <v>6415</v>
      </c>
      <c r="E113" s="96" t="s">
        <v>6416</v>
      </c>
      <c r="F113" s="96" t="s">
        <v>29</v>
      </c>
      <c r="G113" s="96" t="s">
        <v>43</v>
      </c>
      <c r="H113" s="96" t="s">
        <v>6417</v>
      </c>
      <c r="I113" s="96" t="s">
        <v>6418</v>
      </c>
      <c r="J113" s="96" t="s">
        <v>43</v>
      </c>
      <c r="K113" s="96" t="s">
        <v>6419</v>
      </c>
      <c r="L113" s="96" t="s">
        <v>6420</v>
      </c>
      <c r="M113" s="96" t="s">
        <v>6421</v>
      </c>
      <c r="N113" s="99" t="s">
        <v>43</v>
      </c>
    </row>
    <row r="114" spans="1:14" s="100" customFormat="1" ht="208" customHeight="1">
      <c r="A114" s="95">
        <v>113</v>
      </c>
      <c r="B114" s="95" t="s">
        <v>935</v>
      </c>
      <c r="C114" s="95" t="s">
        <v>35</v>
      </c>
      <c r="D114" s="96" t="s">
        <v>6422</v>
      </c>
      <c r="E114" s="96" t="s">
        <v>6423</v>
      </c>
      <c r="F114" s="96" t="s">
        <v>29</v>
      </c>
      <c r="G114" s="96" t="s">
        <v>6424</v>
      </c>
      <c r="H114" s="96" t="s">
        <v>6425</v>
      </c>
      <c r="I114" s="96" t="s">
        <v>6426</v>
      </c>
      <c r="J114" s="96" t="s">
        <v>6427</v>
      </c>
      <c r="K114" s="96" t="s">
        <v>6428</v>
      </c>
      <c r="L114" s="96" t="s">
        <v>6429</v>
      </c>
      <c r="M114" s="96" t="s">
        <v>6430</v>
      </c>
      <c r="N114" s="99" t="s">
        <v>43</v>
      </c>
    </row>
    <row r="115" spans="1:14" s="100" customFormat="1" ht="208" customHeight="1">
      <c r="A115" s="95">
        <v>114</v>
      </c>
      <c r="B115" s="95" t="s">
        <v>435</v>
      </c>
      <c r="C115" s="95" t="s">
        <v>35</v>
      </c>
      <c r="D115" s="96" t="s">
        <v>43</v>
      </c>
      <c r="E115" s="96" t="s">
        <v>43</v>
      </c>
      <c r="F115" s="96" t="s">
        <v>29</v>
      </c>
      <c r="G115" s="96" t="s">
        <v>6431</v>
      </c>
      <c r="H115" s="96" t="s">
        <v>6348</v>
      </c>
      <c r="I115" s="96" t="s">
        <v>6432</v>
      </c>
      <c r="J115" s="96" t="s">
        <v>43</v>
      </c>
      <c r="K115" s="96" t="s">
        <v>6433</v>
      </c>
      <c r="L115" s="96" t="s">
        <v>43</v>
      </c>
      <c r="M115" s="96" t="s">
        <v>43</v>
      </c>
      <c r="N115" s="99" t="s">
        <v>43</v>
      </c>
    </row>
    <row r="116" spans="1:14" s="100" customFormat="1" ht="208" customHeight="1">
      <c r="A116" s="95">
        <v>115</v>
      </c>
      <c r="B116" s="95" t="s">
        <v>309</v>
      </c>
      <c r="C116" s="95" t="s">
        <v>478</v>
      </c>
      <c r="D116" s="96" t="s">
        <v>43</v>
      </c>
      <c r="E116" s="96" t="s">
        <v>43</v>
      </c>
      <c r="F116" s="96" t="s">
        <v>29</v>
      </c>
      <c r="G116" s="96" t="s">
        <v>6434</v>
      </c>
      <c r="H116" s="96" t="s">
        <v>6435</v>
      </c>
      <c r="I116" s="96" t="s">
        <v>6436</v>
      </c>
      <c r="J116" s="96" t="s">
        <v>314</v>
      </c>
      <c r="K116" s="96" t="s">
        <v>6437</v>
      </c>
      <c r="L116" s="96" t="s">
        <v>6438</v>
      </c>
      <c r="M116" s="96" t="s">
        <v>6439</v>
      </c>
      <c r="N116" s="99" t="s">
        <v>43</v>
      </c>
    </row>
    <row r="117" spans="1:14" s="100" customFormat="1" ht="208" customHeight="1">
      <c r="A117" s="95">
        <v>116</v>
      </c>
      <c r="B117" s="95" t="s">
        <v>333</v>
      </c>
      <c r="C117" s="95" t="s">
        <v>6440</v>
      </c>
      <c r="D117" s="96" t="s">
        <v>43</v>
      </c>
      <c r="E117" s="96" t="s">
        <v>43</v>
      </c>
      <c r="F117" s="96" t="s">
        <v>29</v>
      </c>
      <c r="G117" s="96" t="s">
        <v>6441</v>
      </c>
      <c r="H117" s="96" t="s">
        <v>6442</v>
      </c>
      <c r="I117" s="96" t="s">
        <v>5975</v>
      </c>
      <c r="J117" s="96" t="s">
        <v>43</v>
      </c>
      <c r="K117" s="96" t="s">
        <v>6443</v>
      </c>
      <c r="L117" s="96" t="s">
        <v>6444</v>
      </c>
      <c r="M117" s="96" t="s">
        <v>43</v>
      </c>
      <c r="N117" s="99" t="s">
        <v>43</v>
      </c>
    </row>
    <row r="118" spans="1:14" s="100" customFormat="1" ht="208" customHeight="1">
      <c r="A118" s="95">
        <v>117</v>
      </c>
      <c r="B118" s="95" t="s">
        <v>1189</v>
      </c>
      <c r="C118" s="95" t="s">
        <v>390</v>
      </c>
      <c r="D118" s="96" t="s">
        <v>6445</v>
      </c>
      <c r="E118" s="96" t="s">
        <v>6446</v>
      </c>
      <c r="F118" s="96" t="s">
        <v>29</v>
      </c>
      <c r="G118" s="96" t="s">
        <v>6447</v>
      </c>
      <c r="H118" s="96" t="s">
        <v>6448</v>
      </c>
      <c r="I118" s="96" t="s">
        <v>6449</v>
      </c>
      <c r="J118" s="96" t="s">
        <v>2077</v>
      </c>
      <c r="K118" s="96" t="s">
        <v>6450</v>
      </c>
      <c r="L118" s="96" t="s">
        <v>6451</v>
      </c>
      <c r="M118" s="96" t="s">
        <v>6452</v>
      </c>
      <c r="N118" s="99" t="s">
        <v>43</v>
      </c>
    </row>
    <row r="119" spans="1:14" s="100" customFormat="1" ht="208" customHeight="1">
      <c r="A119" s="95">
        <v>118</v>
      </c>
      <c r="B119" s="95" t="s">
        <v>13</v>
      </c>
      <c r="C119" s="95" t="s">
        <v>6453</v>
      </c>
      <c r="D119" s="96" t="s">
        <v>43</v>
      </c>
      <c r="E119" s="96" t="s">
        <v>43</v>
      </c>
      <c r="F119" s="96" t="s">
        <v>29</v>
      </c>
      <c r="G119" s="96" t="s">
        <v>6454</v>
      </c>
      <c r="H119" s="96" t="s">
        <v>43</v>
      </c>
      <c r="I119" s="96" t="s">
        <v>6455</v>
      </c>
      <c r="J119" s="96" t="s">
        <v>43</v>
      </c>
      <c r="K119" s="96" t="s">
        <v>43</v>
      </c>
      <c r="L119" s="96" t="s">
        <v>43</v>
      </c>
      <c r="M119" s="96" t="s">
        <v>43</v>
      </c>
      <c r="N119" s="99" t="s">
        <v>43</v>
      </c>
    </row>
    <row r="120" spans="1:14" s="100" customFormat="1" ht="208" customHeight="1">
      <c r="A120" s="95">
        <v>119</v>
      </c>
      <c r="B120" s="95" t="s">
        <v>383</v>
      </c>
      <c r="C120" s="95" t="s">
        <v>6456</v>
      </c>
      <c r="D120" s="96" t="s">
        <v>6457</v>
      </c>
      <c r="E120" s="96" t="s">
        <v>43</v>
      </c>
      <c r="F120" s="96" t="s">
        <v>29</v>
      </c>
      <c r="G120" s="96" t="s">
        <v>43</v>
      </c>
      <c r="H120" s="96" t="s">
        <v>6141</v>
      </c>
      <c r="I120" s="96" t="s">
        <v>6281</v>
      </c>
      <c r="J120" s="96" t="s">
        <v>6458</v>
      </c>
      <c r="K120" s="96" t="s">
        <v>6459</v>
      </c>
      <c r="L120" s="96" t="s">
        <v>43</v>
      </c>
      <c r="M120" s="96" t="s">
        <v>6460</v>
      </c>
      <c r="N120" s="99" t="s">
        <v>43</v>
      </c>
    </row>
    <row r="121" spans="1:14" s="100" customFormat="1" ht="208" customHeight="1">
      <c r="A121" s="95">
        <v>120</v>
      </c>
      <c r="B121" s="95" t="s">
        <v>371</v>
      </c>
      <c r="C121" s="95" t="s">
        <v>1520</v>
      </c>
      <c r="D121" s="96" t="s">
        <v>6461</v>
      </c>
      <c r="E121" s="96" t="s">
        <v>6462</v>
      </c>
      <c r="F121" s="96" t="s">
        <v>29</v>
      </c>
      <c r="G121" s="96" t="s">
        <v>6463</v>
      </c>
      <c r="H121" s="96" t="s">
        <v>6179</v>
      </c>
      <c r="I121" s="96" t="s">
        <v>6464</v>
      </c>
      <c r="J121" s="96" t="s">
        <v>43</v>
      </c>
      <c r="K121" s="96" t="s">
        <v>6465</v>
      </c>
      <c r="L121" s="96" t="s">
        <v>6466</v>
      </c>
      <c r="M121" s="96" t="s">
        <v>6467</v>
      </c>
      <c r="N121" s="99" t="s">
        <v>43</v>
      </c>
    </row>
    <row r="122" spans="1:14" s="100" customFormat="1" ht="208" customHeight="1">
      <c r="A122" s="95">
        <v>121</v>
      </c>
      <c r="B122" s="95" t="s">
        <v>58</v>
      </c>
      <c r="C122" s="95" t="s">
        <v>191</v>
      </c>
      <c r="D122" s="96" t="s">
        <v>43</v>
      </c>
      <c r="E122" s="96" t="s">
        <v>43</v>
      </c>
      <c r="F122" s="96" t="s">
        <v>29</v>
      </c>
      <c r="G122" s="96" t="s">
        <v>6468</v>
      </c>
      <c r="H122" s="96" t="s">
        <v>6469</v>
      </c>
      <c r="I122" s="96" t="s">
        <v>6470</v>
      </c>
      <c r="J122" s="96" t="s">
        <v>625</v>
      </c>
      <c r="K122" s="96" t="s">
        <v>6471</v>
      </c>
      <c r="L122" s="96" t="s">
        <v>6472</v>
      </c>
      <c r="M122" s="96" t="s">
        <v>43</v>
      </c>
      <c r="N122" s="99" t="s">
        <v>43</v>
      </c>
    </row>
    <row r="123" spans="1:14" s="100" customFormat="1" ht="208" customHeight="1">
      <c r="A123" s="95">
        <v>122</v>
      </c>
      <c r="B123" s="95" t="s">
        <v>530</v>
      </c>
      <c r="C123" s="95" t="s">
        <v>35</v>
      </c>
      <c r="D123" s="96" t="s">
        <v>6473</v>
      </c>
      <c r="E123" s="96" t="s">
        <v>43</v>
      </c>
      <c r="F123" s="96" t="s">
        <v>29</v>
      </c>
      <c r="G123" s="96" t="s">
        <v>4806</v>
      </c>
      <c r="H123" s="96" t="s">
        <v>6474</v>
      </c>
      <c r="I123" s="96" t="s">
        <v>6475</v>
      </c>
      <c r="J123" s="96" t="s">
        <v>6476</v>
      </c>
      <c r="K123" s="96" t="s">
        <v>6477</v>
      </c>
      <c r="L123" s="96" t="s">
        <v>6478</v>
      </c>
      <c r="M123" s="96" t="s">
        <v>6479</v>
      </c>
      <c r="N123" s="99" t="s">
        <v>43</v>
      </c>
    </row>
    <row r="124" spans="1:14" s="100" customFormat="1" ht="208" customHeight="1">
      <c r="A124" s="95">
        <v>123</v>
      </c>
      <c r="B124" s="95" t="s">
        <v>50</v>
      </c>
      <c r="C124" s="95" t="s">
        <v>864</v>
      </c>
      <c r="D124" s="96" t="s">
        <v>43</v>
      </c>
      <c r="E124" s="96" t="s">
        <v>43</v>
      </c>
      <c r="F124" s="96" t="s">
        <v>29</v>
      </c>
      <c r="G124" s="96" t="s">
        <v>6480</v>
      </c>
      <c r="H124" s="96" t="s">
        <v>6481</v>
      </c>
      <c r="I124" s="98">
        <v>45474</v>
      </c>
      <c r="J124" s="96" t="s">
        <v>43</v>
      </c>
      <c r="K124" s="96" t="s">
        <v>6482</v>
      </c>
      <c r="L124" s="96" t="s">
        <v>43</v>
      </c>
      <c r="M124" s="96" t="s">
        <v>43</v>
      </c>
      <c r="N124" s="99" t="s">
        <v>43</v>
      </c>
    </row>
    <row r="125" spans="1:14" s="100" customFormat="1" ht="208" customHeight="1">
      <c r="A125" s="95">
        <v>124</v>
      </c>
      <c r="B125" s="95" t="s">
        <v>6483</v>
      </c>
      <c r="C125" s="95" t="s">
        <v>43</v>
      </c>
      <c r="D125" s="96" t="s">
        <v>43</v>
      </c>
      <c r="E125" s="96" t="s">
        <v>43</v>
      </c>
      <c r="F125" s="96" t="s">
        <v>29</v>
      </c>
      <c r="G125" s="96" t="s">
        <v>6484</v>
      </c>
      <c r="H125" s="96" t="s">
        <v>6485</v>
      </c>
      <c r="I125" s="96" t="s">
        <v>6486</v>
      </c>
      <c r="J125" s="96" t="s">
        <v>43</v>
      </c>
      <c r="K125" s="96" t="s">
        <v>6487</v>
      </c>
      <c r="L125" s="96" t="s">
        <v>6488</v>
      </c>
      <c r="M125" s="96" t="s">
        <v>43</v>
      </c>
      <c r="N125" s="99" t="s">
        <v>43</v>
      </c>
    </row>
    <row r="126" spans="1:14" s="100" customFormat="1" ht="208" customHeight="1">
      <c r="A126" s="95">
        <v>125</v>
      </c>
      <c r="B126" s="95" t="s">
        <v>809</v>
      </c>
      <c r="C126" s="95" t="s">
        <v>74</v>
      </c>
      <c r="D126" s="96" t="s">
        <v>6489</v>
      </c>
      <c r="E126" s="96" t="s">
        <v>6490</v>
      </c>
      <c r="F126" s="96" t="s">
        <v>29</v>
      </c>
      <c r="G126" s="96" t="s">
        <v>6491</v>
      </c>
      <c r="H126" s="96" t="s">
        <v>6492</v>
      </c>
      <c r="I126" s="96" t="s">
        <v>6493</v>
      </c>
      <c r="J126" s="96" t="s">
        <v>6494</v>
      </c>
      <c r="K126" s="96" t="s">
        <v>6495</v>
      </c>
      <c r="L126" s="96" t="s">
        <v>4766</v>
      </c>
      <c r="M126" s="96" t="s">
        <v>6496</v>
      </c>
      <c r="N126" s="99" t="s">
        <v>43</v>
      </c>
    </row>
    <row r="127" spans="1:14" s="100" customFormat="1" ht="208" customHeight="1">
      <c r="A127" s="95">
        <v>126</v>
      </c>
      <c r="B127" s="95" t="s">
        <v>1189</v>
      </c>
      <c r="C127" s="95" t="s">
        <v>1450</v>
      </c>
      <c r="D127" s="96" t="s">
        <v>6497</v>
      </c>
      <c r="E127" s="96" t="s">
        <v>1398</v>
      </c>
      <c r="F127" s="96" t="s">
        <v>29</v>
      </c>
      <c r="G127" s="96" t="s">
        <v>6498</v>
      </c>
      <c r="H127" s="96" t="s">
        <v>6499</v>
      </c>
      <c r="I127" s="96" t="s">
        <v>6500</v>
      </c>
      <c r="J127" s="96" t="s">
        <v>323</v>
      </c>
      <c r="K127" s="96" t="s">
        <v>6501</v>
      </c>
      <c r="L127" s="96" t="s">
        <v>6502</v>
      </c>
      <c r="M127" s="96" t="s">
        <v>6503</v>
      </c>
      <c r="N127" s="99" t="s">
        <v>43</v>
      </c>
    </row>
    <row r="128" spans="1:14" s="100" customFormat="1" ht="208" customHeight="1">
      <c r="A128" s="95">
        <v>127</v>
      </c>
      <c r="B128" s="95" t="s">
        <v>1189</v>
      </c>
      <c r="C128" s="95" t="s">
        <v>59</v>
      </c>
      <c r="D128" s="96" t="s">
        <v>6504</v>
      </c>
      <c r="E128" s="96" t="s">
        <v>1398</v>
      </c>
      <c r="F128" s="96" t="s">
        <v>29</v>
      </c>
      <c r="G128" s="96" t="s">
        <v>6505</v>
      </c>
      <c r="H128" s="96" t="s">
        <v>6506</v>
      </c>
      <c r="I128" s="96" t="s">
        <v>6507</v>
      </c>
      <c r="J128" s="96" t="s">
        <v>43</v>
      </c>
      <c r="K128" s="96" t="s">
        <v>6508</v>
      </c>
      <c r="L128" s="96" t="s">
        <v>6509</v>
      </c>
      <c r="M128" s="96" t="s">
        <v>6510</v>
      </c>
      <c r="N128" s="99" t="s">
        <v>43</v>
      </c>
    </row>
    <row r="129" spans="1:14" s="100" customFormat="1" ht="208" customHeight="1">
      <c r="A129" s="95">
        <v>128</v>
      </c>
      <c r="B129" s="95" t="s">
        <v>58</v>
      </c>
      <c r="C129" s="95" t="s">
        <v>5073</v>
      </c>
      <c r="D129" s="96" t="s">
        <v>43</v>
      </c>
      <c r="E129" s="96" t="s">
        <v>43</v>
      </c>
      <c r="F129" s="96" t="s">
        <v>29</v>
      </c>
      <c r="G129" s="96" t="s">
        <v>6511</v>
      </c>
      <c r="H129" s="96" t="s">
        <v>6512</v>
      </c>
      <c r="I129" s="96" t="s">
        <v>6513</v>
      </c>
      <c r="J129" s="96" t="s">
        <v>43</v>
      </c>
      <c r="K129" s="96" t="s">
        <v>6514</v>
      </c>
      <c r="L129" s="96" t="s">
        <v>6515</v>
      </c>
      <c r="M129" s="96" t="s">
        <v>43</v>
      </c>
      <c r="N129" s="99" t="s">
        <v>43</v>
      </c>
    </row>
    <row r="130" spans="1:14" s="100" customFormat="1" ht="208" customHeight="1">
      <c r="A130" s="95">
        <v>129</v>
      </c>
      <c r="B130" s="95" t="s">
        <v>58</v>
      </c>
      <c r="C130" s="95" t="s">
        <v>6516</v>
      </c>
      <c r="D130" s="96" t="s">
        <v>43</v>
      </c>
      <c r="E130" s="96" t="s">
        <v>43</v>
      </c>
      <c r="F130" s="96" t="s">
        <v>29</v>
      </c>
      <c r="G130" s="96" t="s">
        <v>6517</v>
      </c>
      <c r="H130" s="96" t="s">
        <v>6518</v>
      </c>
      <c r="I130" s="106">
        <v>45478</v>
      </c>
      <c r="J130" s="96" t="s">
        <v>43</v>
      </c>
      <c r="K130" s="96" t="s">
        <v>6519</v>
      </c>
      <c r="L130" s="96" t="s">
        <v>6520</v>
      </c>
      <c r="M130" s="96" t="s">
        <v>43</v>
      </c>
      <c r="N130" s="99" t="s">
        <v>43</v>
      </c>
    </row>
    <row r="131" spans="1:14" s="100" customFormat="1" ht="208" customHeight="1">
      <c r="A131" s="95">
        <v>130</v>
      </c>
      <c r="B131" s="95" t="s">
        <v>58</v>
      </c>
      <c r="C131" s="95" t="s">
        <v>6521</v>
      </c>
      <c r="D131" s="96" t="s">
        <v>43</v>
      </c>
      <c r="E131" s="96" t="s">
        <v>43</v>
      </c>
      <c r="F131" s="96" t="s">
        <v>29</v>
      </c>
      <c r="G131" s="96" t="s">
        <v>6522</v>
      </c>
      <c r="H131" s="96" t="s">
        <v>6523</v>
      </c>
      <c r="I131" s="96" t="s">
        <v>6524</v>
      </c>
      <c r="J131" s="96" t="s">
        <v>43</v>
      </c>
      <c r="K131" s="96" t="s">
        <v>6525</v>
      </c>
      <c r="L131" s="96" t="s">
        <v>43</v>
      </c>
      <c r="M131" s="96" t="s">
        <v>43</v>
      </c>
      <c r="N131" s="99" t="s">
        <v>43</v>
      </c>
    </row>
    <row r="132" spans="1:14" s="100" customFormat="1" ht="208" customHeight="1">
      <c r="A132" s="95">
        <v>131</v>
      </c>
      <c r="B132" s="95" t="s">
        <v>6526</v>
      </c>
      <c r="C132" s="95" t="s">
        <v>390</v>
      </c>
      <c r="D132" s="96" t="s">
        <v>6527</v>
      </c>
      <c r="E132" s="96" t="s">
        <v>6528</v>
      </c>
      <c r="F132" s="96" t="s">
        <v>29</v>
      </c>
      <c r="G132" s="96" t="s">
        <v>6529</v>
      </c>
      <c r="H132" s="96" t="s">
        <v>6530</v>
      </c>
      <c r="I132" s="96" t="s">
        <v>6531</v>
      </c>
      <c r="J132" s="96" t="s">
        <v>43</v>
      </c>
      <c r="K132" s="96" t="s">
        <v>6532</v>
      </c>
      <c r="L132" s="96" t="s">
        <v>6533</v>
      </c>
      <c r="M132" s="96" t="s">
        <v>43</v>
      </c>
      <c r="N132" s="99" t="s">
        <v>43</v>
      </c>
    </row>
    <row r="133" spans="1:14" s="100" customFormat="1" ht="208" customHeight="1">
      <c r="A133" s="95">
        <v>132</v>
      </c>
      <c r="B133" s="95" t="s">
        <v>1189</v>
      </c>
      <c r="C133" s="95" t="s">
        <v>116</v>
      </c>
      <c r="D133" s="96" t="s">
        <v>6534</v>
      </c>
      <c r="E133" s="96" t="s">
        <v>6535</v>
      </c>
      <c r="F133" s="96" t="s">
        <v>29</v>
      </c>
      <c r="G133" s="96" t="s">
        <v>6536</v>
      </c>
      <c r="H133" s="96" t="s">
        <v>6537</v>
      </c>
      <c r="I133" s="96" t="s">
        <v>6538</v>
      </c>
      <c r="J133" s="96" t="s">
        <v>6539</v>
      </c>
      <c r="K133" s="96" t="s">
        <v>6540</v>
      </c>
      <c r="L133" s="96" t="s">
        <v>6541</v>
      </c>
      <c r="M133" s="96" t="s">
        <v>6542</v>
      </c>
      <c r="N133" s="99" t="s">
        <v>43</v>
      </c>
    </row>
    <row r="134" spans="1:14" s="100" customFormat="1" ht="208" customHeight="1">
      <c r="A134" s="95">
        <v>133</v>
      </c>
      <c r="B134" s="95" t="s">
        <v>309</v>
      </c>
      <c r="C134" s="95" t="s">
        <v>116</v>
      </c>
      <c r="D134" s="96" t="s">
        <v>43</v>
      </c>
      <c r="E134" s="96" t="s">
        <v>43</v>
      </c>
      <c r="F134" s="96" t="s">
        <v>29</v>
      </c>
      <c r="G134" s="96" t="s">
        <v>6543</v>
      </c>
      <c r="H134" s="96" t="s">
        <v>6544</v>
      </c>
      <c r="I134" s="96" t="s">
        <v>5995</v>
      </c>
      <c r="J134" s="96" t="s">
        <v>139</v>
      </c>
      <c r="K134" s="96" t="s">
        <v>6545</v>
      </c>
      <c r="L134" s="96" t="s">
        <v>6546</v>
      </c>
      <c r="M134" s="96" t="s">
        <v>6547</v>
      </c>
      <c r="N134" s="99" t="s">
        <v>43</v>
      </c>
    </row>
    <row r="135" spans="1:14" s="100" customFormat="1" ht="208" customHeight="1">
      <c r="A135" s="95">
        <v>134</v>
      </c>
      <c r="B135" s="95" t="s">
        <v>455</v>
      </c>
      <c r="C135" s="95" t="s">
        <v>554</v>
      </c>
      <c r="D135" s="96" t="s">
        <v>6548</v>
      </c>
      <c r="E135" s="96" t="s">
        <v>6549</v>
      </c>
      <c r="F135" s="96" t="s">
        <v>29</v>
      </c>
      <c r="G135" s="96" t="s">
        <v>6550</v>
      </c>
      <c r="H135" s="96" t="s">
        <v>6551</v>
      </c>
      <c r="I135" s="96" t="s">
        <v>6552</v>
      </c>
      <c r="J135" s="96" t="s">
        <v>6553</v>
      </c>
      <c r="K135" s="96" t="s">
        <v>6554</v>
      </c>
      <c r="L135" s="96" t="s">
        <v>6555</v>
      </c>
      <c r="M135" s="96" t="s">
        <v>6556</v>
      </c>
      <c r="N135" s="99" t="s">
        <v>43</v>
      </c>
    </row>
    <row r="136" spans="1:14" s="100" customFormat="1" ht="208" customHeight="1">
      <c r="A136" s="95">
        <v>135</v>
      </c>
      <c r="B136" s="95" t="s">
        <v>333</v>
      </c>
      <c r="C136" s="95" t="s">
        <v>478</v>
      </c>
      <c r="D136" s="96" t="s">
        <v>6557</v>
      </c>
      <c r="E136" s="96" t="s">
        <v>43</v>
      </c>
      <c r="F136" s="96" t="s">
        <v>29</v>
      </c>
      <c r="G136" s="96" t="s">
        <v>6558</v>
      </c>
      <c r="H136" s="96" t="s">
        <v>6559</v>
      </c>
      <c r="I136" s="96" t="s">
        <v>6560</v>
      </c>
      <c r="J136" s="96" t="s">
        <v>1164</v>
      </c>
      <c r="K136" s="96" t="s">
        <v>6561</v>
      </c>
      <c r="L136" s="96" t="s">
        <v>6562</v>
      </c>
      <c r="M136" s="96" t="s">
        <v>6563</v>
      </c>
      <c r="N136" s="99" t="s">
        <v>43</v>
      </c>
    </row>
    <row r="137" spans="1:14" s="100" customFormat="1" ht="208" customHeight="1">
      <c r="A137" s="95">
        <v>136</v>
      </c>
      <c r="B137" s="95" t="s">
        <v>589</v>
      </c>
      <c r="C137" s="95" t="s">
        <v>6564</v>
      </c>
      <c r="D137" s="96" t="s">
        <v>43</v>
      </c>
      <c r="E137" s="96" t="s">
        <v>6565</v>
      </c>
      <c r="F137" s="96" t="s">
        <v>29</v>
      </c>
      <c r="G137" s="96" t="s">
        <v>6566</v>
      </c>
      <c r="H137" s="96" t="s">
        <v>6567</v>
      </c>
      <c r="I137" s="106">
        <v>45477</v>
      </c>
      <c r="J137" s="96" t="s">
        <v>43</v>
      </c>
      <c r="K137" s="96" t="s">
        <v>6568</v>
      </c>
      <c r="L137" s="96" t="s">
        <v>43</v>
      </c>
      <c r="M137" s="96" t="s">
        <v>43</v>
      </c>
      <c r="N137" s="99" t="s">
        <v>43</v>
      </c>
    </row>
    <row r="138" spans="1:14" s="100" customFormat="1" ht="208" customHeight="1">
      <c r="A138" s="95">
        <v>137</v>
      </c>
      <c r="B138" s="95" t="s">
        <v>1015</v>
      </c>
      <c r="C138" s="95" t="s">
        <v>1635</v>
      </c>
      <c r="D138" s="96" t="s">
        <v>6569</v>
      </c>
      <c r="E138" s="96" t="s">
        <v>6570</v>
      </c>
      <c r="F138" s="96" t="s">
        <v>29</v>
      </c>
      <c r="G138" s="96" t="s">
        <v>6571</v>
      </c>
      <c r="H138" s="96" t="s">
        <v>6572</v>
      </c>
      <c r="I138" s="96" t="s">
        <v>6573</v>
      </c>
      <c r="J138" s="96" t="s">
        <v>942</v>
      </c>
      <c r="K138" s="96" t="s">
        <v>43</v>
      </c>
      <c r="L138" s="96" t="s">
        <v>6420</v>
      </c>
      <c r="M138" s="96" t="s">
        <v>6574</v>
      </c>
      <c r="N138" s="99" t="s">
        <v>43</v>
      </c>
    </row>
    <row r="139" spans="1:14" s="100" customFormat="1" ht="208" customHeight="1">
      <c r="A139" s="95">
        <v>138</v>
      </c>
      <c r="B139" s="95" t="s">
        <v>6575</v>
      </c>
      <c r="C139" s="95" t="s">
        <v>35</v>
      </c>
      <c r="D139" s="96" t="s">
        <v>43</v>
      </c>
      <c r="E139" s="96" t="s">
        <v>1285</v>
      </c>
      <c r="F139" s="96" t="s">
        <v>29</v>
      </c>
      <c r="G139" s="96" t="s">
        <v>6576</v>
      </c>
      <c r="H139" s="96" t="s">
        <v>6577</v>
      </c>
      <c r="I139" s="96" t="s">
        <v>6578</v>
      </c>
      <c r="J139" s="96" t="s">
        <v>43</v>
      </c>
      <c r="K139" s="96" t="s">
        <v>6579</v>
      </c>
      <c r="L139" s="96" t="s">
        <v>6580</v>
      </c>
      <c r="M139" s="96" t="s">
        <v>43</v>
      </c>
      <c r="N139" s="99" t="s">
        <v>43</v>
      </c>
    </row>
    <row r="140" spans="1:14" s="100" customFormat="1" ht="208" customHeight="1">
      <c r="A140" s="95">
        <v>139</v>
      </c>
      <c r="B140" s="95" t="s">
        <v>245</v>
      </c>
      <c r="C140" s="95" t="s">
        <v>74</v>
      </c>
      <c r="D140" s="96" t="s">
        <v>43</v>
      </c>
      <c r="E140" s="96" t="s">
        <v>6581</v>
      </c>
      <c r="F140" s="96" t="s">
        <v>29</v>
      </c>
      <c r="G140" s="96" t="s">
        <v>6582</v>
      </c>
      <c r="H140" s="96" t="s">
        <v>6583</v>
      </c>
      <c r="I140" s="96" t="s">
        <v>5975</v>
      </c>
      <c r="J140" s="96" t="s">
        <v>43</v>
      </c>
      <c r="K140" s="96" t="s">
        <v>6584</v>
      </c>
      <c r="L140" s="96" t="s">
        <v>6585</v>
      </c>
      <c r="M140" s="96" t="s">
        <v>43</v>
      </c>
      <c r="N140" s="99" t="s">
        <v>43</v>
      </c>
    </row>
    <row r="141" spans="1:14" s="100" customFormat="1" ht="208" customHeight="1">
      <c r="A141" s="95">
        <v>140</v>
      </c>
      <c r="B141" s="95" t="s">
        <v>1015</v>
      </c>
      <c r="C141" s="95" t="s">
        <v>1237</v>
      </c>
      <c r="D141" s="96" t="s">
        <v>6586</v>
      </c>
      <c r="E141" s="96" t="s">
        <v>6587</v>
      </c>
      <c r="F141" s="96" t="s">
        <v>29</v>
      </c>
      <c r="G141" s="96" t="s">
        <v>43</v>
      </c>
      <c r="H141" s="96" t="s">
        <v>6588</v>
      </c>
      <c r="I141" s="96" t="s">
        <v>6589</v>
      </c>
      <c r="J141" s="96" t="s">
        <v>6590</v>
      </c>
      <c r="K141" s="96" t="s">
        <v>6591</v>
      </c>
      <c r="L141" s="96" t="s">
        <v>6592</v>
      </c>
      <c r="M141" s="96" t="s">
        <v>6387</v>
      </c>
      <c r="N141" s="99" t="s">
        <v>43</v>
      </c>
    </row>
    <row r="142" spans="1:14" s="100" customFormat="1" ht="208" customHeight="1">
      <c r="A142" s="95">
        <v>141</v>
      </c>
      <c r="B142" s="95" t="s">
        <v>1015</v>
      </c>
      <c r="C142" s="95" t="s">
        <v>116</v>
      </c>
      <c r="D142" s="96" t="s">
        <v>6593</v>
      </c>
      <c r="E142" s="96" t="s">
        <v>43</v>
      </c>
      <c r="F142" s="96" t="s">
        <v>29</v>
      </c>
      <c r="G142" s="96" t="s">
        <v>43</v>
      </c>
      <c r="H142" s="96" t="s">
        <v>6594</v>
      </c>
      <c r="I142" s="96" t="s">
        <v>6595</v>
      </c>
      <c r="J142" s="96" t="s">
        <v>3913</v>
      </c>
      <c r="K142" s="96" t="s">
        <v>6596</v>
      </c>
      <c r="L142" s="96" t="s">
        <v>6597</v>
      </c>
      <c r="M142" s="96" t="s">
        <v>43</v>
      </c>
      <c r="N142" s="99" t="s">
        <v>43</v>
      </c>
    </row>
    <row r="143" spans="1:14" s="100" customFormat="1" ht="208" customHeight="1">
      <c r="A143" s="95">
        <v>142</v>
      </c>
      <c r="B143" s="95" t="s">
        <v>1189</v>
      </c>
      <c r="C143" s="95" t="s">
        <v>6598</v>
      </c>
      <c r="D143" s="96" t="s">
        <v>43</v>
      </c>
      <c r="E143" s="96" t="s">
        <v>43</v>
      </c>
      <c r="F143" s="96" t="s">
        <v>29</v>
      </c>
      <c r="G143" s="96" t="s">
        <v>43</v>
      </c>
      <c r="H143" s="96" t="s">
        <v>6448</v>
      </c>
      <c r="I143" s="96" t="s">
        <v>6599</v>
      </c>
      <c r="J143" s="96" t="s">
        <v>43</v>
      </c>
      <c r="K143" s="96" t="s">
        <v>43</v>
      </c>
      <c r="L143" s="96" t="s">
        <v>43</v>
      </c>
      <c r="M143" s="96" t="s">
        <v>43</v>
      </c>
      <c r="N143" s="99" t="s">
        <v>43</v>
      </c>
    </row>
    <row r="144" spans="1:14" s="100" customFormat="1" ht="208" customHeight="1">
      <c r="A144" s="95">
        <v>143</v>
      </c>
      <c r="B144" s="95" t="s">
        <v>415</v>
      </c>
      <c r="C144" s="95" t="s">
        <v>416</v>
      </c>
      <c r="D144" s="96" t="s">
        <v>43</v>
      </c>
      <c r="E144" s="96" t="s">
        <v>43</v>
      </c>
      <c r="F144" s="96" t="s">
        <v>88</v>
      </c>
      <c r="G144" s="96" t="s">
        <v>6600</v>
      </c>
      <c r="H144" s="96" t="s">
        <v>6601</v>
      </c>
      <c r="I144" s="96" t="s">
        <v>6602</v>
      </c>
      <c r="J144" s="96" t="s">
        <v>43</v>
      </c>
      <c r="K144" s="96" t="s">
        <v>6603</v>
      </c>
      <c r="L144" s="96" t="s">
        <v>43</v>
      </c>
      <c r="M144" s="96" t="s">
        <v>6604</v>
      </c>
      <c r="N144" s="99" t="s">
        <v>43</v>
      </c>
    </row>
    <row r="145" spans="1:14" s="100" customFormat="1" ht="208" customHeight="1">
      <c r="A145" s="95">
        <v>144</v>
      </c>
      <c r="B145" s="95" t="s">
        <v>58</v>
      </c>
      <c r="C145" s="95" t="s">
        <v>5073</v>
      </c>
      <c r="D145" s="96" t="s">
        <v>43</v>
      </c>
      <c r="E145" s="96" t="s">
        <v>43</v>
      </c>
      <c r="F145" s="96" t="s">
        <v>29</v>
      </c>
      <c r="G145" s="96" t="s">
        <v>6605</v>
      </c>
      <c r="H145" s="96" t="s">
        <v>6606</v>
      </c>
      <c r="I145" s="96" t="s">
        <v>6513</v>
      </c>
      <c r="J145" s="96" t="s">
        <v>6350</v>
      </c>
      <c r="K145" s="96" t="s">
        <v>6607</v>
      </c>
      <c r="L145" s="96" t="s">
        <v>6608</v>
      </c>
      <c r="M145" s="96" t="s">
        <v>6350</v>
      </c>
      <c r="N145" s="99" t="s">
        <v>43</v>
      </c>
    </row>
    <row r="146" spans="1:14" s="100" customFormat="1" ht="208" customHeight="1">
      <c r="A146" s="95">
        <v>145</v>
      </c>
      <c r="B146" s="95" t="s">
        <v>1070</v>
      </c>
      <c r="C146" s="95" t="s">
        <v>6609</v>
      </c>
      <c r="D146" s="96" t="s">
        <v>43</v>
      </c>
      <c r="E146" s="96" t="s">
        <v>43</v>
      </c>
      <c r="F146" s="96" t="s">
        <v>29</v>
      </c>
      <c r="G146" s="96" t="s">
        <v>6610</v>
      </c>
      <c r="H146" s="96" t="s">
        <v>6611</v>
      </c>
      <c r="I146" s="96" t="s">
        <v>6612</v>
      </c>
      <c r="J146" s="96" t="s">
        <v>6350</v>
      </c>
      <c r="K146" s="96" t="s">
        <v>6613</v>
      </c>
      <c r="L146" s="96" t="s">
        <v>6614</v>
      </c>
      <c r="M146" s="96" t="s">
        <v>6615</v>
      </c>
      <c r="N146" s="99" t="s">
        <v>43</v>
      </c>
    </row>
    <row r="147" spans="1:14" s="100" customFormat="1" ht="208" customHeight="1">
      <c r="A147" s="95">
        <v>146</v>
      </c>
      <c r="B147" s="95" t="s">
        <v>13</v>
      </c>
      <c r="C147" s="95" t="s">
        <v>116</v>
      </c>
      <c r="D147" s="96" t="s">
        <v>43</v>
      </c>
      <c r="E147" s="96" t="s">
        <v>6616</v>
      </c>
      <c r="F147" s="96" t="s">
        <v>29</v>
      </c>
      <c r="G147" s="96" t="s">
        <v>6617</v>
      </c>
      <c r="H147" s="96" t="s">
        <v>6618</v>
      </c>
      <c r="I147" s="96" t="s">
        <v>5983</v>
      </c>
      <c r="J147" s="96" t="s">
        <v>6350</v>
      </c>
      <c r="K147" s="96" t="s">
        <v>6619</v>
      </c>
      <c r="L147" s="96" t="s">
        <v>6620</v>
      </c>
      <c r="M147" s="96" t="s">
        <v>43</v>
      </c>
      <c r="N147" s="99" t="s">
        <v>43</v>
      </c>
    </row>
    <row r="148" spans="1:14" s="100" customFormat="1" ht="208" customHeight="1">
      <c r="A148" s="95">
        <v>147</v>
      </c>
      <c r="B148" s="95" t="s">
        <v>58</v>
      </c>
      <c r="C148" s="95" t="s">
        <v>945</v>
      </c>
      <c r="D148" s="96" t="s">
        <v>36</v>
      </c>
      <c r="E148" s="96" t="s">
        <v>6621</v>
      </c>
      <c r="F148" s="96" t="s">
        <v>29</v>
      </c>
      <c r="G148" s="96" t="s">
        <v>6622</v>
      </c>
      <c r="H148" s="96" t="s">
        <v>6623</v>
      </c>
      <c r="I148" s="96" t="s">
        <v>368</v>
      </c>
      <c r="J148" s="96" t="s">
        <v>6350</v>
      </c>
      <c r="K148" s="96" t="s">
        <v>6624</v>
      </c>
      <c r="L148" s="96" t="s">
        <v>6625</v>
      </c>
      <c r="M148" s="96" t="s">
        <v>6626</v>
      </c>
      <c r="N148" s="99" t="s">
        <v>43</v>
      </c>
    </row>
    <row r="149" spans="1:14" s="100" customFormat="1" ht="208" customHeight="1">
      <c r="A149" s="95">
        <v>148</v>
      </c>
      <c r="B149" s="95" t="s">
        <v>283</v>
      </c>
      <c r="C149" s="95" t="s">
        <v>305</v>
      </c>
      <c r="D149" s="96" t="s">
        <v>52</v>
      </c>
      <c r="E149" s="96" t="s">
        <v>60</v>
      </c>
      <c r="F149" s="96" t="s">
        <v>29</v>
      </c>
      <c r="G149" s="96" t="s">
        <v>6627</v>
      </c>
      <c r="H149" s="96" t="s">
        <v>6628</v>
      </c>
      <c r="I149" s="96" t="s">
        <v>6627</v>
      </c>
      <c r="J149" s="96" t="s">
        <v>6629</v>
      </c>
      <c r="K149" s="96" t="s">
        <v>6630</v>
      </c>
      <c r="L149" s="96" t="s">
        <v>43</v>
      </c>
      <c r="M149" s="96" t="s">
        <v>43</v>
      </c>
      <c r="N149" s="99" t="s">
        <v>43</v>
      </c>
    </row>
    <row r="150" spans="1:14" s="100" customFormat="1" ht="208" customHeight="1">
      <c r="A150" s="95">
        <v>149</v>
      </c>
      <c r="B150" s="95" t="s">
        <v>589</v>
      </c>
      <c r="C150" s="95" t="s">
        <v>6631</v>
      </c>
      <c r="D150" s="96" t="s">
        <v>36</v>
      </c>
      <c r="E150" s="96" t="s">
        <v>60</v>
      </c>
      <c r="F150" s="96" t="s">
        <v>29</v>
      </c>
      <c r="G150" s="96" t="s">
        <v>6350</v>
      </c>
      <c r="H150" s="96" t="s">
        <v>6632</v>
      </c>
      <c r="I150" s="96" t="s">
        <v>6633</v>
      </c>
      <c r="J150" s="96" t="s">
        <v>209</v>
      </c>
      <c r="K150" s="96" t="s">
        <v>6634</v>
      </c>
      <c r="L150" s="96" t="s">
        <v>6635</v>
      </c>
      <c r="M150" s="96" t="s">
        <v>43</v>
      </c>
      <c r="N150" s="99" t="s">
        <v>43</v>
      </c>
    </row>
    <row r="151" spans="1:14" s="100" customFormat="1" ht="208" customHeight="1">
      <c r="A151" s="95">
        <v>150</v>
      </c>
      <c r="B151" s="95" t="s">
        <v>589</v>
      </c>
      <c r="C151" s="95" t="s">
        <v>390</v>
      </c>
      <c r="D151" s="96" t="s">
        <v>6636</v>
      </c>
      <c r="E151" s="96" t="s">
        <v>60</v>
      </c>
      <c r="F151" s="96" t="s">
        <v>88</v>
      </c>
      <c r="G151" s="96" t="s">
        <v>6637</v>
      </c>
      <c r="H151" s="96" t="s">
        <v>6638</v>
      </c>
      <c r="I151" s="96" t="s">
        <v>43</v>
      </c>
      <c r="J151" s="96" t="s">
        <v>6350</v>
      </c>
      <c r="K151" s="96" t="s">
        <v>6639</v>
      </c>
      <c r="L151" s="96" t="s">
        <v>6350</v>
      </c>
      <c r="M151" s="96" t="s">
        <v>6350</v>
      </c>
      <c r="N151" s="99" t="s">
        <v>43</v>
      </c>
    </row>
    <row r="152" spans="1:14" s="100" customFormat="1" ht="208" customHeight="1">
      <c r="A152" s="95">
        <v>151</v>
      </c>
      <c r="B152" s="95" t="s">
        <v>589</v>
      </c>
      <c r="C152" s="95" t="s">
        <v>59</v>
      </c>
      <c r="D152" s="96" t="s">
        <v>43</v>
      </c>
      <c r="E152" s="96" t="s">
        <v>590</v>
      </c>
      <c r="F152" s="96" t="s">
        <v>29</v>
      </c>
      <c r="G152" s="96" t="s">
        <v>6640</v>
      </c>
      <c r="H152" s="96" t="s">
        <v>6641</v>
      </c>
      <c r="I152" s="96" t="s">
        <v>5975</v>
      </c>
      <c r="J152" s="96" t="s">
        <v>6642</v>
      </c>
      <c r="K152" s="96" t="s">
        <v>6643</v>
      </c>
      <c r="L152" s="96" t="s">
        <v>6350</v>
      </c>
      <c r="M152" s="96" t="s">
        <v>6350</v>
      </c>
      <c r="N152" s="99" t="s">
        <v>43</v>
      </c>
    </row>
    <row r="153" spans="1:14" s="100" customFormat="1" ht="208" customHeight="1">
      <c r="A153" s="95">
        <v>152</v>
      </c>
      <c r="B153" s="95" t="s">
        <v>589</v>
      </c>
      <c r="C153" s="95" t="s">
        <v>191</v>
      </c>
      <c r="D153" s="96" t="s">
        <v>6644</v>
      </c>
      <c r="E153" s="96" t="s">
        <v>3233</v>
      </c>
      <c r="F153" s="96" t="s">
        <v>88</v>
      </c>
      <c r="G153" s="96" t="s">
        <v>43</v>
      </c>
      <c r="H153" s="96" t="s">
        <v>6645</v>
      </c>
      <c r="I153" s="96" t="s">
        <v>6646</v>
      </c>
      <c r="J153" s="96" t="s">
        <v>6350</v>
      </c>
      <c r="K153" s="96" t="s">
        <v>6639</v>
      </c>
      <c r="L153" s="96" t="s">
        <v>6350</v>
      </c>
      <c r="M153" s="96" t="s">
        <v>6350</v>
      </c>
      <c r="N153" s="99" t="s">
        <v>43</v>
      </c>
    </row>
    <row r="154" spans="1:14" s="100" customFormat="1" ht="208" customHeight="1">
      <c r="A154" s="95">
        <v>153</v>
      </c>
      <c r="B154" s="95" t="s">
        <v>58</v>
      </c>
      <c r="C154" s="95" t="s">
        <v>6647</v>
      </c>
      <c r="D154" s="96" t="s">
        <v>43</v>
      </c>
      <c r="E154" s="96" t="s">
        <v>6648</v>
      </c>
      <c r="F154" s="96" t="s">
        <v>29</v>
      </c>
      <c r="G154" s="96" t="s">
        <v>6649</v>
      </c>
      <c r="H154" s="96" t="s">
        <v>6650</v>
      </c>
      <c r="I154" s="96" t="s">
        <v>368</v>
      </c>
      <c r="J154" s="96" t="s">
        <v>6651</v>
      </c>
      <c r="K154" s="96" t="s">
        <v>6652</v>
      </c>
      <c r="L154" s="96" t="s">
        <v>6653</v>
      </c>
      <c r="M154" s="96" t="s">
        <v>43</v>
      </c>
      <c r="N154" s="99" t="s">
        <v>43</v>
      </c>
    </row>
    <row r="155" spans="1:14" s="100" customFormat="1" ht="208" customHeight="1">
      <c r="A155" s="95">
        <v>154</v>
      </c>
      <c r="B155" s="95" t="s">
        <v>589</v>
      </c>
      <c r="C155" s="95" t="s">
        <v>6654</v>
      </c>
      <c r="D155" s="96" t="s">
        <v>43</v>
      </c>
      <c r="E155" s="96" t="s">
        <v>43</v>
      </c>
      <c r="F155" s="96" t="s">
        <v>29</v>
      </c>
      <c r="G155" s="96" t="s">
        <v>43</v>
      </c>
      <c r="H155" s="96" t="s">
        <v>6655</v>
      </c>
      <c r="I155" s="96" t="s">
        <v>62</v>
      </c>
      <c r="J155" s="96" t="s">
        <v>125</v>
      </c>
      <c r="K155" s="96" t="s">
        <v>6656</v>
      </c>
      <c r="L155" s="96" t="s">
        <v>6657</v>
      </c>
      <c r="M155" s="96" t="s">
        <v>43</v>
      </c>
      <c r="N155" s="99" t="s">
        <v>43</v>
      </c>
    </row>
    <row r="156" spans="1:14" s="100" customFormat="1" ht="208" customHeight="1">
      <c r="A156" s="95">
        <v>155</v>
      </c>
      <c r="B156" s="95" t="s">
        <v>13</v>
      </c>
      <c r="C156" s="95" t="s">
        <v>59</v>
      </c>
      <c r="D156" s="96" t="s">
        <v>6658</v>
      </c>
      <c r="E156" s="96" t="s">
        <v>6659</v>
      </c>
      <c r="F156" s="96" t="s">
        <v>29</v>
      </c>
      <c r="G156" s="96" t="s">
        <v>6660</v>
      </c>
      <c r="H156" s="96" t="s">
        <v>6661</v>
      </c>
      <c r="I156" s="96" t="s">
        <v>5983</v>
      </c>
      <c r="J156" s="96" t="s">
        <v>43</v>
      </c>
      <c r="K156" s="96" t="s">
        <v>6662</v>
      </c>
      <c r="L156" s="96" t="s">
        <v>6663</v>
      </c>
      <c r="M156" s="96" t="s">
        <v>43</v>
      </c>
      <c r="N156" s="99" t="s">
        <v>43</v>
      </c>
    </row>
    <row r="157" spans="1:14" s="100" customFormat="1" ht="208" customHeight="1">
      <c r="A157" s="95">
        <v>156</v>
      </c>
      <c r="B157" s="95" t="s">
        <v>6664</v>
      </c>
      <c r="C157" s="95" t="s">
        <v>27</v>
      </c>
      <c r="D157" s="96" t="s">
        <v>43</v>
      </c>
      <c r="E157" s="96" t="s">
        <v>43</v>
      </c>
      <c r="F157" s="96" t="s">
        <v>29</v>
      </c>
      <c r="G157" s="96" t="s">
        <v>6665</v>
      </c>
      <c r="H157" s="96" t="s">
        <v>6666</v>
      </c>
      <c r="I157" s="96" t="s">
        <v>6667</v>
      </c>
      <c r="J157" s="96" t="s">
        <v>6668</v>
      </c>
      <c r="K157" s="96" t="s">
        <v>6669</v>
      </c>
      <c r="L157" s="96" t="s">
        <v>6670</v>
      </c>
      <c r="M157" s="96" t="s">
        <v>6671</v>
      </c>
      <c r="N157" s="99" t="s">
        <v>43</v>
      </c>
    </row>
    <row r="158" spans="1:14" s="100" customFormat="1" ht="208" customHeight="1">
      <c r="A158" s="95">
        <v>157</v>
      </c>
      <c r="B158" s="95" t="s">
        <v>760</v>
      </c>
      <c r="C158" s="95" t="s">
        <v>1622</v>
      </c>
      <c r="D158" s="96" t="s">
        <v>43</v>
      </c>
      <c r="E158" s="96" t="s">
        <v>43</v>
      </c>
      <c r="F158" s="96" t="s">
        <v>88</v>
      </c>
      <c r="G158" s="96" t="s">
        <v>6672</v>
      </c>
      <c r="H158" s="96" t="s">
        <v>6673</v>
      </c>
      <c r="I158" s="96" t="s">
        <v>6674</v>
      </c>
      <c r="J158" s="96" t="s">
        <v>32</v>
      </c>
      <c r="K158" s="96" t="s">
        <v>6675</v>
      </c>
      <c r="L158" s="96" t="s">
        <v>43</v>
      </c>
      <c r="M158" s="96" t="s">
        <v>6676</v>
      </c>
      <c r="N158" s="99" t="s">
        <v>43</v>
      </c>
    </row>
    <row r="159" spans="1:14" s="100" customFormat="1" ht="208" customHeight="1">
      <c r="A159" s="95">
        <v>158</v>
      </c>
      <c r="B159" s="95" t="s">
        <v>589</v>
      </c>
      <c r="C159" s="95" t="s">
        <v>1633</v>
      </c>
      <c r="D159" s="96" t="s">
        <v>6677</v>
      </c>
      <c r="E159" s="96" t="s">
        <v>6678</v>
      </c>
      <c r="F159" s="96" t="s">
        <v>29</v>
      </c>
      <c r="G159" s="96" t="s">
        <v>43</v>
      </c>
      <c r="H159" s="96" t="s">
        <v>6679</v>
      </c>
      <c r="I159" s="96" t="s">
        <v>5975</v>
      </c>
      <c r="J159" s="96" t="s">
        <v>139</v>
      </c>
      <c r="K159" s="96" t="s">
        <v>6680</v>
      </c>
      <c r="L159" s="96" t="s">
        <v>6681</v>
      </c>
      <c r="M159" s="96" t="s">
        <v>43</v>
      </c>
      <c r="N159" s="99" t="s">
        <v>43</v>
      </c>
    </row>
    <row r="160" spans="1:14" s="100" customFormat="1" ht="208" customHeight="1">
      <c r="A160" s="95">
        <v>159</v>
      </c>
      <c r="B160" s="95" t="s">
        <v>371</v>
      </c>
      <c r="C160" s="95" t="s">
        <v>1520</v>
      </c>
      <c r="D160" s="96" t="s">
        <v>6682</v>
      </c>
      <c r="E160" s="96" t="s">
        <v>6462</v>
      </c>
      <c r="F160" s="96" t="s">
        <v>29</v>
      </c>
      <c r="G160" s="96" t="s">
        <v>6683</v>
      </c>
      <c r="H160" s="96" t="s">
        <v>6684</v>
      </c>
      <c r="I160" s="96" t="s">
        <v>6685</v>
      </c>
      <c r="J160" s="96" t="s">
        <v>43</v>
      </c>
      <c r="K160" s="96" t="s">
        <v>6686</v>
      </c>
      <c r="L160" s="96" t="s">
        <v>6687</v>
      </c>
      <c r="M160" s="96" t="s">
        <v>6467</v>
      </c>
      <c r="N160" s="99" t="s">
        <v>43</v>
      </c>
    </row>
    <row r="161" spans="1:14" s="100" customFormat="1" ht="208" customHeight="1">
      <c r="A161" s="95">
        <v>160</v>
      </c>
      <c r="B161" s="95" t="s">
        <v>6688</v>
      </c>
      <c r="C161" s="95" t="s">
        <v>74</v>
      </c>
      <c r="D161" s="96" t="s">
        <v>6689</v>
      </c>
      <c r="E161" s="96" t="s">
        <v>6690</v>
      </c>
      <c r="F161" s="96" t="s">
        <v>29</v>
      </c>
      <c r="G161" s="96" t="s">
        <v>6691</v>
      </c>
      <c r="H161" s="96" t="s">
        <v>6692</v>
      </c>
      <c r="I161" s="96" t="s">
        <v>6693</v>
      </c>
      <c r="J161" s="96" t="s">
        <v>1164</v>
      </c>
      <c r="K161" s="96" t="s">
        <v>6694</v>
      </c>
      <c r="L161" s="96" t="s">
        <v>6695</v>
      </c>
      <c r="M161" s="96" t="s">
        <v>6696</v>
      </c>
      <c r="N161" s="99" t="s">
        <v>43</v>
      </c>
    </row>
    <row r="162" spans="1:14" s="100" customFormat="1" ht="208" customHeight="1">
      <c r="A162" s="95">
        <v>161</v>
      </c>
      <c r="B162" s="95" t="s">
        <v>589</v>
      </c>
      <c r="C162" s="95" t="s">
        <v>6697</v>
      </c>
      <c r="D162" s="96" t="s">
        <v>43</v>
      </c>
      <c r="E162" s="96" t="s">
        <v>43</v>
      </c>
      <c r="F162" s="96" t="s">
        <v>29</v>
      </c>
      <c r="G162" s="96" t="s">
        <v>43</v>
      </c>
      <c r="H162" s="96" t="s">
        <v>6698</v>
      </c>
      <c r="I162" s="96" t="s">
        <v>368</v>
      </c>
      <c r="J162" s="96" t="s">
        <v>56</v>
      </c>
      <c r="K162" s="96" t="s">
        <v>6699</v>
      </c>
      <c r="L162" s="96" t="s">
        <v>6700</v>
      </c>
      <c r="M162" s="96" t="s">
        <v>43</v>
      </c>
      <c r="N162" s="99" t="s">
        <v>43</v>
      </c>
    </row>
    <row r="163" spans="1:14" s="100" customFormat="1" ht="208" customHeight="1">
      <c r="A163" s="95">
        <v>162</v>
      </c>
      <c r="B163" s="95" t="s">
        <v>455</v>
      </c>
      <c r="C163" s="95" t="s">
        <v>6701</v>
      </c>
      <c r="D163" s="96" t="s">
        <v>6702</v>
      </c>
      <c r="E163" s="96" t="s">
        <v>6703</v>
      </c>
      <c r="F163" s="96" t="s">
        <v>29</v>
      </c>
      <c r="G163" s="96" t="s">
        <v>6704</v>
      </c>
      <c r="H163" s="96" t="s">
        <v>6705</v>
      </c>
      <c r="I163" s="96" t="s">
        <v>6706</v>
      </c>
      <c r="J163" s="96" t="s">
        <v>161</v>
      </c>
      <c r="K163" s="96" t="s">
        <v>6707</v>
      </c>
      <c r="L163" s="96" t="s">
        <v>6708</v>
      </c>
      <c r="M163" s="96" t="s">
        <v>6709</v>
      </c>
      <c r="N163" s="99" t="s">
        <v>43</v>
      </c>
    </row>
    <row r="164" spans="1:14" s="100" customFormat="1" ht="208" customHeight="1">
      <c r="A164" s="95">
        <v>163</v>
      </c>
      <c r="B164" s="95" t="s">
        <v>50</v>
      </c>
      <c r="C164" s="95" t="s">
        <v>478</v>
      </c>
      <c r="D164" s="96" t="s">
        <v>6710</v>
      </c>
      <c r="E164" s="96" t="s">
        <v>6711</v>
      </c>
      <c r="F164" s="96" t="s">
        <v>29</v>
      </c>
      <c r="G164" s="96" t="s">
        <v>6712</v>
      </c>
      <c r="H164" s="96" t="s">
        <v>6713</v>
      </c>
      <c r="I164" s="96" t="s">
        <v>6714</v>
      </c>
      <c r="J164" s="96" t="s">
        <v>43</v>
      </c>
      <c r="K164" s="96" t="s">
        <v>6715</v>
      </c>
      <c r="L164" s="96" t="s">
        <v>6716</v>
      </c>
      <c r="M164" s="96" t="s">
        <v>6717</v>
      </c>
      <c r="N164" s="99" t="s">
        <v>43</v>
      </c>
    </row>
    <row r="165" spans="1:14" s="100" customFormat="1" ht="208" customHeight="1">
      <c r="A165" s="95">
        <v>164</v>
      </c>
      <c r="B165" s="95" t="s">
        <v>333</v>
      </c>
      <c r="C165" s="95" t="s">
        <v>295</v>
      </c>
      <c r="D165" s="96" t="s">
        <v>6718</v>
      </c>
      <c r="E165" s="96" t="s">
        <v>6719</v>
      </c>
      <c r="F165" s="96" t="s">
        <v>29</v>
      </c>
      <c r="G165" s="96" t="s">
        <v>6720</v>
      </c>
      <c r="H165" s="96" t="s">
        <v>6721</v>
      </c>
      <c r="I165" s="96" t="s">
        <v>3082</v>
      </c>
      <c r="J165" s="96" t="s">
        <v>6722</v>
      </c>
      <c r="K165" s="96" t="s">
        <v>6723</v>
      </c>
      <c r="L165" s="96" t="s">
        <v>6724</v>
      </c>
      <c r="M165" s="96" t="s">
        <v>6725</v>
      </c>
      <c r="N165" s="99" t="s">
        <v>43</v>
      </c>
    </row>
    <row r="166" spans="1:14" s="100" customFormat="1" ht="208" customHeight="1">
      <c r="A166" s="95">
        <v>165</v>
      </c>
      <c r="B166" s="95" t="s">
        <v>50</v>
      </c>
      <c r="C166" s="95" t="s">
        <v>824</v>
      </c>
      <c r="D166" s="96" t="s">
        <v>6726</v>
      </c>
      <c r="E166" s="96" t="s">
        <v>3214</v>
      </c>
      <c r="F166" s="96" t="s">
        <v>29</v>
      </c>
      <c r="G166" s="96" t="s">
        <v>6727</v>
      </c>
      <c r="H166" s="96" t="s">
        <v>6728</v>
      </c>
      <c r="I166" s="96" t="s">
        <v>6729</v>
      </c>
      <c r="J166" s="96" t="s">
        <v>6730</v>
      </c>
      <c r="K166" s="96" t="s">
        <v>6731</v>
      </c>
      <c r="L166" s="96" t="s">
        <v>43</v>
      </c>
      <c r="M166" s="96" t="s">
        <v>43</v>
      </c>
      <c r="N166" s="99" t="s">
        <v>43</v>
      </c>
    </row>
    <row r="167" spans="1:14" s="100" customFormat="1" ht="208" customHeight="1">
      <c r="A167" s="95">
        <v>166</v>
      </c>
      <c r="B167" s="95" t="s">
        <v>789</v>
      </c>
      <c r="C167" s="95" t="s">
        <v>6732</v>
      </c>
      <c r="D167" s="96" t="s">
        <v>43</v>
      </c>
      <c r="E167" s="96" t="s">
        <v>43</v>
      </c>
      <c r="F167" s="96" t="s">
        <v>29</v>
      </c>
      <c r="G167" s="96" t="s">
        <v>6733</v>
      </c>
      <c r="H167" s="96" t="s">
        <v>6734</v>
      </c>
      <c r="I167" s="96" t="s">
        <v>6013</v>
      </c>
      <c r="J167" s="96" t="s">
        <v>6735</v>
      </c>
      <c r="K167" s="96" t="s">
        <v>43</v>
      </c>
      <c r="L167" s="96" t="s">
        <v>6736</v>
      </c>
      <c r="M167" s="96" t="s">
        <v>43</v>
      </c>
      <c r="N167" s="99" t="s">
        <v>43</v>
      </c>
    </row>
    <row r="168" spans="1:14" s="100" customFormat="1" ht="208" customHeight="1">
      <c r="A168" s="95">
        <v>167</v>
      </c>
      <c r="B168" s="95" t="s">
        <v>287</v>
      </c>
      <c r="C168" s="95" t="s">
        <v>59</v>
      </c>
      <c r="D168" s="96" t="s">
        <v>43</v>
      </c>
      <c r="E168" s="96" t="s">
        <v>6737</v>
      </c>
      <c r="F168" s="96" t="s">
        <v>29</v>
      </c>
      <c r="G168" s="96" t="s">
        <v>6738</v>
      </c>
      <c r="H168" s="96" t="s">
        <v>6739</v>
      </c>
      <c r="I168" s="96" t="s">
        <v>6740</v>
      </c>
      <c r="J168" s="96" t="s">
        <v>43</v>
      </c>
      <c r="K168" s="96" t="s">
        <v>6741</v>
      </c>
      <c r="L168" s="96" t="s">
        <v>43</v>
      </c>
      <c r="M168" s="96" t="s">
        <v>6742</v>
      </c>
      <c r="N168" s="99" t="s">
        <v>43</v>
      </c>
    </row>
    <row r="169" spans="1:14" s="100" customFormat="1" ht="208" customHeight="1">
      <c r="A169" s="95">
        <v>168</v>
      </c>
      <c r="B169" s="95" t="s">
        <v>1189</v>
      </c>
      <c r="C169" s="95" t="s">
        <v>1338</v>
      </c>
      <c r="D169" s="96" t="s">
        <v>6504</v>
      </c>
      <c r="E169" s="96" t="s">
        <v>1340</v>
      </c>
      <c r="F169" s="96" t="s">
        <v>29</v>
      </c>
      <c r="G169" s="96" t="s">
        <v>6743</v>
      </c>
      <c r="H169" s="96" t="s">
        <v>6744</v>
      </c>
      <c r="I169" s="96" t="s">
        <v>6745</v>
      </c>
      <c r="J169" s="96" t="s">
        <v>323</v>
      </c>
      <c r="K169" s="96" t="s">
        <v>6746</v>
      </c>
      <c r="L169" s="96" t="s">
        <v>6747</v>
      </c>
      <c r="M169" s="96" t="s">
        <v>6748</v>
      </c>
      <c r="N169" s="99" t="s">
        <v>43</v>
      </c>
    </row>
    <row r="170" spans="1:14" s="100" customFormat="1" ht="208" customHeight="1">
      <c r="A170" s="95">
        <v>169</v>
      </c>
      <c r="B170" s="95" t="s">
        <v>530</v>
      </c>
      <c r="C170" s="95" t="s">
        <v>1139</v>
      </c>
      <c r="D170" s="96" t="s">
        <v>43</v>
      </c>
      <c r="E170" s="96" t="s">
        <v>43</v>
      </c>
      <c r="F170" s="96" t="s">
        <v>29</v>
      </c>
      <c r="G170" s="96" t="s">
        <v>6749</v>
      </c>
      <c r="H170" s="96" t="s">
        <v>6750</v>
      </c>
      <c r="I170" s="96" t="s">
        <v>6751</v>
      </c>
      <c r="J170" s="96" t="s">
        <v>756</v>
      </c>
      <c r="K170" s="96" t="s">
        <v>6752</v>
      </c>
      <c r="L170" s="96" t="s">
        <v>6478</v>
      </c>
      <c r="M170" s="96" t="s">
        <v>6753</v>
      </c>
      <c r="N170" s="99" t="s">
        <v>43</v>
      </c>
    </row>
    <row r="171" spans="1:14" s="100" customFormat="1" ht="208" customHeight="1">
      <c r="A171" s="95">
        <v>170</v>
      </c>
      <c r="B171" s="95" t="s">
        <v>1351</v>
      </c>
      <c r="C171" s="95" t="s">
        <v>6754</v>
      </c>
      <c r="D171" s="96" t="s">
        <v>6755</v>
      </c>
      <c r="E171" s="96" t="s">
        <v>6756</v>
      </c>
      <c r="F171" s="96" t="s">
        <v>88</v>
      </c>
      <c r="G171" s="96" t="s">
        <v>6757</v>
      </c>
      <c r="H171" s="96" t="s">
        <v>6758</v>
      </c>
      <c r="I171" s="96" t="s">
        <v>6013</v>
      </c>
      <c r="J171" s="96" t="s">
        <v>43</v>
      </c>
      <c r="K171" s="96" t="s">
        <v>6759</v>
      </c>
      <c r="L171" s="96" t="s">
        <v>43</v>
      </c>
      <c r="M171" s="96" t="s">
        <v>6760</v>
      </c>
      <c r="N171" s="99" t="s">
        <v>43</v>
      </c>
    </row>
    <row r="172" spans="1:14" s="100" customFormat="1" ht="208" customHeight="1">
      <c r="A172" s="103">
        <v>171</v>
      </c>
      <c r="B172" s="103" t="s">
        <v>13</v>
      </c>
      <c r="C172" s="103" t="s">
        <v>1237</v>
      </c>
      <c r="D172" s="96" t="s">
        <v>6761</v>
      </c>
      <c r="E172" s="96" t="s">
        <v>6659</v>
      </c>
      <c r="F172" s="96" t="s">
        <v>29</v>
      </c>
      <c r="G172" s="96" t="s">
        <v>6762</v>
      </c>
      <c r="H172" s="96" t="s">
        <v>6763</v>
      </c>
      <c r="I172" s="96" t="s">
        <v>6764</v>
      </c>
      <c r="J172" s="96" t="s">
        <v>43</v>
      </c>
      <c r="K172" s="97" t="s">
        <v>6765</v>
      </c>
      <c r="L172" s="96" t="s">
        <v>43</v>
      </c>
      <c r="M172" s="96" t="s">
        <v>43</v>
      </c>
      <c r="N172" s="101" t="s">
        <v>6766</v>
      </c>
    </row>
    <row r="173" spans="1:14" s="100" customFormat="1" ht="208" customHeight="1">
      <c r="A173" s="103">
        <v>172</v>
      </c>
      <c r="B173" s="103" t="s">
        <v>6767</v>
      </c>
      <c r="C173" s="103" t="s">
        <v>1274</v>
      </c>
      <c r="D173" s="96" t="s">
        <v>6768</v>
      </c>
      <c r="E173" s="96" t="s">
        <v>1276</v>
      </c>
      <c r="F173" s="96" t="s">
        <v>29</v>
      </c>
      <c r="G173" s="97" t="s">
        <v>6769</v>
      </c>
      <c r="H173" s="96" t="s">
        <v>6770</v>
      </c>
      <c r="I173" s="97" t="s">
        <v>6771</v>
      </c>
      <c r="J173" s="96" t="s">
        <v>625</v>
      </c>
      <c r="K173" s="97" t="s">
        <v>6772</v>
      </c>
      <c r="L173" s="96" t="s">
        <v>43</v>
      </c>
      <c r="M173" s="96" t="s">
        <v>6773</v>
      </c>
      <c r="N173" s="101" t="s">
        <v>6774</v>
      </c>
    </row>
    <row r="174" spans="1:14" s="100" customFormat="1" ht="208" customHeight="1">
      <c r="A174" s="103">
        <v>173</v>
      </c>
      <c r="B174" s="103" t="s">
        <v>455</v>
      </c>
      <c r="C174" s="103" t="s">
        <v>686</v>
      </c>
      <c r="D174" s="96" t="s">
        <v>6775</v>
      </c>
      <c r="E174" s="96" t="s">
        <v>5155</v>
      </c>
      <c r="F174" s="96" t="s">
        <v>43</v>
      </c>
      <c r="G174" s="96" t="s">
        <v>43</v>
      </c>
      <c r="H174" s="96" t="s">
        <v>6776</v>
      </c>
      <c r="I174" s="97" t="s">
        <v>6777</v>
      </c>
      <c r="J174" s="96" t="s">
        <v>1164</v>
      </c>
      <c r="K174" s="97" t="s">
        <v>6778</v>
      </c>
      <c r="L174" s="96" t="s">
        <v>5159</v>
      </c>
      <c r="M174" s="96" t="s">
        <v>43</v>
      </c>
      <c r="N174" s="101" t="s">
        <v>6779</v>
      </c>
    </row>
    <row r="175" spans="1:14" s="100" customFormat="1" ht="208" customHeight="1">
      <c r="A175" s="103">
        <v>174</v>
      </c>
      <c r="B175" s="103" t="s">
        <v>455</v>
      </c>
      <c r="C175" s="103" t="s">
        <v>1662</v>
      </c>
      <c r="D175" s="97" t="s">
        <v>6780</v>
      </c>
      <c r="E175" s="96" t="s">
        <v>6781</v>
      </c>
      <c r="F175" s="96" t="s">
        <v>29</v>
      </c>
      <c r="G175" s="96" t="s">
        <v>6782</v>
      </c>
      <c r="H175" s="96" t="s">
        <v>6783</v>
      </c>
      <c r="I175" s="96" t="s">
        <v>6784</v>
      </c>
      <c r="J175" s="96">
        <v>100</v>
      </c>
      <c r="K175" s="97" t="s">
        <v>6785</v>
      </c>
      <c r="L175" s="96" t="s">
        <v>43</v>
      </c>
      <c r="M175" s="96" t="s">
        <v>6786</v>
      </c>
      <c r="N175" s="101" t="s">
        <v>6787</v>
      </c>
    </row>
    <row r="176" spans="1:14" s="100" customFormat="1" ht="208" customHeight="1">
      <c r="A176" s="103">
        <v>175</v>
      </c>
      <c r="B176" s="103" t="s">
        <v>455</v>
      </c>
      <c r="C176" s="103" t="s">
        <v>295</v>
      </c>
      <c r="D176" s="97" t="s">
        <v>6788</v>
      </c>
      <c r="E176" s="96" t="s">
        <v>2621</v>
      </c>
      <c r="F176" s="96" t="s">
        <v>6789</v>
      </c>
      <c r="G176" s="97" t="s">
        <v>6790</v>
      </c>
      <c r="H176" s="96" t="s">
        <v>6791</v>
      </c>
      <c r="I176" s="96" t="s">
        <v>6792</v>
      </c>
      <c r="J176" s="96" t="s">
        <v>928</v>
      </c>
      <c r="K176" s="97" t="s">
        <v>6793</v>
      </c>
      <c r="L176" s="96" t="s">
        <v>6794</v>
      </c>
      <c r="M176" s="97" t="s">
        <v>6795</v>
      </c>
      <c r="N176" s="101" t="s">
        <v>6796</v>
      </c>
    </row>
    <row r="177" spans="1:14" s="100" customFormat="1" ht="208" customHeight="1">
      <c r="A177" s="103">
        <v>176</v>
      </c>
      <c r="B177" s="103" t="s">
        <v>1138</v>
      </c>
      <c r="C177" s="103" t="s">
        <v>1139</v>
      </c>
      <c r="D177" s="96" t="s">
        <v>5377</v>
      </c>
      <c r="E177" s="96" t="s">
        <v>6797</v>
      </c>
      <c r="F177" s="96" t="s">
        <v>29</v>
      </c>
      <c r="G177" s="97" t="s">
        <v>6798</v>
      </c>
      <c r="H177" s="96" t="s">
        <v>6799</v>
      </c>
      <c r="I177" s="96" t="s">
        <v>6800</v>
      </c>
      <c r="J177" s="96" t="s">
        <v>625</v>
      </c>
      <c r="K177" s="97" t="s">
        <v>6801</v>
      </c>
      <c r="L177" s="96" t="s">
        <v>5383</v>
      </c>
      <c r="M177" s="97" t="s">
        <v>6802</v>
      </c>
      <c r="N177" s="101" t="s">
        <v>6803</v>
      </c>
    </row>
    <row r="178" spans="1:14" s="100" customFormat="1" ht="208" customHeight="1">
      <c r="A178" s="103">
        <v>177</v>
      </c>
      <c r="B178" s="103" t="s">
        <v>1351</v>
      </c>
      <c r="C178" s="103" t="s">
        <v>207</v>
      </c>
      <c r="D178" s="96" t="s">
        <v>6804</v>
      </c>
      <c r="E178" s="96" t="s">
        <v>6805</v>
      </c>
      <c r="F178" s="96" t="s">
        <v>29</v>
      </c>
      <c r="G178" s="96" t="s">
        <v>6806</v>
      </c>
      <c r="H178" s="96" t="s">
        <v>6807</v>
      </c>
      <c r="I178" s="96" t="s">
        <v>138</v>
      </c>
      <c r="J178" s="96" t="s">
        <v>6808</v>
      </c>
      <c r="K178" s="97" t="s">
        <v>6809</v>
      </c>
      <c r="L178" s="96" t="s">
        <v>6810</v>
      </c>
      <c r="M178" s="96" t="s">
        <v>43</v>
      </c>
      <c r="N178" s="101" t="s">
        <v>6811</v>
      </c>
    </row>
    <row r="179" spans="1:14" s="100" customFormat="1" ht="208" customHeight="1">
      <c r="A179" s="103">
        <v>178</v>
      </c>
      <c r="B179" s="103" t="s">
        <v>13</v>
      </c>
      <c r="C179" s="103" t="s">
        <v>824</v>
      </c>
      <c r="D179" s="96" t="s">
        <v>43</v>
      </c>
      <c r="E179" s="96" t="s">
        <v>6812</v>
      </c>
      <c r="F179" s="96" t="s">
        <v>29</v>
      </c>
      <c r="G179" s="96" t="s">
        <v>6813</v>
      </c>
      <c r="H179" s="96" t="s">
        <v>6814</v>
      </c>
      <c r="I179" s="96" t="s">
        <v>368</v>
      </c>
      <c r="J179" s="96" t="s">
        <v>43</v>
      </c>
      <c r="K179" s="97" t="s">
        <v>6815</v>
      </c>
      <c r="L179" s="96" t="s">
        <v>43</v>
      </c>
      <c r="M179" s="96" t="s">
        <v>43</v>
      </c>
      <c r="N179" s="99" t="s">
        <v>6816</v>
      </c>
    </row>
    <row r="180" spans="1:14" s="100" customFormat="1" ht="208" customHeight="1">
      <c r="A180" s="103">
        <v>179</v>
      </c>
      <c r="B180" s="103" t="s">
        <v>6526</v>
      </c>
      <c r="C180" s="103" t="s">
        <v>6817</v>
      </c>
      <c r="D180" s="97" t="s">
        <v>6818</v>
      </c>
      <c r="E180" s="96" t="s">
        <v>60</v>
      </c>
      <c r="F180" s="96" t="s">
        <v>6819</v>
      </c>
      <c r="G180" s="96" t="s">
        <v>6820</v>
      </c>
      <c r="H180" s="96" t="s">
        <v>6821</v>
      </c>
      <c r="I180" s="104">
        <v>45476</v>
      </c>
      <c r="J180" s="96" t="s">
        <v>43</v>
      </c>
      <c r="K180" s="97" t="s">
        <v>6822</v>
      </c>
      <c r="L180" s="96" t="s">
        <v>6823</v>
      </c>
      <c r="M180" s="96" t="s">
        <v>43</v>
      </c>
      <c r="N180" s="101" t="s">
        <v>6824</v>
      </c>
    </row>
    <row r="181" spans="1:14" s="100" customFormat="1" ht="208" customHeight="1">
      <c r="A181" s="103">
        <v>180</v>
      </c>
      <c r="B181" s="103" t="s">
        <v>954</v>
      </c>
      <c r="C181" s="103" t="s">
        <v>74</v>
      </c>
      <c r="D181" s="96" t="s">
        <v>6825</v>
      </c>
      <c r="E181" s="96" t="s">
        <v>6826</v>
      </c>
      <c r="F181" s="96" t="s">
        <v>6827</v>
      </c>
      <c r="G181" s="97" t="s">
        <v>6828</v>
      </c>
      <c r="H181" s="96" t="s">
        <v>6829</v>
      </c>
      <c r="I181" s="96" t="s">
        <v>6830</v>
      </c>
      <c r="J181" s="96" t="s">
        <v>43</v>
      </c>
      <c r="K181" s="97" t="s">
        <v>6831</v>
      </c>
      <c r="L181" s="96" t="s">
        <v>6832</v>
      </c>
      <c r="M181" s="96" t="s">
        <v>43</v>
      </c>
      <c r="N181" s="101" t="s">
        <v>6833</v>
      </c>
    </row>
    <row r="182" spans="1:14" s="100" customFormat="1" ht="208" customHeight="1">
      <c r="A182" s="103">
        <v>181</v>
      </c>
      <c r="B182" s="103" t="s">
        <v>760</v>
      </c>
      <c r="C182" s="103" t="s">
        <v>191</v>
      </c>
      <c r="D182" s="96" t="s">
        <v>6834</v>
      </c>
      <c r="E182" s="96" t="s">
        <v>6835</v>
      </c>
      <c r="F182" s="96" t="s">
        <v>29</v>
      </c>
      <c r="G182" s="96" t="s">
        <v>6836</v>
      </c>
      <c r="H182" s="96" t="s">
        <v>6837</v>
      </c>
      <c r="I182" s="96" t="s">
        <v>6838</v>
      </c>
      <c r="J182" s="96" t="s">
        <v>6839</v>
      </c>
      <c r="K182" s="97" t="s">
        <v>6840</v>
      </c>
      <c r="L182" s="96" t="s">
        <v>6841</v>
      </c>
      <c r="M182" s="96" t="s">
        <v>6842</v>
      </c>
      <c r="N182" s="101" t="s">
        <v>6843</v>
      </c>
    </row>
    <row r="183" spans="1:14" s="100" customFormat="1" ht="208" customHeight="1">
      <c r="A183" s="103">
        <v>182</v>
      </c>
      <c r="B183" s="103" t="s">
        <v>677</v>
      </c>
      <c r="C183" s="107" t="s">
        <v>6844</v>
      </c>
      <c r="D183" s="96" t="s">
        <v>6845</v>
      </c>
      <c r="E183" s="97" t="s">
        <v>6846</v>
      </c>
      <c r="F183" s="96" t="s">
        <v>29</v>
      </c>
      <c r="G183" s="96" t="s">
        <v>6847</v>
      </c>
      <c r="H183" s="96" t="s">
        <v>6848</v>
      </c>
      <c r="I183" s="96" t="s">
        <v>6849</v>
      </c>
      <c r="J183" s="96" t="s">
        <v>402</v>
      </c>
      <c r="K183" s="97" t="s">
        <v>6850</v>
      </c>
      <c r="L183" s="96" t="s">
        <v>6851</v>
      </c>
      <c r="M183" s="97" t="s">
        <v>6852</v>
      </c>
      <c r="N183" s="101" t="s">
        <v>6853</v>
      </c>
    </row>
    <row r="184" spans="1:14" s="100" customFormat="1" ht="208" customHeight="1">
      <c r="A184" s="103">
        <v>183</v>
      </c>
      <c r="B184" s="103" t="s">
        <v>333</v>
      </c>
      <c r="C184" s="103" t="s">
        <v>1628</v>
      </c>
      <c r="D184" s="96" t="s">
        <v>6854</v>
      </c>
      <c r="E184" s="96" t="s">
        <v>1437</v>
      </c>
      <c r="F184" s="96" t="s">
        <v>29</v>
      </c>
      <c r="G184" s="96" t="s">
        <v>43</v>
      </c>
      <c r="H184" s="96" t="s">
        <v>3827</v>
      </c>
      <c r="I184" s="96" t="s">
        <v>257</v>
      </c>
      <c r="J184" s="96" t="s">
        <v>43</v>
      </c>
      <c r="K184" s="97" t="s">
        <v>6855</v>
      </c>
      <c r="L184" s="96" t="s">
        <v>43</v>
      </c>
      <c r="M184" s="96" t="s">
        <v>43</v>
      </c>
      <c r="N184" s="99" t="s">
        <v>43</v>
      </c>
    </row>
    <row r="185" spans="1:14" s="100" customFormat="1" ht="208" customHeight="1">
      <c r="A185" s="103">
        <v>184</v>
      </c>
      <c r="B185" s="103" t="s">
        <v>6526</v>
      </c>
      <c r="C185" s="103" t="s">
        <v>6856</v>
      </c>
      <c r="D185" s="96" t="s">
        <v>36</v>
      </c>
      <c r="E185" s="96" t="s">
        <v>60</v>
      </c>
      <c r="F185" s="96" t="s">
        <v>29</v>
      </c>
      <c r="G185" s="96" t="s">
        <v>6857</v>
      </c>
      <c r="H185" s="96" t="s">
        <v>6858</v>
      </c>
      <c r="I185" s="96" t="s">
        <v>6859</v>
      </c>
      <c r="J185" s="96" t="s">
        <v>43</v>
      </c>
      <c r="K185" s="96" t="s">
        <v>6860</v>
      </c>
      <c r="L185" s="96" t="s">
        <v>43</v>
      </c>
      <c r="M185" s="96" t="s">
        <v>43</v>
      </c>
      <c r="N185" s="99" t="s">
        <v>6861</v>
      </c>
    </row>
    <row r="186" spans="1:14" s="100" customFormat="1" ht="208" customHeight="1">
      <c r="A186" s="103">
        <v>185</v>
      </c>
      <c r="B186" s="103" t="s">
        <v>435</v>
      </c>
      <c r="C186" s="103" t="s">
        <v>563</v>
      </c>
      <c r="D186" s="96" t="s">
        <v>6862</v>
      </c>
      <c r="E186" s="96" t="s">
        <v>2490</v>
      </c>
      <c r="F186" s="96" t="s">
        <v>29</v>
      </c>
      <c r="G186" s="96" t="e" vm="1">
        <f ca="1">_xlfn.DISPIMG("ID_17C473D021864A18BAE51129653FF940",1)</f>
        <v>#NAME?</v>
      </c>
      <c r="H186" s="97" t="s">
        <v>6863</v>
      </c>
      <c r="I186" s="96" t="s">
        <v>6864</v>
      </c>
      <c r="J186" s="96" t="s">
        <v>6865</v>
      </c>
      <c r="K186" s="97" t="s">
        <v>6866</v>
      </c>
      <c r="L186" s="97" t="s">
        <v>6867</v>
      </c>
      <c r="M186" s="96" t="s">
        <v>6294</v>
      </c>
      <c r="N186" s="99" t="s">
        <v>6868</v>
      </c>
    </row>
    <row r="187" spans="1:14" s="100" customFormat="1" ht="208" customHeight="1">
      <c r="A187" s="103">
        <v>186</v>
      </c>
      <c r="B187" s="103" t="s">
        <v>1390</v>
      </c>
      <c r="C187" s="103" t="s">
        <v>1391</v>
      </c>
      <c r="D187" s="96" t="s">
        <v>5161</v>
      </c>
      <c r="E187" s="96" t="s">
        <v>6869</v>
      </c>
      <c r="F187" s="96" t="s">
        <v>29</v>
      </c>
      <c r="G187" s="97" t="s">
        <v>6870</v>
      </c>
      <c r="H187" s="96" t="s">
        <v>6871</v>
      </c>
      <c r="I187" s="96" t="s">
        <v>6872</v>
      </c>
      <c r="J187" s="96" t="s">
        <v>625</v>
      </c>
      <c r="K187" s="97" t="s">
        <v>6873</v>
      </c>
      <c r="L187" s="96" t="s">
        <v>43</v>
      </c>
      <c r="M187" s="96" t="s">
        <v>6874</v>
      </c>
      <c r="N187" s="101" t="s">
        <v>6875</v>
      </c>
    </row>
    <row r="188" spans="1:14" s="100" customFormat="1" ht="208" customHeight="1">
      <c r="A188" s="103">
        <v>187</v>
      </c>
      <c r="B188" s="103" t="s">
        <v>1257</v>
      </c>
      <c r="C188" s="103" t="s">
        <v>74</v>
      </c>
      <c r="D188" s="96" t="s">
        <v>6876</v>
      </c>
      <c r="E188" s="96" t="s">
        <v>6877</v>
      </c>
      <c r="F188" s="96" t="s">
        <v>29</v>
      </c>
      <c r="G188" s="96" t="s">
        <v>6878</v>
      </c>
      <c r="H188" s="96" t="s">
        <v>6879</v>
      </c>
      <c r="I188" s="96" t="s">
        <v>6507</v>
      </c>
      <c r="J188" s="96" t="s">
        <v>43</v>
      </c>
      <c r="K188" s="97" t="s">
        <v>6880</v>
      </c>
      <c r="L188" s="96" t="s">
        <v>43</v>
      </c>
      <c r="M188" s="96" t="s">
        <v>43</v>
      </c>
      <c r="N188" s="101" t="s">
        <v>6881</v>
      </c>
    </row>
    <row r="189" spans="1:14" s="100" customFormat="1" ht="208" customHeight="1">
      <c r="A189" s="103">
        <v>188</v>
      </c>
      <c r="B189" s="103" t="s">
        <v>287</v>
      </c>
      <c r="C189" s="103" t="s">
        <v>5371</v>
      </c>
      <c r="D189" s="96" t="s">
        <v>6882</v>
      </c>
      <c r="E189" s="96" t="s">
        <v>6883</v>
      </c>
      <c r="F189" s="96" t="s">
        <v>29</v>
      </c>
      <c r="G189" s="96" t="e" vm="1">
        <f ca="1">_xlfn.DISPIMG("ID_421C0871F077427599EE7AF5C04A9AC3",1)</f>
        <v>#NAME?</v>
      </c>
      <c r="H189" s="96" t="s">
        <v>6884</v>
      </c>
      <c r="I189" s="96" t="s">
        <v>2005</v>
      </c>
      <c r="J189" s="96" t="s">
        <v>43</v>
      </c>
      <c r="K189" s="97" t="s">
        <v>6885</v>
      </c>
      <c r="L189" s="96" t="s">
        <v>6886</v>
      </c>
      <c r="M189" s="97" t="s">
        <v>6742</v>
      </c>
      <c r="N189" s="101" t="s">
        <v>6887</v>
      </c>
    </row>
    <row r="190" spans="1:14" s="100" customFormat="1" ht="208" customHeight="1">
      <c r="A190" s="103">
        <v>189</v>
      </c>
      <c r="B190" s="103" t="s">
        <v>13</v>
      </c>
      <c r="C190" s="103" t="s">
        <v>817</v>
      </c>
      <c r="D190" s="96" t="s">
        <v>6888</v>
      </c>
      <c r="E190" s="96" t="s">
        <v>6889</v>
      </c>
      <c r="F190" s="96" t="s">
        <v>29</v>
      </c>
      <c r="G190" s="96" t="s">
        <v>6890</v>
      </c>
      <c r="H190" s="96" t="s">
        <v>6891</v>
      </c>
      <c r="I190" s="96" t="s">
        <v>257</v>
      </c>
      <c r="J190" s="96" t="s">
        <v>43</v>
      </c>
      <c r="K190" s="97" t="s">
        <v>6892</v>
      </c>
      <c r="L190" s="96" t="s">
        <v>6893</v>
      </c>
      <c r="M190" s="96" t="s">
        <v>43</v>
      </c>
      <c r="N190" s="99" t="s">
        <v>6894</v>
      </c>
    </row>
    <row r="191" spans="1:14" s="100" customFormat="1" ht="208" customHeight="1">
      <c r="A191" s="103">
        <v>190</v>
      </c>
      <c r="B191" s="103" t="s">
        <v>1189</v>
      </c>
      <c r="C191" s="103" t="s">
        <v>1397</v>
      </c>
      <c r="D191" s="97" t="s">
        <v>6895</v>
      </c>
      <c r="E191" s="96" t="s">
        <v>6896</v>
      </c>
      <c r="F191" s="96" t="s">
        <v>29</v>
      </c>
      <c r="G191" s="96" t="e" vm="1">
        <f ca="1">_xlfn.DISPIMG("ID_E3616689C1C74DDA85AD42ED89E202B8",1)</f>
        <v>#NAME?</v>
      </c>
      <c r="H191" s="96" t="s">
        <v>6897</v>
      </c>
      <c r="I191" s="96" t="s">
        <v>2741</v>
      </c>
      <c r="J191" s="96" t="s">
        <v>1931</v>
      </c>
      <c r="K191" s="97" t="s">
        <v>6898</v>
      </c>
      <c r="L191" s="97" t="s">
        <v>6899</v>
      </c>
      <c r="M191" s="97" t="s">
        <v>6900</v>
      </c>
      <c r="N191" s="101" t="s">
        <v>6901</v>
      </c>
    </row>
    <row r="192" spans="1:14" s="100" customFormat="1" ht="208" customHeight="1">
      <c r="A192" s="103">
        <v>191</v>
      </c>
      <c r="B192" s="103" t="s">
        <v>961</v>
      </c>
      <c r="C192" s="103" t="s">
        <v>987</v>
      </c>
      <c r="D192" s="96" t="s">
        <v>6902</v>
      </c>
      <c r="E192" s="96" t="s">
        <v>6903</v>
      </c>
      <c r="F192" s="96" t="s">
        <v>29</v>
      </c>
      <c r="G192" s="96" t="e" vm="1">
        <f ca="1">_xlfn.DISPIMG("ID_8615EBB58C7D4FF0B3855FBFC7279494",1)</f>
        <v>#NAME?</v>
      </c>
      <c r="H192" s="96" t="s">
        <v>6904</v>
      </c>
      <c r="I192" s="96" t="s">
        <v>6905</v>
      </c>
      <c r="J192" s="96" t="s">
        <v>43</v>
      </c>
      <c r="K192" s="97" t="s">
        <v>6906</v>
      </c>
      <c r="L192" s="97" t="s">
        <v>6907</v>
      </c>
      <c r="M192" s="97" t="s">
        <v>6908</v>
      </c>
      <c r="N192" s="101" t="s">
        <v>6909</v>
      </c>
    </row>
    <row r="193" spans="1:14" s="100" customFormat="1" ht="208" customHeight="1">
      <c r="A193" s="103">
        <v>192</v>
      </c>
      <c r="B193" s="103" t="s">
        <v>6910</v>
      </c>
      <c r="C193" s="103" t="s">
        <v>804</v>
      </c>
      <c r="D193" s="96" t="s">
        <v>75</v>
      </c>
      <c r="E193" s="96" t="s">
        <v>6911</v>
      </c>
      <c r="F193" s="96" t="s">
        <v>29</v>
      </c>
      <c r="G193" s="96" t="s">
        <v>6912</v>
      </c>
      <c r="H193" s="96" t="s">
        <v>6913</v>
      </c>
      <c r="I193" s="96" t="s">
        <v>6914</v>
      </c>
      <c r="J193" s="96" t="s">
        <v>43</v>
      </c>
      <c r="K193" s="97" t="s">
        <v>6915</v>
      </c>
      <c r="L193" s="96" t="s">
        <v>6916</v>
      </c>
      <c r="M193" s="96" t="s">
        <v>43</v>
      </c>
      <c r="N193" s="101" t="s">
        <v>6917</v>
      </c>
    </row>
    <row r="194" spans="1:14" s="100" customFormat="1" ht="208" customHeight="1">
      <c r="A194" s="103">
        <v>193</v>
      </c>
      <c r="B194" s="103" t="s">
        <v>333</v>
      </c>
      <c r="C194" s="103" t="s">
        <v>654</v>
      </c>
      <c r="D194" s="96" t="s">
        <v>6918</v>
      </c>
      <c r="E194" s="96" t="s">
        <v>1437</v>
      </c>
      <c r="F194" s="96" t="s">
        <v>29</v>
      </c>
      <c r="G194" s="97" t="s">
        <v>6919</v>
      </c>
      <c r="H194" s="96" t="s">
        <v>6920</v>
      </c>
      <c r="I194" s="96" t="s">
        <v>6921</v>
      </c>
      <c r="J194" s="96" t="s">
        <v>43</v>
      </c>
      <c r="K194" s="97" t="s">
        <v>6922</v>
      </c>
      <c r="L194" s="96" t="s">
        <v>6923</v>
      </c>
      <c r="M194" s="97" t="s">
        <v>6924</v>
      </c>
      <c r="N194" s="101" t="s">
        <v>6925</v>
      </c>
    </row>
    <row r="195" spans="1:14" s="100" customFormat="1" ht="208" customHeight="1">
      <c r="A195" s="103">
        <v>194</v>
      </c>
      <c r="B195" s="95" t="s">
        <v>2659</v>
      </c>
      <c r="C195" s="95" t="s">
        <v>6926</v>
      </c>
      <c r="D195" s="97" t="s">
        <v>6927</v>
      </c>
      <c r="E195" s="96" t="s">
        <v>6928</v>
      </c>
      <c r="F195" s="96" t="s">
        <v>29</v>
      </c>
      <c r="G195" s="96" t="s">
        <v>3948</v>
      </c>
      <c r="H195" s="96" t="s">
        <v>6929</v>
      </c>
      <c r="I195" s="96" t="s">
        <v>1283</v>
      </c>
      <c r="J195" s="96" t="s">
        <v>43</v>
      </c>
      <c r="K195" s="97" t="s">
        <v>6930</v>
      </c>
      <c r="L195" s="97" t="s">
        <v>6931</v>
      </c>
      <c r="M195" s="97" t="s">
        <v>6932</v>
      </c>
      <c r="N195" s="101" t="s">
        <v>6933</v>
      </c>
    </row>
    <row r="196" spans="1:14" s="100" customFormat="1" ht="208" customHeight="1">
      <c r="A196" s="103">
        <v>195</v>
      </c>
      <c r="B196" s="95" t="s">
        <v>50</v>
      </c>
      <c r="C196" s="95" t="s">
        <v>824</v>
      </c>
      <c r="D196" s="96" t="s">
        <v>6934</v>
      </c>
      <c r="E196" s="96" t="s">
        <v>3214</v>
      </c>
      <c r="F196" s="96" t="s">
        <v>6935</v>
      </c>
      <c r="G196" s="97" t="s">
        <v>6936</v>
      </c>
      <c r="H196" s="96" t="s">
        <v>6937</v>
      </c>
      <c r="I196" s="97" t="s">
        <v>6938</v>
      </c>
      <c r="J196" s="96" t="s">
        <v>928</v>
      </c>
      <c r="K196" s="97" t="s">
        <v>6939</v>
      </c>
      <c r="L196" s="96" t="s">
        <v>43</v>
      </c>
      <c r="M196" s="96" t="s">
        <v>43</v>
      </c>
      <c r="N196" s="99" t="s">
        <v>6940</v>
      </c>
    </row>
    <row r="197" spans="1:14" s="100" customFormat="1" ht="208" customHeight="1">
      <c r="A197" s="103">
        <v>196</v>
      </c>
      <c r="B197" s="95" t="s">
        <v>961</v>
      </c>
      <c r="C197" s="95" t="s">
        <v>824</v>
      </c>
      <c r="D197" s="97" t="s">
        <v>6941</v>
      </c>
      <c r="E197" s="96" t="s">
        <v>6942</v>
      </c>
      <c r="F197" s="96" t="s">
        <v>29</v>
      </c>
      <c r="G197" s="96" t="e" vm="1">
        <f ca="1">_xlfn.DISPIMG("ID_45F6925DA19941A982EBD74B2AF49E7D",1)</f>
        <v>#NAME?</v>
      </c>
      <c r="H197" s="96" t="s">
        <v>6943</v>
      </c>
      <c r="I197" s="96" t="s">
        <v>6944</v>
      </c>
      <c r="J197" s="96" t="s">
        <v>43</v>
      </c>
      <c r="K197" s="97" t="s">
        <v>6945</v>
      </c>
      <c r="L197" s="96" t="s">
        <v>6946</v>
      </c>
      <c r="M197" s="97" t="s">
        <v>6947</v>
      </c>
      <c r="N197" s="101" t="s">
        <v>6948</v>
      </c>
    </row>
    <row r="198" spans="1:14" s="100" customFormat="1" ht="208" customHeight="1">
      <c r="A198" s="103">
        <v>197</v>
      </c>
      <c r="B198" s="95" t="s">
        <v>961</v>
      </c>
      <c r="C198" s="95" t="s">
        <v>785</v>
      </c>
      <c r="D198" s="96" t="s">
        <v>6949</v>
      </c>
      <c r="E198" s="96" t="s">
        <v>6950</v>
      </c>
      <c r="F198" s="96" t="s">
        <v>29</v>
      </c>
      <c r="G198" s="96" t="e" vm="1">
        <f ca="1">_xlfn.DISPIMG("ID_52E322C25C204749B7A985DF99DE073B",1)</f>
        <v>#NAME?</v>
      </c>
      <c r="H198" s="96" t="s">
        <v>6951</v>
      </c>
      <c r="I198" s="96" t="s">
        <v>6952</v>
      </c>
      <c r="J198" s="96" t="s">
        <v>43</v>
      </c>
      <c r="K198" s="97" t="s">
        <v>6953</v>
      </c>
      <c r="L198" s="96" t="s">
        <v>43</v>
      </c>
      <c r="M198" s="97" t="s">
        <v>6954</v>
      </c>
      <c r="N198" s="99" t="s">
        <v>6955</v>
      </c>
    </row>
    <row r="199" spans="1:14" s="100" customFormat="1" ht="208" customHeight="1">
      <c r="A199" s="103">
        <v>198</v>
      </c>
      <c r="B199" s="95" t="s">
        <v>283</v>
      </c>
      <c r="C199" s="95" t="s">
        <v>1668</v>
      </c>
      <c r="D199" s="96" t="s">
        <v>52</v>
      </c>
      <c r="E199" s="96" t="s">
        <v>1026</v>
      </c>
      <c r="F199" s="96" t="s">
        <v>29</v>
      </c>
      <c r="G199" s="96" t="s">
        <v>6956</v>
      </c>
      <c r="H199" s="96" t="s">
        <v>6628</v>
      </c>
      <c r="I199" s="96" t="s">
        <v>6627</v>
      </c>
      <c r="J199" s="96" t="s">
        <v>43</v>
      </c>
      <c r="K199" s="97" t="s">
        <v>6957</v>
      </c>
      <c r="L199" s="96" t="s">
        <v>43</v>
      </c>
      <c r="M199" s="96" t="s">
        <v>43</v>
      </c>
      <c r="N199" s="99" t="s">
        <v>6958</v>
      </c>
    </row>
    <row r="200" spans="1:14" s="100" customFormat="1" ht="208" customHeight="1">
      <c r="A200" s="103">
        <v>199</v>
      </c>
      <c r="B200" s="95" t="s">
        <v>455</v>
      </c>
      <c r="C200" s="95" t="s">
        <v>6959</v>
      </c>
      <c r="D200" s="96" t="s">
        <v>6960</v>
      </c>
      <c r="E200" s="96" t="s">
        <v>2621</v>
      </c>
      <c r="F200" s="96" t="s">
        <v>29</v>
      </c>
      <c r="G200" s="96" t="s">
        <v>6961</v>
      </c>
      <c r="H200" s="96" t="s">
        <v>6962</v>
      </c>
      <c r="I200" s="96" t="s">
        <v>6395</v>
      </c>
      <c r="J200" s="96" t="s">
        <v>231</v>
      </c>
      <c r="K200" s="97" t="s">
        <v>6963</v>
      </c>
      <c r="L200" s="96" t="s">
        <v>6964</v>
      </c>
      <c r="M200" s="96" t="s">
        <v>6965</v>
      </c>
      <c r="N200" s="101" t="s">
        <v>6966</v>
      </c>
    </row>
    <row r="201" spans="1:14" s="100" customFormat="1" ht="208" customHeight="1">
      <c r="A201" s="103">
        <v>200</v>
      </c>
      <c r="B201" s="95" t="s">
        <v>13</v>
      </c>
      <c r="C201" s="95" t="s">
        <v>828</v>
      </c>
      <c r="D201" s="96" t="s">
        <v>6967</v>
      </c>
      <c r="E201" s="96" t="s">
        <v>6968</v>
      </c>
      <c r="F201" s="96" t="s">
        <v>29</v>
      </c>
      <c r="G201" s="96" t="s">
        <v>43</v>
      </c>
      <c r="H201" s="96" t="s">
        <v>6969</v>
      </c>
      <c r="I201" s="96" t="s">
        <v>43</v>
      </c>
      <c r="J201" s="96" t="s">
        <v>43</v>
      </c>
      <c r="K201" s="97" t="s">
        <v>6970</v>
      </c>
      <c r="L201" s="96" t="s">
        <v>6971</v>
      </c>
      <c r="M201" s="96" t="s">
        <v>43</v>
      </c>
      <c r="N201" s="101" t="s">
        <v>6972</v>
      </c>
    </row>
    <row r="202" spans="1:14" s="100" customFormat="1" ht="208" customHeight="1">
      <c r="A202" s="103">
        <v>201</v>
      </c>
      <c r="B202" s="95" t="s">
        <v>3092</v>
      </c>
      <c r="C202" s="95" t="s">
        <v>1670</v>
      </c>
      <c r="D202" s="96" t="s">
        <v>6973</v>
      </c>
      <c r="E202" s="96" t="s">
        <v>6974</v>
      </c>
      <c r="F202" s="96" t="s">
        <v>29</v>
      </c>
      <c r="G202" s="97" t="s">
        <v>6975</v>
      </c>
      <c r="H202" s="96" t="s">
        <v>6976</v>
      </c>
      <c r="I202" s="96" t="s">
        <v>43</v>
      </c>
      <c r="J202" s="96" t="s">
        <v>43</v>
      </c>
      <c r="K202" s="97" t="s">
        <v>6977</v>
      </c>
      <c r="L202" s="96" t="s">
        <v>6978</v>
      </c>
      <c r="M202" s="96" t="s">
        <v>6979</v>
      </c>
      <c r="N202" s="101" t="s">
        <v>6980</v>
      </c>
    </row>
    <row r="203" spans="1:14" s="100" customFormat="1" ht="208" customHeight="1">
      <c r="A203" s="103">
        <v>202</v>
      </c>
      <c r="B203" s="95" t="s">
        <v>435</v>
      </c>
      <c r="C203" s="95" t="s">
        <v>569</v>
      </c>
      <c r="D203" s="96" t="s">
        <v>6981</v>
      </c>
      <c r="E203" s="96" t="s">
        <v>43</v>
      </c>
      <c r="F203" s="96" t="s">
        <v>29</v>
      </c>
      <c r="G203" s="97" t="s">
        <v>6982</v>
      </c>
      <c r="H203" s="96" t="s">
        <v>6983</v>
      </c>
      <c r="I203" s="97" t="s">
        <v>6984</v>
      </c>
      <c r="J203" s="96" t="s">
        <v>43</v>
      </c>
      <c r="K203" s="97" t="s">
        <v>6985</v>
      </c>
      <c r="L203" s="97" t="s">
        <v>6986</v>
      </c>
      <c r="M203" s="97" t="s">
        <v>6987</v>
      </c>
      <c r="N203" s="99" t="s">
        <v>6988</v>
      </c>
    </row>
    <row r="204" spans="1:14" s="100" customFormat="1" ht="208" customHeight="1">
      <c r="A204" s="103">
        <v>203</v>
      </c>
      <c r="B204" s="95" t="s">
        <v>961</v>
      </c>
      <c r="C204" s="95" t="s">
        <v>3668</v>
      </c>
      <c r="D204" s="97" t="s">
        <v>6989</v>
      </c>
      <c r="E204" s="97" t="s">
        <v>6990</v>
      </c>
      <c r="F204" s="96" t="s">
        <v>29</v>
      </c>
      <c r="G204" s="96" t="e" vm="1">
        <f ca="1">_xlfn.DISPIMG("ID_C89A0745C2224E589DC53683E5E82F17",1)</f>
        <v>#NAME?</v>
      </c>
      <c r="H204" s="96" t="s">
        <v>6991</v>
      </c>
      <c r="I204" s="96" t="s">
        <v>6992</v>
      </c>
      <c r="J204" s="96" t="s">
        <v>43</v>
      </c>
      <c r="K204" s="97" t="s">
        <v>6993</v>
      </c>
      <c r="L204" s="96" t="s">
        <v>43</v>
      </c>
      <c r="M204" s="97" t="s">
        <v>6994</v>
      </c>
      <c r="N204" s="101" t="s">
        <v>6995</v>
      </c>
    </row>
    <row r="205" spans="1:14" s="100" customFormat="1" ht="208" customHeight="1">
      <c r="A205" s="103">
        <v>204</v>
      </c>
      <c r="B205" s="95" t="s">
        <v>2659</v>
      </c>
      <c r="C205" s="95" t="s">
        <v>5237</v>
      </c>
      <c r="D205" s="96" t="s">
        <v>6996</v>
      </c>
      <c r="E205" s="96" t="s">
        <v>6997</v>
      </c>
      <c r="F205" s="96" t="s">
        <v>29</v>
      </c>
      <c r="G205" s="96" t="e" vm="1">
        <f ca="1">_xlfn.DISPIMG("ID_AE567673B8E847A18C0CC4BF435892DE",1)</f>
        <v>#NAME?</v>
      </c>
      <c r="H205" s="96" t="s">
        <v>43</v>
      </c>
      <c r="I205" s="96" t="s">
        <v>6998</v>
      </c>
      <c r="J205" s="96" t="s">
        <v>43</v>
      </c>
      <c r="K205" s="97" t="s">
        <v>6999</v>
      </c>
      <c r="L205" s="96" t="s">
        <v>43</v>
      </c>
      <c r="M205" s="96" t="s">
        <v>5242</v>
      </c>
      <c r="N205" s="99" t="s">
        <v>43</v>
      </c>
    </row>
    <row r="206" spans="1:14" s="100" customFormat="1" ht="208" customHeight="1">
      <c r="A206" s="103">
        <v>205</v>
      </c>
      <c r="B206" s="95" t="s">
        <v>13</v>
      </c>
      <c r="C206" s="95" t="s">
        <v>779</v>
      </c>
      <c r="D206" s="96" t="s">
        <v>7000</v>
      </c>
      <c r="E206" s="96" t="s">
        <v>7001</v>
      </c>
      <c r="F206" s="96" t="s">
        <v>29</v>
      </c>
      <c r="G206" s="96" t="s">
        <v>7002</v>
      </c>
      <c r="H206" s="96" t="s">
        <v>7003</v>
      </c>
      <c r="I206" s="96" t="s">
        <v>7004</v>
      </c>
      <c r="J206" s="96" t="s">
        <v>43</v>
      </c>
      <c r="K206" s="97" t="s">
        <v>7005</v>
      </c>
      <c r="L206" s="96" t="s">
        <v>43</v>
      </c>
      <c r="M206" s="96" t="s">
        <v>43</v>
      </c>
      <c r="N206" s="101" t="s">
        <v>7006</v>
      </c>
    </row>
    <row r="207" spans="1:14" s="100" customFormat="1" ht="208" customHeight="1">
      <c r="A207" s="103">
        <v>206</v>
      </c>
      <c r="B207" s="95" t="s">
        <v>13</v>
      </c>
      <c r="C207" s="95" t="s">
        <v>7007</v>
      </c>
      <c r="D207" s="97" t="s">
        <v>7008</v>
      </c>
      <c r="E207" s="96" t="s">
        <v>7009</v>
      </c>
      <c r="F207" s="96" t="s">
        <v>29</v>
      </c>
      <c r="G207" s="96" t="s">
        <v>7010</v>
      </c>
      <c r="H207" s="96" t="s">
        <v>7011</v>
      </c>
      <c r="I207" s="96" t="s">
        <v>62</v>
      </c>
      <c r="J207" s="96" t="s">
        <v>43</v>
      </c>
      <c r="K207" s="97" t="s">
        <v>7012</v>
      </c>
      <c r="L207" s="96" t="s">
        <v>43</v>
      </c>
      <c r="M207" s="96" t="s">
        <v>43</v>
      </c>
      <c r="N207" s="101" t="s">
        <v>7013</v>
      </c>
    </row>
    <row r="208" spans="1:14" s="100" customFormat="1" ht="208" customHeight="1">
      <c r="A208" s="103">
        <v>207</v>
      </c>
      <c r="B208" s="95" t="s">
        <v>2659</v>
      </c>
      <c r="C208" s="95" t="s">
        <v>7014</v>
      </c>
      <c r="D208" s="96" t="s">
        <v>7015</v>
      </c>
      <c r="E208" s="96" t="s">
        <v>7016</v>
      </c>
      <c r="F208" s="96" t="s">
        <v>29</v>
      </c>
      <c r="G208" s="96" t="s">
        <v>43</v>
      </c>
      <c r="H208" s="96" t="s">
        <v>7017</v>
      </c>
      <c r="I208" s="96" t="s">
        <v>468</v>
      </c>
      <c r="J208" s="96" t="s">
        <v>43</v>
      </c>
      <c r="K208" s="97" t="s">
        <v>7018</v>
      </c>
      <c r="L208" s="96" t="s">
        <v>5250</v>
      </c>
      <c r="M208" s="97" t="s">
        <v>7019</v>
      </c>
      <c r="N208" s="99" t="s">
        <v>43</v>
      </c>
    </row>
    <row r="209" spans="1:14" s="100" customFormat="1" ht="208" customHeight="1">
      <c r="A209" s="103">
        <v>208</v>
      </c>
      <c r="B209" s="95" t="s">
        <v>333</v>
      </c>
      <c r="C209" s="95" t="s">
        <v>856</v>
      </c>
      <c r="D209" s="97" t="s">
        <v>7020</v>
      </c>
      <c r="E209" s="96" t="s">
        <v>7021</v>
      </c>
      <c r="F209" s="96" t="s">
        <v>29</v>
      </c>
      <c r="G209" s="97" t="s">
        <v>7022</v>
      </c>
      <c r="H209" s="97" t="s">
        <v>7023</v>
      </c>
      <c r="I209" s="96" t="s">
        <v>7024</v>
      </c>
      <c r="J209" s="96" t="s">
        <v>625</v>
      </c>
      <c r="K209" s="97" t="s">
        <v>7025</v>
      </c>
      <c r="L209" s="97" t="s">
        <v>7026</v>
      </c>
      <c r="M209" s="96" t="s">
        <v>7027</v>
      </c>
      <c r="N209" s="101" t="s">
        <v>7028</v>
      </c>
    </row>
    <row r="210" spans="1:14" s="100" customFormat="1" ht="208" customHeight="1">
      <c r="A210" s="103">
        <v>209</v>
      </c>
      <c r="B210" s="95" t="s">
        <v>961</v>
      </c>
      <c r="C210" s="95" t="s">
        <v>7029</v>
      </c>
      <c r="D210" s="96" t="s">
        <v>7030</v>
      </c>
      <c r="E210" s="96" t="s">
        <v>7031</v>
      </c>
      <c r="F210" s="96" t="s">
        <v>29</v>
      </c>
      <c r="G210" s="96" t="e" vm="1">
        <f ca="1">_xlfn.DISPIMG("ID_C755B35ADFC648BCB84644294DD5A500",1)</f>
        <v>#NAME?</v>
      </c>
      <c r="H210" s="96" t="s">
        <v>7032</v>
      </c>
      <c r="I210" s="96" t="s">
        <v>7033</v>
      </c>
      <c r="J210" s="96" t="s">
        <v>43</v>
      </c>
      <c r="K210" s="97" t="s">
        <v>7034</v>
      </c>
      <c r="L210" s="96" t="s">
        <v>43</v>
      </c>
      <c r="M210" s="97" t="s">
        <v>7035</v>
      </c>
      <c r="N210" s="99" t="s">
        <v>43</v>
      </c>
    </row>
    <row r="211" spans="1:14" s="100" customFormat="1" ht="208" customHeight="1">
      <c r="A211" s="103">
        <v>210</v>
      </c>
      <c r="B211" s="95" t="s">
        <v>309</v>
      </c>
      <c r="C211" s="95" t="s">
        <v>945</v>
      </c>
      <c r="D211" s="96" t="s">
        <v>7036</v>
      </c>
      <c r="E211" s="96" t="s">
        <v>7037</v>
      </c>
      <c r="F211" s="96" t="s">
        <v>29</v>
      </c>
      <c r="G211" s="96" t="s">
        <v>7038</v>
      </c>
      <c r="H211" s="96" t="s">
        <v>6223</v>
      </c>
      <c r="I211" s="96" t="s">
        <v>7039</v>
      </c>
      <c r="J211" s="96" t="s">
        <v>43</v>
      </c>
      <c r="K211" s="97" t="s">
        <v>7040</v>
      </c>
      <c r="L211" s="97" t="s">
        <v>7041</v>
      </c>
      <c r="M211" s="96" t="s">
        <v>43</v>
      </c>
      <c r="N211" s="101" t="s">
        <v>7042</v>
      </c>
    </row>
    <row r="212" spans="1:14" s="100" customFormat="1" ht="208" customHeight="1">
      <c r="A212" s="103">
        <v>211</v>
      </c>
      <c r="B212" s="95" t="s">
        <v>1015</v>
      </c>
      <c r="C212" s="95" t="s">
        <v>7043</v>
      </c>
      <c r="D212" s="96" t="s">
        <v>7044</v>
      </c>
      <c r="E212" s="96" t="s">
        <v>7045</v>
      </c>
      <c r="F212" s="96" t="s">
        <v>29</v>
      </c>
      <c r="G212" s="96" t="s">
        <v>43</v>
      </c>
      <c r="H212" s="96" t="s">
        <v>7046</v>
      </c>
      <c r="I212" s="97" t="s">
        <v>7047</v>
      </c>
      <c r="J212" s="96" t="s">
        <v>43</v>
      </c>
      <c r="K212" s="97" t="s">
        <v>7048</v>
      </c>
      <c r="L212" s="97" t="s">
        <v>7049</v>
      </c>
      <c r="M212" s="96" t="s">
        <v>7050</v>
      </c>
      <c r="N212" s="101" t="s">
        <v>7051</v>
      </c>
    </row>
    <row r="213" spans="1:14" s="100" customFormat="1" ht="208" customHeight="1">
      <c r="A213" s="103">
        <v>212</v>
      </c>
      <c r="B213" s="95" t="s">
        <v>5585</v>
      </c>
      <c r="C213" s="95" t="s">
        <v>7052</v>
      </c>
      <c r="D213" s="96" t="s">
        <v>7053</v>
      </c>
      <c r="E213" s="96" t="s">
        <v>43</v>
      </c>
      <c r="F213" s="96" t="s">
        <v>88</v>
      </c>
      <c r="G213" s="96" t="e" vm="1">
        <f ca="1">_xlfn.DISPIMG("ID_5D2B3BFE5744435EB654D0B65FC7D730",1)</f>
        <v>#NAME?</v>
      </c>
      <c r="H213" s="96" t="s">
        <v>7054</v>
      </c>
      <c r="I213" s="108" t="s">
        <v>7055</v>
      </c>
      <c r="J213" s="96" t="s">
        <v>43</v>
      </c>
      <c r="K213" s="97" t="s">
        <v>7056</v>
      </c>
      <c r="L213" s="96" t="s">
        <v>43</v>
      </c>
      <c r="M213" s="96" t="s">
        <v>43</v>
      </c>
      <c r="N213" s="101" t="s">
        <v>7057</v>
      </c>
    </row>
    <row r="214" spans="1:14" s="100" customFormat="1" ht="208" customHeight="1">
      <c r="A214" s="103">
        <v>213</v>
      </c>
      <c r="B214" s="95" t="s">
        <v>4781</v>
      </c>
      <c r="C214" s="95" t="s">
        <v>43</v>
      </c>
      <c r="D214" s="96" t="s">
        <v>7058</v>
      </c>
      <c r="E214" s="96" t="s">
        <v>43</v>
      </c>
      <c r="F214" s="96" t="s">
        <v>29</v>
      </c>
      <c r="G214" s="96" t="s">
        <v>7059</v>
      </c>
      <c r="H214" s="96" t="s">
        <v>7060</v>
      </c>
      <c r="I214" s="104" t="s">
        <v>7061</v>
      </c>
      <c r="J214" s="96" t="s">
        <v>231</v>
      </c>
      <c r="K214" s="96" t="s">
        <v>7062</v>
      </c>
      <c r="L214" s="96" t="s">
        <v>43</v>
      </c>
      <c r="M214" s="97" t="s">
        <v>7063</v>
      </c>
      <c r="N214" s="99" t="s">
        <v>43</v>
      </c>
    </row>
    <row r="215" spans="1:14" s="100" customFormat="1" ht="208" customHeight="1">
      <c r="A215" s="103">
        <v>214</v>
      </c>
      <c r="B215" s="103" t="s">
        <v>333</v>
      </c>
      <c r="C215" s="103" t="s">
        <v>647</v>
      </c>
      <c r="D215" s="97" t="s">
        <v>7064</v>
      </c>
      <c r="E215" s="97" t="s">
        <v>7065</v>
      </c>
      <c r="F215" s="96" t="s">
        <v>29</v>
      </c>
      <c r="G215" s="97" t="s">
        <v>7066</v>
      </c>
      <c r="H215" s="96" t="s">
        <v>7067</v>
      </c>
      <c r="I215" s="96" t="s">
        <v>7068</v>
      </c>
      <c r="J215" s="96" t="s">
        <v>7069</v>
      </c>
      <c r="K215" s="97" t="s">
        <v>7070</v>
      </c>
      <c r="L215" s="97" t="s">
        <v>7071</v>
      </c>
      <c r="M215" s="96" t="s">
        <v>7072</v>
      </c>
      <c r="N215" s="99" t="s">
        <v>7073</v>
      </c>
    </row>
    <row r="216" spans="1:14" s="100" customFormat="1" ht="208" customHeight="1">
      <c r="A216" s="103">
        <v>215</v>
      </c>
      <c r="B216" s="103" t="s">
        <v>371</v>
      </c>
      <c r="C216" s="103" t="s">
        <v>1672</v>
      </c>
      <c r="D216" s="96" t="s">
        <v>7074</v>
      </c>
      <c r="E216" s="96" t="s">
        <v>7075</v>
      </c>
      <c r="F216" s="96" t="s">
        <v>88</v>
      </c>
      <c r="G216" s="96" t="s">
        <v>7076</v>
      </c>
      <c r="H216" s="96" t="s">
        <v>7077</v>
      </c>
      <c r="I216" s="96" t="s">
        <v>468</v>
      </c>
      <c r="J216" s="96" t="s">
        <v>43</v>
      </c>
      <c r="K216" s="97" t="s">
        <v>7078</v>
      </c>
      <c r="L216" s="96" t="s">
        <v>43</v>
      </c>
      <c r="M216" s="97" t="s">
        <v>7079</v>
      </c>
      <c r="N216" s="101" t="s">
        <v>7080</v>
      </c>
    </row>
    <row r="217" spans="1:14" s="100" customFormat="1" ht="208" customHeight="1">
      <c r="A217" s="103">
        <v>216</v>
      </c>
      <c r="B217" s="103" t="s">
        <v>961</v>
      </c>
      <c r="C217" s="103" t="s">
        <v>59</v>
      </c>
      <c r="D217" s="97" t="s">
        <v>7081</v>
      </c>
      <c r="E217" s="96" t="s">
        <v>7082</v>
      </c>
      <c r="F217" s="96" t="s">
        <v>29</v>
      </c>
      <c r="G217" s="96" t="s">
        <v>43</v>
      </c>
      <c r="H217" s="96" t="s">
        <v>7083</v>
      </c>
      <c r="I217" s="96" t="s">
        <v>7084</v>
      </c>
      <c r="J217" s="96" t="s">
        <v>43</v>
      </c>
      <c r="K217" s="97" t="s">
        <v>7085</v>
      </c>
      <c r="L217" s="96" t="s">
        <v>43</v>
      </c>
      <c r="M217" s="97" t="s">
        <v>7086</v>
      </c>
      <c r="N217" s="101" t="s">
        <v>7087</v>
      </c>
    </row>
    <row r="218" spans="1:14" s="100" customFormat="1" ht="208" customHeight="1">
      <c r="A218" s="103">
        <v>217</v>
      </c>
      <c r="B218" s="103" t="s">
        <v>7088</v>
      </c>
      <c r="C218" s="103" t="s">
        <v>43</v>
      </c>
      <c r="D218" s="96" t="e" vm="1">
        <f ca="1">_xlfn.DISPIMG("ID_F672E3FAD477457988C8AD3F98A6EBCC",1)</f>
        <v>#NAME?</v>
      </c>
      <c r="E218" s="96" t="e" vm="1">
        <f ca="1">_xlfn.DISPIMG("ID_8C769B94C06B42D5936D7B816BBD21FD",1)</f>
        <v>#NAME?</v>
      </c>
      <c r="F218" s="96" t="s">
        <v>29</v>
      </c>
      <c r="G218" s="96" t="e" vm="1">
        <f ca="1">_xlfn.DISPIMG("ID_084318F450A34801AC8B69057EA67279",1)</f>
        <v>#NAME?</v>
      </c>
      <c r="H218" s="96" t="s">
        <v>7089</v>
      </c>
      <c r="I218" s="96" t="s">
        <v>2746</v>
      </c>
      <c r="J218" s="96" t="s">
        <v>1164</v>
      </c>
      <c r="K218" s="96" t="e" vm="1">
        <f ca="1">_xlfn.DISPIMG("ID_840CE9AD3E134A0EA8F2201AF591C441",1)</f>
        <v>#NAME?</v>
      </c>
      <c r="L218" s="96" t="e" vm="1">
        <f ca="1">_xlfn.DISPIMG("ID_9E96B172D0804402BA0A76CACDB43792",1)</f>
        <v>#NAME?</v>
      </c>
      <c r="M218" s="97" t="s">
        <v>7019</v>
      </c>
      <c r="N218" s="99" t="s">
        <v>43</v>
      </c>
    </row>
    <row r="219" spans="1:14" s="100" customFormat="1" ht="208" customHeight="1">
      <c r="A219" s="103">
        <v>218</v>
      </c>
      <c r="B219" s="103" t="s">
        <v>7090</v>
      </c>
      <c r="C219" s="103" t="s">
        <v>6844</v>
      </c>
      <c r="D219" s="96" t="s">
        <v>7091</v>
      </c>
      <c r="E219" s="97" t="s">
        <v>7092</v>
      </c>
      <c r="F219" s="96" t="s">
        <v>29</v>
      </c>
      <c r="G219" s="96" t="s">
        <v>7093</v>
      </c>
      <c r="H219" s="96" t="s">
        <v>7094</v>
      </c>
      <c r="I219" s="96" t="s">
        <v>7095</v>
      </c>
      <c r="J219" s="96" t="s">
        <v>43</v>
      </c>
      <c r="K219" s="97" t="s">
        <v>7096</v>
      </c>
      <c r="L219" s="96" t="s">
        <v>7097</v>
      </c>
      <c r="M219" s="96" t="s">
        <v>7098</v>
      </c>
      <c r="N219" s="99" t="s">
        <v>43</v>
      </c>
    </row>
    <row r="220" spans="1:14" s="100" customFormat="1" ht="208" customHeight="1">
      <c r="A220" s="103">
        <v>219</v>
      </c>
      <c r="B220" s="103" t="s">
        <v>1390</v>
      </c>
      <c r="C220" s="103" t="s">
        <v>945</v>
      </c>
      <c r="D220" s="96" t="s">
        <v>7099</v>
      </c>
      <c r="E220" s="96" t="s">
        <v>7100</v>
      </c>
      <c r="F220" s="96" t="s">
        <v>29</v>
      </c>
      <c r="G220" s="96" t="s">
        <v>7101</v>
      </c>
      <c r="H220" s="96" t="s">
        <v>7102</v>
      </c>
      <c r="I220" s="96" t="s">
        <v>7103</v>
      </c>
      <c r="J220" s="96" t="s">
        <v>625</v>
      </c>
      <c r="K220" s="97" t="s">
        <v>7104</v>
      </c>
      <c r="L220" s="97" t="s">
        <v>7105</v>
      </c>
      <c r="M220" s="96" t="s">
        <v>7106</v>
      </c>
      <c r="N220" s="101" t="s">
        <v>7107</v>
      </c>
    </row>
    <row r="221" spans="1:14" s="100" customFormat="1" ht="208" customHeight="1">
      <c r="A221" s="103">
        <v>220</v>
      </c>
      <c r="B221" s="103" t="s">
        <v>961</v>
      </c>
      <c r="C221" s="103" t="s">
        <v>390</v>
      </c>
      <c r="D221" s="97" t="s">
        <v>7108</v>
      </c>
      <c r="E221" s="96" t="s">
        <v>7109</v>
      </c>
      <c r="F221" s="96" t="s">
        <v>29</v>
      </c>
      <c r="G221" s="96" t="e" vm="1">
        <f ca="1">_xlfn.DISPIMG("ID_190C45AB883040AEA6523CC189E11BBB",1)</f>
        <v>#NAME?</v>
      </c>
      <c r="H221" s="96" t="s">
        <v>7110</v>
      </c>
      <c r="I221" s="96" t="s">
        <v>43</v>
      </c>
      <c r="J221" s="96" t="s">
        <v>43</v>
      </c>
      <c r="K221" s="97" t="s">
        <v>7111</v>
      </c>
      <c r="L221" s="96" t="s">
        <v>43</v>
      </c>
      <c r="M221" s="97" t="s">
        <v>7112</v>
      </c>
      <c r="N221" s="99" t="s">
        <v>43</v>
      </c>
    </row>
    <row r="222" spans="1:14" s="100" customFormat="1" ht="208" customHeight="1">
      <c r="A222" s="103">
        <v>221</v>
      </c>
      <c r="B222" s="103" t="s">
        <v>2659</v>
      </c>
      <c r="C222" s="103" t="s">
        <v>7113</v>
      </c>
      <c r="D222" s="96" t="s">
        <v>7114</v>
      </c>
      <c r="E222" s="96" t="s">
        <v>7115</v>
      </c>
      <c r="F222" s="96" t="s">
        <v>29</v>
      </c>
      <c r="G222" s="96" t="s">
        <v>7116</v>
      </c>
      <c r="H222" s="96" t="s">
        <v>7117</v>
      </c>
      <c r="I222" s="96" t="s">
        <v>7118</v>
      </c>
      <c r="J222" s="96" t="s">
        <v>43</v>
      </c>
      <c r="K222" s="97" t="s">
        <v>7119</v>
      </c>
      <c r="L222" s="96" t="s">
        <v>43</v>
      </c>
      <c r="M222" s="97" t="s">
        <v>7120</v>
      </c>
      <c r="N222" s="99" t="s">
        <v>43</v>
      </c>
    </row>
    <row r="223" spans="1:14" s="100" customFormat="1" ht="208" customHeight="1">
      <c r="A223" s="103">
        <v>222</v>
      </c>
      <c r="B223" s="103" t="s">
        <v>1015</v>
      </c>
      <c r="C223" s="103" t="s">
        <v>5211</v>
      </c>
      <c r="D223" s="96" t="s">
        <v>7121</v>
      </c>
      <c r="E223" s="96" t="s">
        <v>7122</v>
      </c>
      <c r="F223" s="96" t="s">
        <v>29</v>
      </c>
      <c r="G223" s="96" t="s">
        <v>43</v>
      </c>
      <c r="H223" s="96" t="s">
        <v>7123</v>
      </c>
      <c r="I223" s="96" t="s">
        <v>6464</v>
      </c>
      <c r="J223" s="96" t="s">
        <v>1795</v>
      </c>
      <c r="K223" s="97" t="s">
        <v>7124</v>
      </c>
      <c r="L223" s="96" t="s">
        <v>7125</v>
      </c>
      <c r="M223" s="96" t="s">
        <v>7126</v>
      </c>
      <c r="N223" s="99" t="s">
        <v>43</v>
      </c>
    </row>
    <row r="224" spans="1:14" s="100" customFormat="1" ht="208" customHeight="1">
      <c r="A224" s="103">
        <v>223</v>
      </c>
      <c r="B224" s="103" t="s">
        <v>1390</v>
      </c>
      <c r="C224" s="103" t="s">
        <v>59</v>
      </c>
      <c r="D224" s="96" t="s">
        <v>7127</v>
      </c>
      <c r="E224" s="96" t="s">
        <v>7128</v>
      </c>
      <c r="F224" s="96" t="s">
        <v>29</v>
      </c>
      <c r="G224" s="97" t="s">
        <v>7129</v>
      </c>
      <c r="H224" s="96" t="s">
        <v>7130</v>
      </c>
      <c r="I224" s="96" t="s">
        <v>7131</v>
      </c>
      <c r="J224" s="96" t="s">
        <v>7132</v>
      </c>
      <c r="K224" s="97" t="s">
        <v>7133</v>
      </c>
      <c r="L224" s="97" t="s">
        <v>7134</v>
      </c>
      <c r="M224" s="97" t="s">
        <v>7135</v>
      </c>
      <c r="N224" s="101" t="s">
        <v>7136</v>
      </c>
    </row>
    <row r="225" spans="1:14" s="100" customFormat="1" ht="208" customHeight="1">
      <c r="A225" s="103">
        <v>224</v>
      </c>
      <c r="B225" s="103" t="s">
        <v>333</v>
      </c>
      <c r="C225" s="103" t="s">
        <v>7137</v>
      </c>
      <c r="D225" s="96" t="s">
        <v>7138</v>
      </c>
      <c r="E225" s="96" t="s">
        <v>1437</v>
      </c>
      <c r="F225" s="96" t="s">
        <v>29</v>
      </c>
      <c r="G225" s="96" t="e" vm="1">
        <f ca="1">_xlfn.DISPIMG("ID_EF0F42A4506F43AEB07F65D0516BA8A5",1)</f>
        <v>#NAME?</v>
      </c>
      <c r="H225" s="96" t="s">
        <v>7139</v>
      </c>
      <c r="I225" s="96" t="s">
        <v>7140</v>
      </c>
      <c r="J225" s="96" t="s">
        <v>43</v>
      </c>
      <c r="K225" s="97" t="s">
        <v>5391</v>
      </c>
      <c r="L225" s="97" t="s">
        <v>7141</v>
      </c>
      <c r="M225" s="96" t="s">
        <v>43</v>
      </c>
      <c r="N225" s="101" t="s">
        <v>7142</v>
      </c>
    </row>
    <row r="226" spans="1:14" s="100" customFormat="1" ht="208" customHeight="1">
      <c r="A226" s="103">
        <v>225</v>
      </c>
      <c r="B226" s="103" t="s">
        <v>1671</v>
      </c>
      <c r="C226" s="103" t="s">
        <v>5073</v>
      </c>
      <c r="D226" s="97" t="s">
        <v>7143</v>
      </c>
      <c r="E226" s="96" t="s">
        <v>5626</v>
      </c>
      <c r="F226" s="96" t="s">
        <v>29</v>
      </c>
      <c r="G226" s="97" t="s">
        <v>7144</v>
      </c>
      <c r="H226" s="96" t="s">
        <v>575</v>
      </c>
      <c r="I226" s="96" t="s">
        <v>6061</v>
      </c>
      <c r="J226" s="96" t="s">
        <v>7145</v>
      </c>
      <c r="K226" s="97" t="s">
        <v>7146</v>
      </c>
      <c r="L226" s="97" t="s">
        <v>7147</v>
      </c>
      <c r="M226" s="96" t="s">
        <v>43</v>
      </c>
      <c r="N226" s="101" t="s">
        <v>7148</v>
      </c>
    </row>
    <row r="227" spans="1:14" s="100" customFormat="1" ht="208" customHeight="1">
      <c r="A227" s="103">
        <v>226</v>
      </c>
      <c r="B227" s="103" t="s">
        <v>5706</v>
      </c>
      <c r="C227" s="103" t="s">
        <v>5785</v>
      </c>
      <c r="D227" s="96" t="s">
        <v>7149</v>
      </c>
      <c r="E227" s="96" t="s">
        <v>7150</v>
      </c>
      <c r="F227" s="96" t="s">
        <v>29</v>
      </c>
      <c r="G227" s="97" t="s">
        <v>7151</v>
      </c>
      <c r="H227" s="96" t="s">
        <v>7152</v>
      </c>
      <c r="I227" s="104">
        <v>45491</v>
      </c>
      <c r="J227" s="96" t="s">
        <v>6590</v>
      </c>
      <c r="K227" s="97" t="s">
        <v>7153</v>
      </c>
      <c r="L227" s="96" t="s">
        <v>7154</v>
      </c>
      <c r="M227" s="96" t="s">
        <v>7155</v>
      </c>
      <c r="N227" s="101" t="s">
        <v>7156</v>
      </c>
    </row>
    <row r="228" spans="1:14" s="100" customFormat="1" ht="208" customHeight="1">
      <c r="A228" s="103">
        <v>227</v>
      </c>
      <c r="B228" s="103" t="s">
        <v>5706</v>
      </c>
      <c r="C228" s="103" t="s">
        <v>7157</v>
      </c>
      <c r="D228" s="96" t="s">
        <v>7158</v>
      </c>
      <c r="E228" s="97" t="s">
        <v>7159</v>
      </c>
      <c r="F228" s="96" t="s">
        <v>29</v>
      </c>
      <c r="G228" s="96" t="e" vm="1">
        <f ca="1">_xlfn.DISPIMG("ID_382EE3AF79FF4797A3AB5E2CB5378894",1)</f>
        <v>#NAME?</v>
      </c>
      <c r="H228" s="96" t="s">
        <v>7160</v>
      </c>
      <c r="I228" s="96" t="s">
        <v>4630</v>
      </c>
      <c r="J228" s="96" t="s">
        <v>7145</v>
      </c>
      <c r="K228" s="97" t="s">
        <v>7161</v>
      </c>
      <c r="L228" s="96" t="s">
        <v>7162</v>
      </c>
      <c r="M228" s="97" t="s">
        <v>7163</v>
      </c>
      <c r="N228" s="99" t="s">
        <v>43</v>
      </c>
    </row>
    <row r="229" spans="1:14" s="100" customFormat="1" ht="208" customHeight="1">
      <c r="A229" s="103">
        <v>228</v>
      </c>
      <c r="B229" s="103" t="s">
        <v>2864</v>
      </c>
      <c r="C229" s="103" t="s">
        <v>654</v>
      </c>
      <c r="D229" s="96" t="s">
        <v>52</v>
      </c>
      <c r="E229" s="96" t="s">
        <v>43</v>
      </c>
      <c r="F229" s="96" t="s">
        <v>29</v>
      </c>
      <c r="G229" s="97" t="s">
        <v>7164</v>
      </c>
      <c r="H229" s="96" t="s">
        <v>7165</v>
      </c>
      <c r="I229" s="96" t="s">
        <v>7166</v>
      </c>
      <c r="J229" s="96" t="s">
        <v>43</v>
      </c>
      <c r="K229" s="97" t="s">
        <v>7167</v>
      </c>
      <c r="L229" s="97" t="s">
        <v>7168</v>
      </c>
      <c r="M229" s="97" t="s">
        <v>7169</v>
      </c>
      <c r="N229" s="99" t="s">
        <v>43</v>
      </c>
    </row>
    <row r="230" spans="1:14" s="100" customFormat="1" ht="208" customHeight="1">
      <c r="A230" s="103">
        <v>229</v>
      </c>
      <c r="B230" s="103" t="s">
        <v>789</v>
      </c>
      <c r="C230" s="103" t="s">
        <v>7170</v>
      </c>
      <c r="D230" s="96" t="s">
        <v>7171</v>
      </c>
      <c r="E230" s="96" t="s">
        <v>7172</v>
      </c>
      <c r="F230" s="96" t="s">
        <v>2385</v>
      </c>
      <c r="G230" s="97" t="s">
        <v>7173</v>
      </c>
      <c r="H230" s="96" t="s">
        <v>7174</v>
      </c>
      <c r="I230" s="96" t="s">
        <v>7175</v>
      </c>
      <c r="J230" s="96" t="s">
        <v>43</v>
      </c>
      <c r="K230" s="97" t="s">
        <v>7176</v>
      </c>
      <c r="L230" s="97" t="s">
        <v>7177</v>
      </c>
      <c r="M230" s="96" t="s">
        <v>7178</v>
      </c>
      <c r="N230" s="101" t="s">
        <v>7179</v>
      </c>
    </row>
    <row r="231" spans="1:14" s="100" customFormat="1" ht="208" customHeight="1">
      <c r="A231" s="103">
        <v>230</v>
      </c>
      <c r="B231" s="103" t="s">
        <v>789</v>
      </c>
      <c r="C231" s="103" t="s">
        <v>7180</v>
      </c>
      <c r="D231" s="96" t="s">
        <v>7181</v>
      </c>
      <c r="E231" s="97" t="s">
        <v>7182</v>
      </c>
      <c r="F231" s="96" t="s">
        <v>2385</v>
      </c>
      <c r="G231" s="97" t="s">
        <v>7183</v>
      </c>
      <c r="H231" s="96" t="s">
        <v>7184</v>
      </c>
      <c r="I231" s="97" t="s">
        <v>7185</v>
      </c>
      <c r="J231" s="96" t="s">
        <v>43</v>
      </c>
      <c r="K231" s="97" t="s">
        <v>7186</v>
      </c>
      <c r="L231" s="96" t="s">
        <v>7187</v>
      </c>
      <c r="M231" s="97" t="s">
        <v>7188</v>
      </c>
      <c r="N231" s="99" t="s">
        <v>43</v>
      </c>
    </row>
    <row r="232" spans="1:14" s="100" customFormat="1" ht="208" customHeight="1">
      <c r="A232" s="103">
        <v>231</v>
      </c>
      <c r="B232" s="103" t="s">
        <v>789</v>
      </c>
      <c r="C232" s="103" t="s">
        <v>1075</v>
      </c>
      <c r="D232" s="96" t="s">
        <v>7189</v>
      </c>
      <c r="E232" s="96" t="s">
        <v>7190</v>
      </c>
      <c r="F232" s="96" t="s">
        <v>2385</v>
      </c>
      <c r="G232" s="96" t="s">
        <v>7191</v>
      </c>
      <c r="H232" s="96" t="s">
        <v>7192</v>
      </c>
      <c r="I232" s="96" t="s">
        <v>7193</v>
      </c>
      <c r="J232" s="96" t="s">
        <v>3842</v>
      </c>
      <c r="K232" s="97" t="s">
        <v>7194</v>
      </c>
      <c r="L232" s="97" t="s">
        <v>7195</v>
      </c>
      <c r="M232" s="97" t="s">
        <v>7196</v>
      </c>
      <c r="N232" s="101" t="s">
        <v>7197</v>
      </c>
    </row>
    <row r="233" spans="1:14" s="100" customFormat="1" ht="208" customHeight="1">
      <c r="A233" s="103">
        <v>232</v>
      </c>
      <c r="B233" s="103" t="s">
        <v>789</v>
      </c>
      <c r="C233" s="103" t="s">
        <v>7198</v>
      </c>
      <c r="D233" s="96" t="s">
        <v>7189</v>
      </c>
      <c r="E233" s="96" t="s">
        <v>7190</v>
      </c>
      <c r="F233" s="96" t="s">
        <v>29</v>
      </c>
      <c r="G233" s="97" t="s">
        <v>7199</v>
      </c>
      <c r="H233" s="96" t="s">
        <v>7200</v>
      </c>
      <c r="I233" s="96" t="s">
        <v>7201</v>
      </c>
      <c r="J233" s="96" t="s">
        <v>43</v>
      </c>
      <c r="K233" s="96" t="s">
        <v>7202</v>
      </c>
      <c r="L233" s="97" t="s">
        <v>7203</v>
      </c>
      <c r="M233" s="97" t="s">
        <v>7204</v>
      </c>
      <c r="N233" s="99" t="s">
        <v>43</v>
      </c>
    </row>
    <row r="234" spans="1:14" s="100" customFormat="1" ht="208" customHeight="1">
      <c r="A234" s="103">
        <v>233</v>
      </c>
      <c r="B234" s="103" t="s">
        <v>7205</v>
      </c>
      <c r="C234" s="103" t="s">
        <v>5073</v>
      </c>
      <c r="D234" s="96" t="s">
        <v>7206</v>
      </c>
      <c r="E234" s="96" t="s">
        <v>7207</v>
      </c>
      <c r="F234" s="96" t="s">
        <v>43</v>
      </c>
      <c r="G234" s="96" t="s">
        <v>7208</v>
      </c>
      <c r="H234" s="96" t="s">
        <v>7209</v>
      </c>
      <c r="I234" s="96" t="s">
        <v>7210</v>
      </c>
      <c r="J234" s="96" t="s">
        <v>1931</v>
      </c>
      <c r="K234" s="97" t="s">
        <v>7211</v>
      </c>
      <c r="L234" s="97" t="s">
        <v>7212</v>
      </c>
      <c r="M234" s="97" t="s">
        <v>7213</v>
      </c>
      <c r="N234" s="101" t="s">
        <v>7214</v>
      </c>
    </row>
    <row r="235" spans="1:14" s="100" customFormat="1" ht="208" customHeight="1">
      <c r="A235" s="103">
        <v>234</v>
      </c>
      <c r="B235" s="103" t="s">
        <v>760</v>
      </c>
      <c r="C235" s="103" t="s">
        <v>390</v>
      </c>
      <c r="D235" s="96" t="s">
        <v>7215</v>
      </c>
      <c r="E235" s="96" t="s">
        <v>7216</v>
      </c>
      <c r="F235" s="96" t="s">
        <v>29</v>
      </c>
      <c r="G235" s="96" t="s">
        <v>7217</v>
      </c>
      <c r="H235" s="96" t="s">
        <v>7218</v>
      </c>
      <c r="I235" s="96" t="s">
        <v>7219</v>
      </c>
      <c r="J235" s="96" t="s">
        <v>7145</v>
      </c>
      <c r="K235" s="97" t="s">
        <v>7220</v>
      </c>
      <c r="L235" s="96" t="s">
        <v>7221</v>
      </c>
      <c r="M235" s="96" t="s">
        <v>43</v>
      </c>
      <c r="N235" s="99" t="s">
        <v>7222</v>
      </c>
    </row>
    <row r="236" spans="1:14" s="100" customFormat="1" ht="208" customHeight="1">
      <c r="A236" s="103">
        <v>235</v>
      </c>
      <c r="B236" s="103" t="s">
        <v>333</v>
      </c>
      <c r="C236" s="103" t="s">
        <v>1332</v>
      </c>
      <c r="D236" s="96" t="s">
        <v>7223</v>
      </c>
      <c r="E236" s="96" t="s">
        <v>7224</v>
      </c>
      <c r="F236" s="96" t="s">
        <v>29</v>
      </c>
      <c r="G236" s="96" t="s">
        <v>43</v>
      </c>
      <c r="H236" s="96" t="s">
        <v>7225</v>
      </c>
      <c r="I236" s="96" t="s">
        <v>257</v>
      </c>
      <c r="J236" s="96" t="s">
        <v>43</v>
      </c>
      <c r="K236" s="97" t="s">
        <v>7226</v>
      </c>
      <c r="L236" s="96" t="s">
        <v>5187</v>
      </c>
      <c r="M236" s="96" t="s">
        <v>7227</v>
      </c>
      <c r="N236" s="99" t="s">
        <v>43</v>
      </c>
    </row>
    <row r="237" spans="1:14" s="100" customFormat="1" ht="208" customHeight="1">
      <c r="A237" s="103">
        <v>236</v>
      </c>
      <c r="B237" s="103" t="s">
        <v>3092</v>
      </c>
      <c r="C237" s="103" t="s">
        <v>7228</v>
      </c>
      <c r="D237" s="96" t="s">
        <v>7229</v>
      </c>
      <c r="E237" s="96" t="s">
        <v>7230</v>
      </c>
      <c r="F237" s="96" t="s">
        <v>29</v>
      </c>
      <c r="G237" s="96" t="s">
        <v>7231</v>
      </c>
      <c r="H237" s="96" t="s">
        <v>7232</v>
      </c>
      <c r="I237" s="96" t="s">
        <v>7233</v>
      </c>
      <c r="J237" s="96" t="s">
        <v>402</v>
      </c>
      <c r="K237" s="97" t="s">
        <v>7234</v>
      </c>
      <c r="L237" s="96" t="s">
        <v>7235</v>
      </c>
      <c r="M237" s="96" t="s">
        <v>7236</v>
      </c>
      <c r="N237" s="101" t="s">
        <v>7237</v>
      </c>
    </row>
    <row r="238" spans="1:14" s="100" customFormat="1" ht="208" customHeight="1">
      <c r="A238" s="103">
        <v>237</v>
      </c>
      <c r="B238" s="103" t="s">
        <v>1015</v>
      </c>
      <c r="C238" s="103" t="s">
        <v>945</v>
      </c>
      <c r="D238" s="96" t="s">
        <v>7238</v>
      </c>
      <c r="E238" s="96" t="s">
        <v>7239</v>
      </c>
      <c r="F238" s="96" t="s">
        <v>29</v>
      </c>
      <c r="G238" s="96" t="s">
        <v>7240</v>
      </c>
      <c r="H238" s="96" t="s">
        <v>7241</v>
      </c>
      <c r="I238" s="96" t="s">
        <v>7242</v>
      </c>
      <c r="J238" s="96" t="s">
        <v>7243</v>
      </c>
      <c r="K238" s="97" t="s">
        <v>7244</v>
      </c>
      <c r="L238" s="97" t="s">
        <v>7245</v>
      </c>
      <c r="M238" s="97" t="s">
        <v>7246</v>
      </c>
      <c r="N238" s="101" t="s">
        <v>7247</v>
      </c>
    </row>
    <row r="239" spans="1:14" s="100" customFormat="1" ht="208" customHeight="1">
      <c r="A239" s="103">
        <v>238</v>
      </c>
      <c r="B239" s="103" t="s">
        <v>1015</v>
      </c>
      <c r="C239" s="103" t="s">
        <v>7248</v>
      </c>
      <c r="D239" s="96" t="s">
        <v>7249</v>
      </c>
      <c r="E239" s="96" t="s">
        <v>7239</v>
      </c>
      <c r="F239" s="96" t="s">
        <v>29</v>
      </c>
      <c r="G239" s="97" t="s">
        <v>7250</v>
      </c>
      <c r="H239" s="96" t="s">
        <v>7251</v>
      </c>
      <c r="I239" s="96" t="s">
        <v>7252</v>
      </c>
      <c r="J239" s="96" t="s">
        <v>6839</v>
      </c>
      <c r="K239" s="97" t="s">
        <v>7253</v>
      </c>
      <c r="L239" s="97" t="s">
        <v>7254</v>
      </c>
      <c r="M239" s="96" t="s">
        <v>7255</v>
      </c>
      <c r="N239" s="99" t="s">
        <v>43</v>
      </c>
    </row>
    <row r="240" spans="1:14" s="100" customFormat="1" ht="208" customHeight="1">
      <c r="A240" s="103">
        <v>239</v>
      </c>
      <c r="B240" s="103" t="s">
        <v>1024</v>
      </c>
      <c r="C240" s="103" t="s">
        <v>74</v>
      </c>
      <c r="D240" s="96" t="s">
        <v>1025</v>
      </c>
      <c r="E240" s="96" t="s">
        <v>1026</v>
      </c>
      <c r="F240" s="96" t="s">
        <v>2385</v>
      </c>
      <c r="G240" s="97" t="s">
        <v>7256</v>
      </c>
      <c r="H240" s="97" t="s">
        <v>7257</v>
      </c>
      <c r="I240" s="96" t="s">
        <v>7258</v>
      </c>
      <c r="J240" s="96" t="s">
        <v>43</v>
      </c>
      <c r="K240" s="97" t="s">
        <v>7259</v>
      </c>
      <c r="L240" s="96" t="s">
        <v>43</v>
      </c>
      <c r="M240" s="96" t="s">
        <v>7260</v>
      </c>
      <c r="N240" s="101" t="s">
        <v>7261</v>
      </c>
    </row>
    <row r="241" spans="1:14" s="100" customFormat="1" ht="208" customHeight="1">
      <c r="A241" s="103">
        <v>240</v>
      </c>
      <c r="B241" s="103" t="s">
        <v>1390</v>
      </c>
      <c r="C241" s="103" t="s">
        <v>390</v>
      </c>
      <c r="D241" s="96" t="s">
        <v>7262</v>
      </c>
      <c r="E241" s="96" t="s">
        <v>7263</v>
      </c>
      <c r="F241" s="96" t="s">
        <v>29</v>
      </c>
      <c r="G241" s="96" t="s">
        <v>7264</v>
      </c>
      <c r="H241" s="96" t="s">
        <v>7265</v>
      </c>
      <c r="I241" s="96" t="s">
        <v>7266</v>
      </c>
      <c r="J241" s="96" t="s">
        <v>7267</v>
      </c>
      <c r="K241" s="97" t="s">
        <v>7268</v>
      </c>
      <c r="L241" s="96" t="s">
        <v>7269</v>
      </c>
      <c r="M241" s="97" t="s">
        <v>7270</v>
      </c>
      <c r="N241" s="99" t="s">
        <v>7271</v>
      </c>
    </row>
    <row r="242" spans="1:14" s="100" customFormat="1" ht="208" customHeight="1">
      <c r="A242" s="103">
        <v>241</v>
      </c>
      <c r="B242" s="103" t="s">
        <v>333</v>
      </c>
      <c r="C242" s="103" t="s">
        <v>1435</v>
      </c>
      <c r="D242" s="96" t="s">
        <v>7272</v>
      </c>
      <c r="E242" s="96" t="s">
        <v>7273</v>
      </c>
      <c r="F242" s="96" t="s">
        <v>29</v>
      </c>
      <c r="G242" s="96" t="s">
        <v>7274</v>
      </c>
      <c r="H242" s="104">
        <v>45485</v>
      </c>
      <c r="I242" s="96" t="s">
        <v>7275</v>
      </c>
      <c r="J242" s="96" t="s">
        <v>7276</v>
      </c>
      <c r="K242" s="97" t="s">
        <v>7277</v>
      </c>
      <c r="L242" s="96" t="s">
        <v>7278</v>
      </c>
      <c r="M242" s="96" t="s">
        <v>43</v>
      </c>
      <c r="N242" s="99" t="s">
        <v>43</v>
      </c>
    </row>
    <row r="243" spans="1:14" s="100" customFormat="1" ht="208" customHeight="1">
      <c r="A243" s="103">
        <v>242</v>
      </c>
      <c r="B243" s="103" t="s">
        <v>5818</v>
      </c>
      <c r="C243" s="103" t="s">
        <v>43</v>
      </c>
      <c r="D243" s="96" t="s">
        <v>7279</v>
      </c>
      <c r="E243" s="96" t="s">
        <v>7280</v>
      </c>
      <c r="F243" s="96" t="s">
        <v>29</v>
      </c>
      <c r="G243" s="96" t="s">
        <v>7281</v>
      </c>
      <c r="H243" s="96" t="s">
        <v>575</v>
      </c>
      <c r="I243" s="96" t="s">
        <v>7282</v>
      </c>
      <c r="J243" s="96" t="s">
        <v>43</v>
      </c>
      <c r="K243" s="97" t="s">
        <v>7283</v>
      </c>
      <c r="L243" s="96" t="s">
        <v>7284</v>
      </c>
      <c r="M243" s="96" t="s">
        <v>43</v>
      </c>
      <c r="N243" s="101" t="s">
        <v>7285</v>
      </c>
    </row>
    <row r="244" spans="1:14" s="100" customFormat="1" ht="208" customHeight="1">
      <c r="A244" s="103">
        <v>243</v>
      </c>
      <c r="B244" s="103" t="s">
        <v>13</v>
      </c>
      <c r="C244" s="103" t="s">
        <v>478</v>
      </c>
      <c r="D244" s="97" t="s">
        <v>6927</v>
      </c>
      <c r="E244" s="96" t="s">
        <v>7286</v>
      </c>
      <c r="F244" s="96" t="s">
        <v>29</v>
      </c>
      <c r="G244" s="96" t="s">
        <v>7287</v>
      </c>
      <c r="H244" s="96" t="s">
        <v>7288</v>
      </c>
      <c r="I244" s="96" t="s">
        <v>43</v>
      </c>
      <c r="J244" s="96" t="s">
        <v>43</v>
      </c>
      <c r="K244" s="97" t="s">
        <v>7289</v>
      </c>
      <c r="L244" s="96" t="s">
        <v>43</v>
      </c>
      <c r="M244" s="96" t="s">
        <v>7290</v>
      </c>
      <c r="N244" s="99" t="s">
        <v>43</v>
      </c>
    </row>
    <row r="245" spans="1:14" s="100" customFormat="1" ht="208" customHeight="1">
      <c r="A245" s="103">
        <v>244</v>
      </c>
      <c r="B245" s="103" t="s">
        <v>789</v>
      </c>
      <c r="C245" s="103" t="s">
        <v>59</v>
      </c>
      <c r="D245" s="96" t="s">
        <v>7181</v>
      </c>
      <c r="E245" s="96" t="s">
        <v>7291</v>
      </c>
      <c r="F245" s="96" t="s">
        <v>2385</v>
      </c>
      <c r="G245" s="96" t="e" vm="1">
        <f ca="1">_xlfn.DISPIMG("ID_6A84F80BEDA64DD8B048C7AE2D8AD4E7",1)</f>
        <v>#NAME?</v>
      </c>
      <c r="H245" s="96" t="s">
        <v>7292</v>
      </c>
      <c r="I245" s="96" t="s">
        <v>7293</v>
      </c>
      <c r="J245" s="96" t="s">
        <v>258</v>
      </c>
      <c r="K245" s="96" t="e" vm="1">
        <f ca="1">_xlfn.DISPIMG("ID_74E771CDEBDA433B935380C23EE48BE7",1)</f>
        <v>#NAME?</v>
      </c>
      <c r="L245" s="96" t="s">
        <v>43</v>
      </c>
      <c r="M245" s="96" t="e" vm="1">
        <f ca="1">_xlfn.DISPIMG("ID_E405835EE66C4572BA7C2B5F6B5B25C3",1)</f>
        <v>#NAME?</v>
      </c>
      <c r="N245" s="99" t="s">
        <v>43</v>
      </c>
    </row>
    <row r="246" spans="1:14" s="100" customFormat="1" ht="208" customHeight="1">
      <c r="A246" s="103">
        <v>245</v>
      </c>
      <c r="B246" s="103" t="s">
        <v>530</v>
      </c>
      <c r="C246" s="103" t="s">
        <v>1397</v>
      </c>
      <c r="D246" s="96" t="s">
        <v>7294</v>
      </c>
      <c r="E246" s="96" t="s">
        <v>633</v>
      </c>
      <c r="F246" s="96" t="s">
        <v>7295</v>
      </c>
      <c r="G246" s="96" t="s">
        <v>7296</v>
      </c>
      <c r="H246" s="96" t="s">
        <v>7297</v>
      </c>
      <c r="I246" s="96" t="s">
        <v>7298</v>
      </c>
      <c r="J246" s="96" t="s">
        <v>7299</v>
      </c>
      <c r="K246" s="97" t="s">
        <v>7300</v>
      </c>
      <c r="L246" s="96" t="s">
        <v>43</v>
      </c>
      <c r="M246" s="97" t="s">
        <v>7301</v>
      </c>
      <c r="N246" s="101" t="s">
        <v>7302</v>
      </c>
    </row>
    <row r="247" spans="1:14" s="100" customFormat="1" ht="208" customHeight="1">
      <c r="A247" s="103">
        <v>246</v>
      </c>
      <c r="B247" s="103" t="s">
        <v>530</v>
      </c>
      <c r="C247" s="103" t="s">
        <v>1450</v>
      </c>
      <c r="D247" s="96" t="s">
        <v>7303</v>
      </c>
      <c r="E247" s="96" t="s">
        <v>7304</v>
      </c>
      <c r="F247" s="96" t="s">
        <v>88</v>
      </c>
      <c r="G247" s="96" t="s">
        <v>7305</v>
      </c>
      <c r="H247" s="96" t="s">
        <v>7306</v>
      </c>
      <c r="I247" s="96" t="s">
        <v>7307</v>
      </c>
      <c r="J247" s="96" t="s">
        <v>7308</v>
      </c>
      <c r="K247" s="97" t="s">
        <v>7309</v>
      </c>
      <c r="L247" s="96" t="s">
        <v>43</v>
      </c>
      <c r="M247" s="97" t="s">
        <v>7301</v>
      </c>
      <c r="N247" s="101" t="s">
        <v>7310</v>
      </c>
    </row>
    <row r="248" spans="1:14" s="100" customFormat="1" ht="208" customHeight="1">
      <c r="A248" s="103">
        <v>247</v>
      </c>
      <c r="B248" s="103" t="s">
        <v>789</v>
      </c>
      <c r="C248" s="103" t="s">
        <v>7311</v>
      </c>
      <c r="D248" s="97" t="s">
        <v>7312</v>
      </c>
      <c r="E248" s="96" t="s">
        <v>7313</v>
      </c>
      <c r="F248" s="96" t="s">
        <v>2385</v>
      </c>
      <c r="G248" s="97" t="s">
        <v>7312</v>
      </c>
      <c r="H248" s="96" t="s">
        <v>7314</v>
      </c>
      <c r="I248" s="96" t="s">
        <v>7315</v>
      </c>
      <c r="J248" s="96" t="s">
        <v>43</v>
      </c>
      <c r="K248" s="97" t="s">
        <v>7316</v>
      </c>
      <c r="L248" s="97" t="s">
        <v>7317</v>
      </c>
      <c r="M248" s="96" t="s">
        <v>7318</v>
      </c>
      <c r="N248" s="101" t="s">
        <v>7319</v>
      </c>
    </row>
    <row r="249" spans="1:14" s="100" customFormat="1" ht="208" customHeight="1">
      <c r="A249" s="103">
        <v>248</v>
      </c>
      <c r="B249" s="103" t="s">
        <v>5706</v>
      </c>
      <c r="C249" s="103" t="s">
        <v>5073</v>
      </c>
      <c r="D249" s="97" t="s">
        <v>7320</v>
      </c>
      <c r="E249" s="96" t="s">
        <v>7321</v>
      </c>
      <c r="F249" s="96" t="s">
        <v>29</v>
      </c>
      <c r="G249" s="97" t="s">
        <v>7322</v>
      </c>
      <c r="H249" s="96" t="s">
        <v>7323</v>
      </c>
      <c r="I249" s="97" t="s">
        <v>7324</v>
      </c>
      <c r="J249" s="96" t="s">
        <v>683</v>
      </c>
      <c r="K249" s="97" t="s">
        <v>7325</v>
      </c>
      <c r="L249" s="96" t="s">
        <v>7326</v>
      </c>
      <c r="M249" s="96" t="s">
        <v>43</v>
      </c>
      <c r="N249" s="101" t="s">
        <v>7327</v>
      </c>
    </row>
    <row r="250" spans="1:14" s="100" customFormat="1" ht="208" customHeight="1">
      <c r="A250" s="103">
        <v>249</v>
      </c>
      <c r="B250" s="103" t="s">
        <v>790</v>
      </c>
      <c r="C250" s="103" t="s">
        <v>43</v>
      </c>
      <c r="D250" s="96" t="s">
        <v>1076</v>
      </c>
      <c r="E250" s="96" t="s">
        <v>7328</v>
      </c>
      <c r="F250" s="96" t="s">
        <v>2385</v>
      </c>
      <c r="G250" s="97" t="s">
        <v>7329</v>
      </c>
      <c r="H250" s="96" t="s">
        <v>7330</v>
      </c>
      <c r="I250" s="96" t="s">
        <v>7004</v>
      </c>
      <c r="J250" s="96" t="s">
        <v>7331</v>
      </c>
      <c r="K250" s="97" t="s">
        <v>7332</v>
      </c>
      <c r="L250" s="97" t="s">
        <v>7333</v>
      </c>
      <c r="M250" s="97" t="s">
        <v>7334</v>
      </c>
      <c r="N250" s="99" t="s">
        <v>43</v>
      </c>
    </row>
    <row r="251" spans="1:14" s="100" customFormat="1" ht="208" customHeight="1">
      <c r="A251" s="103">
        <v>250</v>
      </c>
      <c r="B251" s="103" t="s">
        <v>1226</v>
      </c>
      <c r="C251" s="103" t="s">
        <v>7335</v>
      </c>
      <c r="D251" s="96" t="s">
        <v>7336</v>
      </c>
      <c r="E251" s="96" t="s">
        <v>1444</v>
      </c>
      <c r="F251" s="96" t="s">
        <v>29</v>
      </c>
      <c r="G251" s="96" t="e" vm="1">
        <f ca="1">_xlfn.DISPIMG("ID_8BEA3C5EAC6641169920010BA2242849",1)</f>
        <v>#NAME?</v>
      </c>
      <c r="H251" s="96" t="s">
        <v>7337</v>
      </c>
      <c r="I251" s="96" t="s">
        <v>138</v>
      </c>
      <c r="J251" s="96" t="s">
        <v>402</v>
      </c>
      <c r="K251" s="97" t="s">
        <v>7338</v>
      </c>
      <c r="L251" s="97" t="s">
        <v>43</v>
      </c>
      <c r="M251" s="97" t="s">
        <v>7339</v>
      </c>
      <c r="N251" s="101" t="s">
        <v>7340</v>
      </c>
    </row>
    <row r="252" spans="1:14" s="100" customFormat="1" ht="208" customHeight="1">
      <c r="A252" s="103">
        <v>251</v>
      </c>
      <c r="B252" s="103" t="s">
        <v>789</v>
      </c>
      <c r="C252" s="103" t="s">
        <v>7341</v>
      </c>
      <c r="D252" s="97" t="s">
        <v>7342</v>
      </c>
      <c r="E252" s="96" t="s">
        <v>7343</v>
      </c>
      <c r="F252" s="96" t="s">
        <v>2385</v>
      </c>
      <c r="G252" s="97" t="s">
        <v>7344</v>
      </c>
      <c r="H252" s="96" t="s">
        <v>7345</v>
      </c>
      <c r="I252" s="96" t="s">
        <v>468</v>
      </c>
      <c r="J252" s="96" t="s">
        <v>7346</v>
      </c>
      <c r="K252" s="97" t="s">
        <v>7347</v>
      </c>
      <c r="L252" s="97" t="s">
        <v>7348</v>
      </c>
      <c r="M252" s="97" t="s">
        <v>7204</v>
      </c>
      <c r="N252" s="101" t="s">
        <v>7349</v>
      </c>
    </row>
    <row r="253" spans="1:14" s="100" customFormat="1" ht="208" customHeight="1">
      <c r="A253" s="103">
        <v>252</v>
      </c>
      <c r="B253" s="103" t="s">
        <v>287</v>
      </c>
      <c r="C253" s="103" t="s">
        <v>478</v>
      </c>
      <c r="D253" s="96" t="s">
        <v>43</v>
      </c>
      <c r="E253" s="96" t="s">
        <v>7350</v>
      </c>
      <c r="F253" s="96" t="s">
        <v>29</v>
      </c>
      <c r="G253" s="96" t="e" vm="1">
        <f ca="1">_xlfn.DISPIMG("ID_DD7403649C994B3D85B02604B9253BB7",1)</f>
        <v>#NAME?</v>
      </c>
      <c r="H253" s="96" t="s">
        <v>7351</v>
      </c>
      <c r="I253" s="96" t="s">
        <v>7352</v>
      </c>
      <c r="J253" s="96" t="s">
        <v>43</v>
      </c>
      <c r="K253" s="97" t="s">
        <v>7353</v>
      </c>
      <c r="L253" s="96" t="s">
        <v>43</v>
      </c>
      <c r="M253" s="97" t="s">
        <v>7354</v>
      </c>
      <c r="N253" s="101" t="s">
        <v>7355</v>
      </c>
    </row>
    <row r="254" spans="1:14" s="100" customFormat="1" ht="208" customHeight="1">
      <c r="A254" s="103">
        <v>253</v>
      </c>
      <c r="B254" s="95" t="s">
        <v>287</v>
      </c>
      <c r="C254" s="95" t="s">
        <v>191</v>
      </c>
      <c r="D254" s="96" t="s">
        <v>43</v>
      </c>
      <c r="E254" s="96" t="s">
        <v>7356</v>
      </c>
      <c r="F254" s="96" t="s">
        <v>88</v>
      </c>
      <c r="G254" s="97" t="s">
        <v>7357</v>
      </c>
      <c r="H254" s="96" t="s">
        <v>7358</v>
      </c>
      <c r="I254" s="96" t="s">
        <v>7359</v>
      </c>
      <c r="J254" s="96" t="s">
        <v>43</v>
      </c>
      <c r="K254" s="97" t="s">
        <v>7360</v>
      </c>
      <c r="L254" s="96" t="s">
        <v>43</v>
      </c>
      <c r="M254" s="97" t="s">
        <v>7361</v>
      </c>
      <c r="N254" s="101" t="s">
        <v>7362</v>
      </c>
    </row>
    <row r="255" spans="1:14" s="100" customFormat="1" ht="208" customHeight="1">
      <c r="A255" s="103">
        <v>254</v>
      </c>
      <c r="B255" s="95" t="s">
        <v>371</v>
      </c>
      <c r="C255" s="95" t="s">
        <v>59</v>
      </c>
      <c r="D255" s="96" t="s">
        <v>36</v>
      </c>
      <c r="E255" s="96" t="s">
        <v>43</v>
      </c>
      <c r="F255" s="96" t="s">
        <v>29</v>
      </c>
      <c r="G255" s="96" t="s">
        <v>7363</v>
      </c>
      <c r="H255" s="96" t="s">
        <v>7364</v>
      </c>
      <c r="I255" s="96" t="s">
        <v>7365</v>
      </c>
      <c r="J255" s="96" t="s">
        <v>43</v>
      </c>
      <c r="K255" s="97" t="s">
        <v>7366</v>
      </c>
      <c r="L255" s="97" t="s">
        <v>43</v>
      </c>
      <c r="M255" s="97" t="s">
        <v>7367</v>
      </c>
      <c r="N255" s="101" t="s">
        <v>7368</v>
      </c>
    </row>
    <row r="256" spans="1:14" s="100" customFormat="1" ht="208" customHeight="1">
      <c r="A256" s="95">
        <v>255</v>
      </c>
      <c r="B256" s="103" t="s">
        <v>371</v>
      </c>
      <c r="C256" s="103" t="s">
        <v>1383</v>
      </c>
      <c r="D256" s="96" t="s">
        <v>1521</v>
      </c>
      <c r="E256" s="96" t="s">
        <v>5396</v>
      </c>
      <c r="F256" s="96" t="s">
        <v>29</v>
      </c>
      <c r="G256" s="96" t="s">
        <v>7369</v>
      </c>
      <c r="H256" s="96" t="s">
        <v>7370</v>
      </c>
      <c r="I256" s="96" t="s">
        <v>7371</v>
      </c>
      <c r="J256" s="96" t="s">
        <v>43</v>
      </c>
      <c r="K256" s="97" t="s">
        <v>7372</v>
      </c>
      <c r="L256" s="96" t="s">
        <v>7373</v>
      </c>
      <c r="M256" s="96" t="s">
        <v>7374</v>
      </c>
      <c r="N256" s="99" t="s">
        <v>7375</v>
      </c>
    </row>
    <row r="257" spans="1:14" s="100" customFormat="1" ht="208" customHeight="1">
      <c r="A257" s="95">
        <v>256</v>
      </c>
      <c r="B257" s="103" t="s">
        <v>935</v>
      </c>
      <c r="C257" s="103" t="s">
        <v>74</v>
      </c>
      <c r="D257" s="96" t="s">
        <v>7376</v>
      </c>
      <c r="E257" s="96" t="s">
        <v>7377</v>
      </c>
      <c r="F257" s="96" t="s">
        <v>29</v>
      </c>
      <c r="G257" s="96" t="s">
        <v>7378</v>
      </c>
      <c r="H257" s="96" t="s">
        <v>7379</v>
      </c>
      <c r="I257" s="96" t="s">
        <v>7380</v>
      </c>
      <c r="J257" s="96" t="s">
        <v>2077</v>
      </c>
      <c r="K257" s="97" t="s">
        <v>7381</v>
      </c>
      <c r="L257" s="96" t="s">
        <v>7382</v>
      </c>
      <c r="M257" s="97" t="s">
        <v>7383</v>
      </c>
      <c r="N257" s="99" t="s">
        <v>43</v>
      </c>
    </row>
    <row r="258" spans="1:14" s="100" customFormat="1" ht="208" customHeight="1">
      <c r="A258" s="95">
        <v>257</v>
      </c>
      <c r="B258" s="103" t="s">
        <v>789</v>
      </c>
      <c r="C258" s="103" t="s">
        <v>7384</v>
      </c>
      <c r="D258" s="96" t="s">
        <v>7385</v>
      </c>
      <c r="E258" s="97" t="s">
        <v>7386</v>
      </c>
      <c r="F258" s="96" t="s">
        <v>1783</v>
      </c>
      <c r="G258" s="97" t="s">
        <v>7387</v>
      </c>
      <c r="H258" s="96" t="s">
        <v>43</v>
      </c>
      <c r="I258" s="96" t="s">
        <v>7388</v>
      </c>
      <c r="J258" s="96" t="s">
        <v>5458</v>
      </c>
      <c r="K258" s="97" t="s">
        <v>7389</v>
      </c>
      <c r="L258" s="96" t="s">
        <v>7390</v>
      </c>
      <c r="M258" s="97" t="s">
        <v>7391</v>
      </c>
      <c r="N258" s="99" t="s">
        <v>43</v>
      </c>
    </row>
    <row r="259" spans="1:14" s="100" customFormat="1" ht="208" customHeight="1">
      <c r="A259" s="95">
        <v>258</v>
      </c>
      <c r="B259" s="103" t="s">
        <v>1667</v>
      </c>
      <c r="C259" s="103" t="s">
        <v>390</v>
      </c>
      <c r="D259" s="96" t="s">
        <v>7392</v>
      </c>
      <c r="E259" s="96" t="s">
        <v>688</v>
      </c>
      <c r="F259" s="96" t="s">
        <v>29</v>
      </c>
      <c r="G259" s="97" t="s">
        <v>7393</v>
      </c>
      <c r="H259" s="96" t="s">
        <v>7394</v>
      </c>
      <c r="I259" s="96" t="s">
        <v>7395</v>
      </c>
      <c r="J259" s="96" t="s">
        <v>2077</v>
      </c>
      <c r="K259" s="97" t="s">
        <v>7396</v>
      </c>
      <c r="L259" s="96" t="s">
        <v>43</v>
      </c>
      <c r="M259" s="96" t="s">
        <v>43</v>
      </c>
      <c r="N259" s="99" t="s">
        <v>43</v>
      </c>
    </row>
    <row r="260" spans="1:14" s="100" customFormat="1" ht="208" customHeight="1">
      <c r="A260" s="95">
        <v>259</v>
      </c>
      <c r="B260" s="103" t="s">
        <v>1015</v>
      </c>
      <c r="C260" s="103" t="s">
        <v>390</v>
      </c>
      <c r="D260" s="96" t="s">
        <v>7397</v>
      </c>
      <c r="E260" s="96" t="s">
        <v>7398</v>
      </c>
      <c r="F260" s="96" t="s">
        <v>29</v>
      </c>
      <c r="G260" s="97" t="s">
        <v>7399</v>
      </c>
      <c r="H260" s="96" t="s">
        <v>7400</v>
      </c>
      <c r="I260" s="96" t="s">
        <v>7401</v>
      </c>
      <c r="J260" s="96" t="s">
        <v>323</v>
      </c>
      <c r="K260" s="97" t="s">
        <v>7402</v>
      </c>
      <c r="L260" s="96" t="s">
        <v>7403</v>
      </c>
      <c r="M260" s="96" t="s">
        <v>7404</v>
      </c>
      <c r="N260" s="99" t="s">
        <v>43</v>
      </c>
    </row>
    <row r="261" spans="1:14" s="100" customFormat="1" ht="208" customHeight="1">
      <c r="A261" s="95">
        <v>260</v>
      </c>
      <c r="B261" s="103" t="s">
        <v>5706</v>
      </c>
      <c r="C261" s="103" t="s">
        <v>390</v>
      </c>
      <c r="D261" s="96" t="s">
        <v>36</v>
      </c>
      <c r="E261" s="96" t="s">
        <v>7405</v>
      </c>
      <c r="F261" s="96" t="s">
        <v>29</v>
      </c>
      <c r="G261" s="97" t="s">
        <v>7406</v>
      </c>
      <c r="H261" s="96" t="s">
        <v>7407</v>
      </c>
      <c r="I261" s="96" t="s">
        <v>7408</v>
      </c>
      <c r="J261" s="96" t="s">
        <v>204</v>
      </c>
      <c r="K261" s="97" t="s">
        <v>7409</v>
      </c>
      <c r="L261" s="96" t="s">
        <v>7410</v>
      </c>
      <c r="M261" s="96" t="s">
        <v>7411</v>
      </c>
      <c r="N261" s="99" t="s">
        <v>43</v>
      </c>
    </row>
    <row r="262" spans="1:14" s="100" customFormat="1" ht="208" customHeight="1">
      <c r="A262" s="95">
        <v>261</v>
      </c>
      <c r="B262" s="103" t="s">
        <v>1671</v>
      </c>
      <c r="C262" s="103" t="s">
        <v>116</v>
      </c>
      <c r="D262" s="97" t="s">
        <v>7412</v>
      </c>
      <c r="E262" s="96" t="s">
        <v>7413</v>
      </c>
      <c r="F262" s="96" t="s">
        <v>29</v>
      </c>
      <c r="G262" s="96" t="s">
        <v>7414</v>
      </c>
      <c r="H262" s="96" t="s">
        <v>7415</v>
      </c>
      <c r="I262" s="96" t="s">
        <v>7416</v>
      </c>
      <c r="J262" s="96" t="s">
        <v>796</v>
      </c>
      <c r="K262" s="97" t="s">
        <v>7417</v>
      </c>
      <c r="L262" s="96" t="s">
        <v>7418</v>
      </c>
      <c r="M262" s="96" t="s">
        <v>43</v>
      </c>
      <c r="N262" s="99" t="s">
        <v>43</v>
      </c>
    </row>
    <row r="263" spans="1:14" s="100" customFormat="1" ht="208" customHeight="1">
      <c r="A263" s="95">
        <v>262</v>
      </c>
      <c r="B263" s="103" t="s">
        <v>287</v>
      </c>
      <c r="C263" s="103" t="s">
        <v>7419</v>
      </c>
      <c r="D263" s="96" t="s">
        <v>43</v>
      </c>
      <c r="E263" s="96" t="s">
        <v>7420</v>
      </c>
      <c r="F263" s="96" t="s">
        <v>29</v>
      </c>
      <c r="G263" s="96" t="s">
        <v>43</v>
      </c>
      <c r="H263" s="96" t="s">
        <v>7421</v>
      </c>
      <c r="I263" s="96" t="s">
        <v>43</v>
      </c>
      <c r="J263" s="96" t="s">
        <v>43</v>
      </c>
      <c r="K263" s="96" t="s">
        <v>43</v>
      </c>
      <c r="L263" s="96" t="s">
        <v>43</v>
      </c>
      <c r="M263" s="96" t="s">
        <v>43</v>
      </c>
      <c r="N263" s="99" t="s">
        <v>43</v>
      </c>
    </row>
    <row r="264" spans="1:14" s="100" customFormat="1" ht="208" customHeight="1">
      <c r="A264" s="95">
        <v>263</v>
      </c>
      <c r="B264" s="103" t="s">
        <v>789</v>
      </c>
      <c r="C264" s="103" t="s">
        <v>7422</v>
      </c>
      <c r="D264" s="96" t="s">
        <v>7423</v>
      </c>
      <c r="E264" s="96" t="s">
        <v>7424</v>
      </c>
      <c r="F264" s="96" t="s">
        <v>1707</v>
      </c>
      <c r="G264" s="97" t="s">
        <v>7425</v>
      </c>
      <c r="H264" s="96" t="s">
        <v>7426</v>
      </c>
      <c r="I264" s="96" t="s">
        <v>7427</v>
      </c>
      <c r="J264" s="96" t="s">
        <v>7428</v>
      </c>
      <c r="K264" s="97" t="s">
        <v>7429</v>
      </c>
      <c r="L264" s="96" t="s">
        <v>7430</v>
      </c>
      <c r="M264" s="97" t="s">
        <v>7431</v>
      </c>
      <c r="N264" s="99" t="s">
        <v>43</v>
      </c>
    </row>
    <row r="265" spans="1:14" s="100" customFormat="1" ht="208" customHeight="1">
      <c r="A265" s="95">
        <v>264</v>
      </c>
      <c r="B265" s="103" t="s">
        <v>287</v>
      </c>
      <c r="C265" s="103" t="s">
        <v>390</v>
      </c>
      <c r="D265" s="96" t="s">
        <v>1249</v>
      </c>
      <c r="E265" s="96" t="s">
        <v>7432</v>
      </c>
      <c r="F265" s="96" t="s">
        <v>29</v>
      </c>
      <c r="G265" s="97" t="s">
        <v>7433</v>
      </c>
      <c r="H265" s="96" t="s">
        <v>7434</v>
      </c>
      <c r="I265" s="96" t="s">
        <v>7435</v>
      </c>
      <c r="J265" s="96" t="s">
        <v>493</v>
      </c>
      <c r="K265" s="97" t="s">
        <v>7436</v>
      </c>
      <c r="L265" s="96" t="s">
        <v>7437</v>
      </c>
      <c r="M265" s="96" t="s">
        <v>43</v>
      </c>
      <c r="N265" s="99" t="s">
        <v>43</v>
      </c>
    </row>
    <row r="266" spans="1:14" s="100" customFormat="1" ht="208" customHeight="1">
      <c r="A266" s="95">
        <v>265</v>
      </c>
      <c r="B266" s="103" t="s">
        <v>1388</v>
      </c>
      <c r="C266" s="103" t="s">
        <v>7438</v>
      </c>
      <c r="D266" s="96" t="s">
        <v>7439</v>
      </c>
      <c r="E266" s="96" t="s">
        <v>7440</v>
      </c>
      <c r="F266" s="96" t="s">
        <v>29</v>
      </c>
      <c r="G266" s="96" t="s">
        <v>43</v>
      </c>
      <c r="H266" s="96" t="s">
        <v>7441</v>
      </c>
      <c r="I266" s="96" t="s">
        <v>6013</v>
      </c>
      <c r="J266" s="96" t="s">
        <v>43</v>
      </c>
      <c r="K266" s="97" t="s">
        <v>7442</v>
      </c>
      <c r="L266" s="96" t="s">
        <v>43</v>
      </c>
      <c r="M266" s="96" t="s">
        <v>7443</v>
      </c>
      <c r="N266" s="99" t="s">
        <v>43</v>
      </c>
    </row>
    <row r="267" spans="1:14" s="100" customFormat="1" ht="208" customHeight="1">
      <c r="A267" s="95">
        <v>266</v>
      </c>
      <c r="B267" s="103" t="s">
        <v>287</v>
      </c>
      <c r="C267" s="103" t="s">
        <v>7444</v>
      </c>
      <c r="D267" s="97" t="s">
        <v>7445</v>
      </c>
      <c r="E267" s="97" t="s">
        <v>7446</v>
      </c>
      <c r="F267" s="96" t="s">
        <v>29</v>
      </c>
      <c r="G267" s="96" t="s">
        <v>43</v>
      </c>
      <c r="H267" s="97" t="s">
        <v>7447</v>
      </c>
      <c r="I267" s="96" t="s">
        <v>7448</v>
      </c>
      <c r="J267" s="96" t="s">
        <v>43</v>
      </c>
      <c r="K267" s="96" t="s">
        <v>43</v>
      </c>
      <c r="L267" s="96" t="s">
        <v>43</v>
      </c>
      <c r="M267" s="96" t="s">
        <v>43</v>
      </c>
      <c r="N267" s="99" t="s">
        <v>43</v>
      </c>
    </row>
    <row r="268" spans="1:14" s="100" customFormat="1" ht="208" customHeight="1">
      <c r="A268" s="95">
        <v>267</v>
      </c>
      <c r="B268" s="103" t="s">
        <v>287</v>
      </c>
      <c r="C268" s="103" t="s">
        <v>7449</v>
      </c>
      <c r="D268" s="96" t="s">
        <v>7450</v>
      </c>
      <c r="E268" s="96" t="s">
        <v>5758</v>
      </c>
      <c r="F268" s="96" t="s">
        <v>29</v>
      </c>
      <c r="G268" s="96" t="s">
        <v>43</v>
      </c>
      <c r="H268" s="96" t="s">
        <v>7451</v>
      </c>
      <c r="I268" s="96" t="s">
        <v>43</v>
      </c>
      <c r="J268" s="96" t="s">
        <v>43</v>
      </c>
      <c r="K268" s="96" t="s">
        <v>43</v>
      </c>
      <c r="L268" s="96" t="s">
        <v>43</v>
      </c>
      <c r="M268" s="96" t="s">
        <v>43</v>
      </c>
      <c r="N268" s="99" t="s">
        <v>43</v>
      </c>
    </row>
    <row r="269" spans="1:14" s="100" customFormat="1" ht="208" customHeight="1">
      <c r="A269" s="95">
        <v>268</v>
      </c>
      <c r="B269" s="103" t="s">
        <v>789</v>
      </c>
      <c r="C269" s="103" t="s">
        <v>1083</v>
      </c>
      <c r="D269" s="96" t="s">
        <v>5189</v>
      </c>
      <c r="E269" s="96" t="s">
        <v>7452</v>
      </c>
      <c r="F269" s="96" t="s">
        <v>29</v>
      </c>
      <c r="G269" s="97" t="s">
        <v>7453</v>
      </c>
      <c r="H269" s="96" t="s">
        <v>7454</v>
      </c>
      <c r="I269" s="97" t="s">
        <v>7455</v>
      </c>
      <c r="J269" s="96" t="s">
        <v>7456</v>
      </c>
      <c r="K269" s="97" t="s">
        <v>7457</v>
      </c>
      <c r="L269" s="96" t="s">
        <v>43</v>
      </c>
      <c r="M269" s="97" t="s">
        <v>7458</v>
      </c>
      <c r="N269" s="99" t="s">
        <v>43</v>
      </c>
    </row>
    <row r="270" spans="1:14" s="100" customFormat="1" ht="208" customHeight="1">
      <c r="A270" s="95">
        <v>269</v>
      </c>
      <c r="B270" s="103" t="s">
        <v>789</v>
      </c>
      <c r="C270" s="103" t="s">
        <v>7459</v>
      </c>
      <c r="D270" s="96" t="s">
        <v>7460</v>
      </c>
      <c r="E270" s="96" t="s">
        <v>7461</v>
      </c>
      <c r="F270" s="96" t="s">
        <v>29</v>
      </c>
      <c r="G270" s="97" t="s">
        <v>7462</v>
      </c>
      <c r="H270" s="96" t="s">
        <v>7463</v>
      </c>
      <c r="I270" s="96" t="s">
        <v>6013</v>
      </c>
      <c r="J270" s="96" t="s">
        <v>2077</v>
      </c>
      <c r="K270" s="97" t="s">
        <v>7464</v>
      </c>
      <c r="L270" s="96" t="s">
        <v>7465</v>
      </c>
      <c r="M270" s="97" t="s">
        <v>7466</v>
      </c>
      <c r="N270" s="99" t="s">
        <v>43</v>
      </c>
    </row>
    <row r="271" spans="1:14" s="100" customFormat="1" ht="208" customHeight="1">
      <c r="A271" s="95">
        <v>270</v>
      </c>
      <c r="B271" s="103" t="s">
        <v>789</v>
      </c>
      <c r="C271" s="103" t="s">
        <v>7467</v>
      </c>
      <c r="D271" s="96" t="s">
        <v>7468</v>
      </c>
      <c r="E271" s="97" t="s">
        <v>7469</v>
      </c>
      <c r="F271" s="96" t="s">
        <v>29</v>
      </c>
      <c r="G271" s="97" t="s">
        <v>7470</v>
      </c>
      <c r="H271" s="96" t="s">
        <v>7471</v>
      </c>
      <c r="I271" s="96" t="s">
        <v>7472</v>
      </c>
      <c r="J271" s="96" t="s">
        <v>7473</v>
      </c>
      <c r="K271" s="97" t="s">
        <v>7474</v>
      </c>
      <c r="L271" s="96" t="s">
        <v>7475</v>
      </c>
      <c r="M271" s="97" t="s">
        <v>7476</v>
      </c>
      <c r="N271" s="99" t="s">
        <v>43</v>
      </c>
    </row>
    <row r="272" spans="1:14" s="100" customFormat="1" ht="208" customHeight="1">
      <c r="A272" s="95">
        <v>271</v>
      </c>
      <c r="B272" s="103" t="s">
        <v>1619</v>
      </c>
      <c r="C272" s="103" t="s">
        <v>5719</v>
      </c>
      <c r="D272" s="96" t="s">
        <v>7477</v>
      </c>
      <c r="E272" s="96" t="s">
        <v>7478</v>
      </c>
      <c r="F272" s="96" t="s">
        <v>29</v>
      </c>
      <c r="G272" s="96" t="s">
        <v>7479</v>
      </c>
      <c r="H272" s="96" t="s">
        <v>7480</v>
      </c>
      <c r="I272" s="96" t="s">
        <v>7481</v>
      </c>
      <c r="J272" s="96" t="s">
        <v>43</v>
      </c>
      <c r="K272" s="97" t="s">
        <v>7482</v>
      </c>
      <c r="L272" s="96" t="s">
        <v>7483</v>
      </c>
      <c r="M272" s="96" t="s">
        <v>7484</v>
      </c>
      <c r="N272" s="99" t="s">
        <v>43</v>
      </c>
    </row>
    <row r="273" spans="1:14" s="100" customFormat="1" ht="208" customHeight="1">
      <c r="A273" s="95">
        <v>272</v>
      </c>
      <c r="B273" s="95" t="s">
        <v>333</v>
      </c>
      <c r="C273" s="95" t="s">
        <v>1407</v>
      </c>
      <c r="D273" s="96" t="s">
        <v>7485</v>
      </c>
      <c r="E273" s="96" t="s">
        <v>43</v>
      </c>
      <c r="F273" s="96" t="s">
        <v>29</v>
      </c>
      <c r="G273" s="96" t="s">
        <v>7486</v>
      </c>
      <c r="H273" s="96" t="s">
        <v>7487</v>
      </c>
      <c r="I273" s="96" t="s">
        <v>7488</v>
      </c>
      <c r="J273" s="96" t="s">
        <v>7489</v>
      </c>
      <c r="K273" s="97" t="s">
        <v>7490</v>
      </c>
      <c r="L273" s="96" t="s">
        <v>7486</v>
      </c>
      <c r="M273" s="96" t="s">
        <v>43</v>
      </c>
      <c r="N273" s="99" t="s">
        <v>43</v>
      </c>
    </row>
    <row r="274" spans="1:14" s="100" customFormat="1" ht="208" customHeight="1">
      <c r="A274" s="95">
        <v>273</v>
      </c>
      <c r="B274" s="95" t="s">
        <v>789</v>
      </c>
      <c r="C274" s="95" t="s">
        <v>7491</v>
      </c>
      <c r="D274" s="96" t="s">
        <v>1076</v>
      </c>
      <c r="E274" s="97" t="s">
        <v>7492</v>
      </c>
      <c r="F274" s="96" t="s">
        <v>29</v>
      </c>
      <c r="G274" s="96" t="s">
        <v>7493</v>
      </c>
      <c r="H274" s="96" t="s">
        <v>7494</v>
      </c>
      <c r="I274" s="96" t="s">
        <v>6013</v>
      </c>
      <c r="J274" s="96" t="s">
        <v>43</v>
      </c>
      <c r="K274" s="97" t="s">
        <v>7495</v>
      </c>
      <c r="L274" s="97" t="s">
        <v>7496</v>
      </c>
      <c r="M274" s="96" t="s">
        <v>7497</v>
      </c>
      <c r="N274" s="99" t="s">
        <v>43</v>
      </c>
    </row>
    <row r="275" spans="1:14" s="100" customFormat="1" ht="208" customHeight="1">
      <c r="A275" s="95">
        <v>274</v>
      </c>
      <c r="B275" s="95" t="s">
        <v>1388</v>
      </c>
      <c r="C275" s="95" t="s">
        <v>5690</v>
      </c>
      <c r="D275" s="96" t="s">
        <v>7498</v>
      </c>
      <c r="E275" s="96" t="s">
        <v>1572</v>
      </c>
      <c r="F275" s="96" t="s">
        <v>29</v>
      </c>
      <c r="G275" s="97" t="s">
        <v>7499</v>
      </c>
      <c r="H275" s="96" t="s">
        <v>7500</v>
      </c>
      <c r="I275" s="96" t="s">
        <v>6281</v>
      </c>
      <c r="J275" s="96" t="s">
        <v>43</v>
      </c>
      <c r="K275" s="97" t="s">
        <v>7501</v>
      </c>
      <c r="L275" s="96" t="s">
        <v>7502</v>
      </c>
      <c r="M275" s="96" t="s">
        <v>7503</v>
      </c>
      <c r="N275" s="99" t="s">
        <v>43</v>
      </c>
    </row>
    <row r="276" spans="1:14" s="100" customFormat="1" ht="208" customHeight="1">
      <c r="A276" s="95">
        <v>275</v>
      </c>
      <c r="B276" s="95" t="s">
        <v>5849</v>
      </c>
      <c r="C276" s="95" t="s">
        <v>43</v>
      </c>
      <c r="D276" s="96" t="s">
        <v>7504</v>
      </c>
      <c r="E276" s="97" t="s">
        <v>7505</v>
      </c>
      <c r="F276" s="96" t="s">
        <v>29</v>
      </c>
      <c r="G276" s="97" t="s">
        <v>7506</v>
      </c>
      <c r="H276" s="96" t="s">
        <v>7507</v>
      </c>
      <c r="I276" s="96" t="s">
        <v>7508</v>
      </c>
      <c r="J276" s="96" t="s">
        <v>7509</v>
      </c>
      <c r="K276" s="97" t="s">
        <v>7510</v>
      </c>
      <c r="L276" s="96" t="s">
        <v>7511</v>
      </c>
      <c r="M276" s="96" t="s">
        <v>43</v>
      </c>
      <c r="N276" s="99" t="s">
        <v>43</v>
      </c>
    </row>
    <row r="277" spans="1:14" s="100" customFormat="1" ht="208" customHeight="1">
      <c r="A277" s="95">
        <v>276</v>
      </c>
      <c r="B277" s="95" t="s">
        <v>156</v>
      </c>
      <c r="C277" s="95" t="s">
        <v>390</v>
      </c>
      <c r="D277" s="96" t="s">
        <v>7512</v>
      </c>
      <c r="E277" s="96" t="s">
        <v>7513</v>
      </c>
      <c r="F277" s="96" t="s">
        <v>29</v>
      </c>
      <c r="G277" s="96" t="s">
        <v>7514</v>
      </c>
      <c r="H277" s="96" t="s">
        <v>7515</v>
      </c>
      <c r="I277" s="96" t="s">
        <v>7516</v>
      </c>
      <c r="J277" s="96" t="s">
        <v>43</v>
      </c>
      <c r="K277" s="97" t="s">
        <v>7517</v>
      </c>
      <c r="L277" s="96" t="s">
        <v>7518</v>
      </c>
      <c r="M277" s="96" t="s">
        <v>7519</v>
      </c>
      <c r="N277" s="99" t="s">
        <v>43</v>
      </c>
    </row>
    <row r="278" spans="1:14" s="100" customFormat="1" ht="208" customHeight="1">
      <c r="A278" s="95">
        <v>277</v>
      </c>
      <c r="B278" s="103" t="s">
        <v>4794</v>
      </c>
      <c r="C278" s="103" t="s">
        <v>43</v>
      </c>
      <c r="D278" s="96" t="s">
        <v>7520</v>
      </c>
      <c r="E278" s="96" t="s">
        <v>7521</v>
      </c>
      <c r="F278" s="96" t="s">
        <v>29</v>
      </c>
      <c r="G278" s="96" t="s">
        <v>7522</v>
      </c>
      <c r="H278" s="96" t="s">
        <v>7523</v>
      </c>
      <c r="I278" s="96" t="s">
        <v>7524</v>
      </c>
      <c r="J278" s="96" t="s">
        <v>2077</v>
      </c>
      <c r="K278" s="96" t="s">
        <v>7525</v>
      </c>
      <c r="L278" s="97" t="s">
        <v>7526</v>
      </c>
      <c r="M278" s="96" t="s">
        <v>43</v>
      </c>
      <c r="N278" s="99" t="s">
        <v>43</v>
      </c>
    </row>
    <row r="279" spans="1:14" s="100" customFormat="1" ht="208" customHeight="1">
      <c r="A279" s="95">
        <v>278</v>
      </c>
      <c r="B279" s="103" t="s">
        <v>1388</v>
      </c>
      <c r="C279" s="103" t="s">
        <v>5700</v>
      </c>
      <c r="D279" s="96" t="s">
        <v>7512</v>
      </c>
      <c r="E279" s="96" t="s">
        <v>5701</v>
      </c>
      <c r="F279" s="96" t="s">
        <v>29</v>
      </c>
      <c r="G279" s="96" t="s">
        <v>7527</v>
      </c>
      <c r="H279" s="96" t="s">
        <v>7528</v>
      </c>
      <c r="I279" s="96" t="s">
        <v>7529</v>
      </c>
      <c r="J279" s="96" t="s">
        <v>43</v>
      </c>
      <c r="K279" s="97" t="s">
        <v>7530</v>
      </c>
      <c r="L279" s="96" t="s">
        <v>43</v>
      </c>
      <c r="M279" s="96" t="s">
        <v>43</v>
      </c>
      <c r="N279" s="99" t="s">
        <v>43</v>
      </c>
    </row>
    <row r="280" spans="1:14" s="100" customFormat="1" ht="208" customHeight="1">
      <c r="A280" s="95">
        <v>279</v>
      </c>
      <c r="B280" s="103" t="s">
        <v>287</v>
      </c>
      <c r="C280" s="103" t="s">
        <v>5308</v>
      </c>
      <c r="D280" s="96" t="s">
        <v>43</v>
      </c>
      <c r="E280" s="96" t="s">
        <v>7350</v>
      </c>
      <c r="F280" s="96" t="s">
        <v>29</v>
      </c>
      <c r="G280" s="96" t="s">
        <v>7531</v>
      </c>
      <c r="H280" s="96" t="s">
        <v>7532</v>
      </c>
      <c r="I280" s="96" t="s">
        <v>7533</v>
      </c>
      <c r="J280" s="96" t="s">
        <v>43</v>
      </c>
      <c r="K280" s="97" t="s">
        <v>7534</v>
      </c>
      <c r="L280" s="96" t="s">
        <v>43</v>
      </c>
      <c r="M280" s="97" t="s">
        <v>5312</v>
      </c>
      <c r="N280" s="99" t="s">
        <v>7535</v>
      </c>
    </row>
    <row r="281" spans="1:14" s="100" customFormat="1" ht="208" customHeight="1">
      <c r="A281" s="95">
        <v>280</v>
      </c>
      <c r="B281" s="103" t="s">
        <v>371</v>
      </c>
      <c r="C281" s="103" t="s">
        <v>35</v>
      </c>
      <c r="D281" s="96" t="s">
        <v>7536</v>
      </c>
      <c r="E281" s="96" t="s">
        <v>372</v>
      </c>
      <c r="F281" s="96" t="s">
        <v>29</v>
      </c>
      <c r="G281" s="96" t="s">
        <v>7537</v>
      </c>
      <c r="H281" s="96" t="s">
        <v>7538</v>
      </c>
      <c r="I281" s="96" t="s">
        <v>7539</v>
      </c>
      <c r="J281" s="96" t="s">
        <v>43</v>
      </c>
      <c r="K281" s="96" t="s">
        <v>375</v>
      </c>
      <c r="L281" s="96" t="s">
        <v>7540</v>
      </c>
      <c r="M281" s="96" t="s">
        <v>7536</v>
      </c>
      <c r="N281" s="99" t="s">
        <v>43</v>
      </c>
    </row>
    <row r="282" spans="1:14" s="100" customFormat="1" ht="208" customHeight="1">
      <c r="A282" s="95">
        <v>281</v>
      </c>
      <c r="B282" s="95" t="s">
        <v>287</v>
      </c>
      <c r="C282" s="95" t="s">
        <v>7541</v>
      </c>
      <c r="D282" s="97" t="s">
        <v>7542</v>
      </c>
      <c r="E282" s="96" t="s">
        <v>43</v>
      </c>
      <c r="F282" s="96" t="s">
        <v>29</v>
      </c>
      <c r="G282" s="96" t="s">
        <v>43</v>
      </c>
      <c r="H282" s="96" t="s">
        <v>7543</v>
      </c>
      <c r="I282" s="96" t="s">
        <v>7544</v>
      </c>
      <c r="J282" s="96" t="s">
        <v>43</v>
      </c>
      <c r="K282" s="96" t="s">
        <v>7545</v>
      </c>
      <c r="L282" s="96" t="s">
        <v>43</v>
      </c>
      <c r="M282" s="96" t="s">
        <v>43</v>
      </c>
      <c r="N282" s="99" t="s">
        <v>43</v>
      </c>
    </row>
    <row r="283" spans="1:14" s="100" customFormat="1" ht="208" customHeight="1">
      <c r="A283" s="95">
        <v>282</v>
      </c>
      <c r="B283" s="95" t="s">
        <v>287</v>
      </c>
      <c r="C283" s="95" t="s">
        <v>7546</v>
      </c>
      <c r="D283" s="97" t="s">
        <v>7542</v>
      </c>
      <c r="E283" s="96" t="s">
        <v>7547</v>
      </c>
      <c r="F283" s="96" t="s">
        <v>29</v>
      </c>
      <c r="G283" s="96" t="s">
        <v>43</v>
      </c>
      <c r="H283" s="96" t="s">
        <v>7548</v>
      </c>
      <c r="I283" s="96" t="s">
        <v>7549</v>
      </c>
      <c r="J283" s="96" t="s">
        <v>43</v>
      </c>
      <c r="K283" s="96" t="s">
        <v>43</v>
      </c>
      <c r="L283" s="96" t="s">
        <v>43</v>
      </c>
      <c r="M283" s="96" t="s">
        <v>43</v>
      </c>
      <c r="N283" s="99" t="s">
        <v>43</v>
      </c>
    </row>
    <row r="284" spans="1:14" s="100" customFormat="1" ht="208" customHeight="1">
      <c r="A284" s="95">
        <v>283</v>
      </c>
      <c r="B284" s="95" t="s">
        <v>287</v>
      </c>
      <c r="C284" s="95" t="s">
        <v>7550</v>
      </c>
      <c r="D284" s="97" t="s">
        <v>7542</v>
      </c>
      <c r="E284" s="96" t="s">
        <v>43</v>
      </c>
      <c r="F284" s="96" t="s">
        <v>29</v>
      </c>
      <c r="G284" s="96" t="s">
        <v>43</v>
      </c>
      <c r="H284" s="96" t="s">
        <v>7551</v>
      </c>
      <c r="I284" s="96" t="s">
        <v>7552</v>
      </c>
      <c r="J284" s="96" t="s">
        <v>43</v>
      </c>
      <c r="K284" s="96" t="s">
        <v>43</v>
      </c>
      <c r="L284" s="96" t="s">
        <v>43</v>
      </c>
      <c r="M284" s="96" t="s">
        <v>43</v>
      </c>
      <c r="N284" s="99" t="s">
        <v>43</v>
      </c>
    </row>
    <row r="285" spans="1:14" s="100" customFormat="1" ht="208" customHeight="1">
      <c r="A285" s="95">
        <v>284</v>
      </c>
      <c r="B285" s="103" t="s">
        <v>287</v>
      </c>
      <c r="C285" s="103" t="s">
        <v>7553</v>
      </c>
      <c r="D285" s="97" t="s">
        <v>7554</v>
      </c>
      <c r="E285" s="96" t="s">
        <v>43</v>
      </c>
      <c r="F285" s="96" t="s">
        <v>29</v>
      </c>
      <c r="G285" s="96" t="s">
        <v>7555</v>
      </c>
      <c r="H285" s="96" t="s">
        <v>7556</v>
      </c>
      <c r="I285" s="96" t="s">
        <v>7557</v>
      </c>
      <c r="J285" s="96" t="s">
        <v>43</v>
      </c>
      <c r="K285" s="97" t="s">
        <v>7558</v>
      </c>
      <c r="L285" s="96" t="s">
        <v>7559</v>
      </c>
      <c r="M285" s="96" t="s">
        <v>43</v>
      </c>
      <c r="N285" s="99" t="s">
        <v>43</v>
      </c>
    </row>
    <row r="286" spans="1:14" s="100" customFormat="1" ht="208" customHeight="1">
      <c r="A286" s="95">
        <v>285</v>
      </c>
      <c r="B286" s="103" t="s">
        <v>50</v>
      </c>
      <c r="C286" s="103" t="s">
        <v>7560</v>
      </c>
      <c r="D286" s="96" t="s">
        <v>43</v>
      </c>
      <c r="E286" s="96" t="s">
        <v>43</v>
      </c>
      <c r="F286" s="96" t="s">
        <v>43</v>
      </c>
      <c r="G286" s="96" t="s">
        <v>43</v>
      </c>
      <c r="H286" s="96" t="s">
        <v>43</v>
      </c>
      <c r="I286" s="96" t="s">
        <v>43</v>
      </c>
      <c r="J286" s="96" t="s">
        <v>43</v>
      </c>
      <c r="K286" s="96" t="s">
        <v>43</v>
      </c>
      <c r="L286" s="96" t="s">
        <v>43</v>
      </c>
      <c r="M286" s="96" t="s">
        <v>43</v>
      </c>
      <c r="N286" s="99" t="s">
        <v>43</v>
      </c>
    </row>
    <row r="287" spans="1:14" s="100" customFormat="1" ht="208" customHeight="1">
      <c r="A287" s="95">
        <v>286</v>
      </c>
      <c r="B287" s="103" t="s">
        <v>760</v>
      </c>
      <c r="C287" s="103" t="s">
        <v>7561</v>
      </c>
      <c r="D287" s="96" t="s">
        <v>7562</v>
      </c>
      <c r="E287" s="96" t="s">
        <v>7563</v>
      </c>
      <c r="F287" s="96" t="s">
        <v>29</v>
      </c>
      <c r="G287" s="96" t="s">
        <v>43</v>
      </c>
      <c r="H287" s="96" t="s">
        <v>7564</v>
      </c>
      <c r="I287" s="96" t="s">
        <v>7565</v>
      </c>
      <c r="J287" s="96" t="s">
        <v>43</v>
      </c>
      <c r="K287" s="97" t="s">
        <v>7566</v>
      </c>
      <c r="L287" s="97" t="s">
        <v>7567</v>
      </c>
      <c r="M287" s="96" t="s">
        <v>7568</v>
      </c>
      <c r="N287" s="99" t="s">
        <v>7569</v>
      </c>
    </row>
    <row r="288" spans="1:14" s="100" customFormat="1" ht="208" customHeight="1">
      <c r="A288" s="95">
        <v>287</v>
      </c>
      <c r="B288" s="103" t="s">
        <v>789</v>
      </c>
      <c r="C288" s="103" t="s">
        <v>7570</v>
      </c>
      <c r="D288" s="96" t="s">
        <v>7571</v>
      </c>
      <c r="E288" s="96" t="s">
        <v>7572</v>
      </c>
      <c r="F288" s="96" t="s">
        <v>1707</v>
      </c>
      <c r="G288" s="96" t="s">
        <v>43</v>
      </c>
      <c r="H288" s="96" t="s">
        <v>7573</v>
      </c>
      <c r="I288" s="96" t="s">
        <v>7574</v>
      </c>
      <c r="J288" s="96" t="s">
        <v>323</v>
      </c>
      <c r="K288" s="97" t="s">
        <v>7575</v>
      </c>
      <c r="L288" s="96" t="s">
        <v>7576</v>
      </c>
      <c r="M288" s="97" t="s">
        <v>7577</v>
      </c>
      <c r="N288" s="99" t="s">
        <v>43</v>
      </c>
    </row>
    <row r="289" spans="1:14" s="100" customFormat="1" ht="208" customHeight="1">
      <c r="A289" s="95">
        <v>288</v>
      </c>
      <c r="B289" s="103" t="s">
        <v>1610</v>
      </c>
      <c r="C289" s="103" t="s">
        <v>43</v>
      </c>
      <c r="D289" s="96" t="s">
        <v>7578</v>
      </c>
      <c r="E289" s="96" t="s">
        <v>7579</v>
      </c>
      <c r="F289" s="96" t="s">
        <v>43</v>
      </c>
      <c r="G289" s="97" t="s">
        <v>7580</v>
      </c>
      <c r="H289" s="96" t="s">
        <v>7581</v>
      </c>
      <c r="I289" s="96" t="s">
        <v>6400</v>
      </c>
      <c r="J289" s="96" t="s">
        <v>512</v>
      </c>
      <c r="K289" s="97" t="s">
        <v>7582</v>
      </c>
      <c r="L289" s="97" t="s">
        <v>7583</v>
      </c>
      <c r="M289" s="97" t="s">
        <v>7584</v>
      </c>
      <c r="N289" s="99" t="s">
        <v>43</v>
      </c>
    </row>
    <row r="290" spans="1:14" s="100" customFormat="1" ht="208" customHeight="1">
      <c r="A290" s="95">
        <v>289</v>
      </c>
      <c r="B290" s="103" t="s">
        <v>954</v>
      </c>
      <c r="C290" s="103" t="s">
        <v>824</v>
      </c>
      <c r="D290" s="96" t="s">
        <v>7585</v>
      </c>
      <c r="E290" s="96" t="s">
        <v>978</v>
      </c>
      <c r="F290" s="96" t="s">
        <v>29</v>
      </c>
      <c r="G290" s="97" t="s">
        <v>7586</v>
      </c>
      <c r="H290" s="96" t="s">
        <v>7587</v>
      </c>
      <c r="I290" s="96" t="s">
        <v>7588</v>
      </c>
      <c r="J290" s="96" t="s">
        <v>204</v>
      </c>
      <c r="K290" s="96" t="s">
        <v>7589</v>
      </c>
      <c r="L290" s="97" t="s">
        <v>7590</v>
      </c>
      <c r="M290" s="96" t="s">
        <v>43</v>
      </c>
      <c r="N290" s="99" t="s">
        <v>43</v>
      </c>
    </row>
    <row r="291" spans="1:14" s="100" customFormat="1" ht="208" customHeight="1">
      <c r="A291" s="95">
        <v>290</v>
      </c>
      <c r="B291" s="103" t="s">
        <v>1671</v>
      </c>
      <c r="C291" s="103" t="s">
        <v>7591</v>
      </c>
      <c r="D291" s="97" t="s">
        <v>7592</v>
      </c>
      <c r="E291" s="96" t="s">
        <v>7593</v>
      </c>
      <c r="F291" s="96" t="s">
        <v>29</v>
      </c>
      <c r="G291" s="96" t="s">
        <v>43</v>
      </c>
      <c r="H291" s="96" t="s">
        <v>7594</v>
      </c>
      <c r="I291" s="96" t="s">
        <v>43</v>
      </c>
      <c r="J291" s="96" t="s">
        <v>796</v>
      </c>
      <c r="K291" s="97" t="s">
        <v>7595</v>
      </c>
      <c r="L291" s="96" t="s">
        <v>7596</v>
      </c>
      <c r="M291" s="96" t="s">
        <v>43</v>
      </c>
      <c r="N291" s="99" t="s">
        <v>43</v>
      </c>
    </row>
    <row r="292" spans="1:14" s="100" customFormat="1" ht="208" customHeight="1">
      <c r="A292" s="95">
        <v>291</v>
      </c>
      <c r="B292" s="103" t="s">
        <v>50</v>
      </c>
      <c r="C292" s="103" t="s">
        <v>1326</v>
      </c>
      <c r="D292" s="97" t="s">
        <v>7597</v>
      </c>
      <c r="E292" s="97" t="s">
        <v>7598</v>
      </c>
      <c r="F292" s="96" t="s">
        <v>29</v>
      </c>
      <c r="G292" s="96" t="s">
        <v>43</v>
      </c>
      <c r="H292" s="96" t="s">
        <v>7599</v>
      </c>
      <c r="I292" s="96" t="s">
        <v>7408</v>
      </c>
      <c r="J292" s="96" t="s">
        <v>4378</v>
      </c>
      <c r="K292" s="97" t="s">
        <v>7600</v>
      </c>
      <c r="L292" s="96" t="s">
        <v>43</v>
      </c>
      <c r="M292" s="96" t="s">
        <v>3065</v>
      </c>
      <c r="N292" s="99" t="s">
        <v>43</v>
      </c>
    </row>
    <row r="293" spans="1:14" s="100" customFormat="1" ht="208" customHeight="1">
      <c r="A293" s="95">
        <v>292</v>
      </c>
      <c r="B293" s="103" t="s">
        <v>7601</v>
      </c>
      <c r="C293" s="103" t="s">
        <v>7602</v>
      </c>
      <c r="D293" s="96" t="s">
        <v>7603</v>
      </c>
      <c r="E293" s="96" t="s">
        <v>7604</v>
      </c>
      <c r="F293" s="96" t="s">
        <v>29</v>
      </c>
      <c r="G293" s="96" t="s">
        <v>43</v>
      </c>
      <c r="H293" s="96" t="s">
        <v>7605</v>
      </c>
      <c r="I293" s="96" t="s">
        <v>7606</v>
      </c>
      <c r="J293" s="96" t="s">
        <v>43</v>
      </c>
      <c r="K293" s="97" t="s">
        <v>7607</v>
      </c>
      <c r="L293" s="96" t="s">
        <v>43</v>
      </c>
      <c r="M293" s="96" t="s">
        <v>43</v>
      </c>
      <c r="N293" s="99" t="s">
        <v>43</v>
      </c>
    </row>
    <row r="294" spans="1:14" s="100" customFormat="1" ht="208" customHeight="1">
      <c r="A294" s="95">
        <v>293</v>
      </c>
      <c r="B294" s="95" t="s">
        <v>50</v>
      </c>
      <c r="C294" s="95" t="s">
        <v>451</v>
      </c>
      <c r="D294" s="97" t="s">
        <v>1275</v>
      </c>
      <c r="E294" s="96" t="s">
        <v>7608</v>
      </c>
      <c r="F294" s="96" t="s">
        <v>88</v>
      </c>
      <c r="G294" s="96" t="s">
        <v>43</v>
      </c>
      <c r="H294" s="96" t="s">
        <v>7609</v>
      </c>
      <c r="I294" s="96" t="s">
        <v>7201</v>
      </c>
      <c r="J294" s="96" t="s">
        <v>43</v>
      </c>
      <c r="K294" s="97" t="s">
        <v>7610</v>
      </c>
      <c r="L294" s="96" t="s">
        <v>43</v>
      </c>
      <c r="M294" s="96" t="s">
        <v>43</v>
      </c>
      <c r="N294" s="101" t="s">
        <v>7611</v>
      </c>
    </row>
    <row r="295" spans="1:14" s="100" customFormat="1" ht="208" customHeight="1">
      <c r="A295" s="95">
        <v>294</v>
      </c>
      <c r="B295" s="95" t="s">
        <v>1388</v>
      </c>
      <c r="C295" s="95" t="s">
        <v>1570</v>
      </c>
      <c r="D295" s="96" t="s">
        <v>7612</v>
      </c>
      <c r="E295" s="96" t="s">
        <v>5662</v>
      </c>
      <c r="F295" s="96" t="s">
        <v>7613</v>
      </c>
      <c r="G295" s="96" t="s">
        <v>43</v>
      </c>
      <c r="H295" s="96" t="s">
        <v>7614</v>
      </c>
      <c r="I295" s="96" t="s">
        <v>43</v>
      </c>
      <c r="J295" s="96" t="s">
        <v>43</v>
      </c>
      <c r="K295" s="97" t="s">
        <v>7615</v>
      </c>
      <c r="L295" s="96" t="s">
        <v>43</v>
      </c>
      <c r="M295" s="96" t="s">
        <v>7616</v>
      </c>
      <c r="N295" s="99" t="s">
        <v>43</v>
      </c>
    </row>
    <row r="296" spans="1:14" s="100" customFormat="1" ht="208" customHeight="1">
      <c r="A296" s="95">
        <v>295</v>
      </c>
      <c r="B296" s="103" t="s">
        <v>2190</v>
      </c>
      <c r="C296" s="103" t="s">
        <v>1421</v>
      </c>
      <c r="D296" s="96" t="s">
        <v>7617</v>
      </c>
      <c r="E296" s="96" t="s">
        <v>7618</v>
      </c>
      <c r="F296" s="96" t="s">
        <v>1783</v>
      </c>
      <c r="G296" s="96" t="s">
        <v>43</v>
      </c>
      <c r="H296" s="96" t="s">
        <v>7619</v>
      </c>
      <c r="I296" s="96" t="s">
        <v>7620</v>
      </c>
      <c r="J296" s="96" t="s">
        <v>63</v>
      </c>
      <c r="K296" s="97" t="s">
        <v>7621</v>
      </c>
      <c r="L296" s="96" t="s">
        <v>43</v>
      </c>
      <c r="M296" s="96" t="s">
        <v>43</v>
      </c>
      <c r="N296" s="99" t="s">
        <v>43</v>
      </c>
    </row>
    <row r="297" spans="1:14" s="100" customFormat="1" ht="208" customHeight="1">
      <c r="A297" s="95">
        <v>296</v>
      </c>
      <c r="B297" s="103" t="s">
        <v>333</v>
      </c>
      <c r="C297" s="103" t="s">
        <v>7622</v>
      </c>
      <c r="D297" s="96" t="s">
        <v>7623</v>
      </c>
      <c r="E297" s="96" t="s">
        <v>509</v>
      </c>
      <c r="F297" s="96" t="s">
        <v>29</v>
      </c>
      <c r="G297" s="97" t="s">
        <v>7624</v>
      </c>
      <c r="H297" s="96" t="s">
        <v>7625</v>
      </c>
      <c r="I297" s="96" t="s">
        <v>7626</v>
      </c>
      <c r="J297" s="96" t="s">
        <v>43</v>
      </c>
      <c r="K297" s="97" t="s">
        <v>7627</v>
      </c>
      <c r="L297" s="97" t="s">
        <v>7628</v>
      </c>
      <c r="M297" s="96" t="s">
        <v>7629</v>
      </c>
      <c r="N297" s="99" t="s">
        <v>7630</v>
      </c>
    </row>
    <row r="298" spans="1:14" s="100" customFormat="1" ht="208" customHeight="1">
      <c r="A298" s="95">
        <v>297</v>
      </c>
      <c r="B298" s="103" t="s">
        <v>13</v>
      </c>
      <c r="C298" s="103" t="s">
        <v>390</v>
      </c>
      <c r="D298" s="96" t="s">
        <v>7631</v>
      </c>
      <c r="E298" s="96" t="s">
        <v>839</v>
      </c>
      <c r="F298" s="96" t="s">
        <v>88</v>
      </c>
      <c r="G298" s="96" t="s">
        <v>7632</v>
      </c>
      <c r="H298" s="96" t="s">
        <v>7633</v>
      </c>
      <c r="I298" s="109">
        <v>45504</v>
      </c>
      <c r="J298" s="96" t="s">
        <v>43</v>
      </c>
      <c r="K298" s="96" t="s">
        <v>7634</v>
      </c>
      <c r="L298" s="96" t="s">
        <v>43</v>
      </c>
      <c r="M298" s="96" t="s">
        <v>43</v>
      </c>
      <c r="N298" s="99" t="s">
        <v>43</v>
      </c>
    </row>
    <row r="299" spans="1:14" s="100" customFormat="1" ht="208" customHeight="1">
      <c r="A299" s="95">
        <v>298</v>
      </c>
      <c r="B299" s="103" t="s">
        <v>1483</v>
      </c>
      <c r="C299" s="103" t="s">
        <v>43</v>
      </c>
      <c r="D299" s="96" t="s">
        <v>7635</v>
      </c>
      <c r="E299" s="96" t="s">
        <v>7636</v>
      </c>
      <c r="F299" s="96" t="s">
        <v>29</v>
      </c>
      <c r="G299" s="96" t="s">
        <v>7637</v>
      </c>
      <c r="H299" s="96" t="s">
        <v>7638</v>
      </c>
      <c r="I299" s="96" t="s">
        <v>43</v>
      </c>
      <c r="J299" s="96" t="s">
        <v>43</v>
      </c>
      <c r="K299" s="97" t="s">
        <v>7639</v>
      </c>
      <c r="L299" s="96" t="s">
        <v>43</v>
      </c>
      <c r="M299" s="97" t="s">
        <v>7640</v>
      </c>
      <c r="N299" s="99" t="s">
        <v>43</v>
      </c>
    </row>
    <row r="300" spans="1:14" s="100" customFormat="1" ht="208" customHeight="1">
      <c r="A300" s="95">
        <v>299</v>
      </c>
      <c r="B300" s="103" t="s">
        <v>1483</v>
      </c>
      <c r="C300" s="103" t="s">
        <v>824</v>
      </c>
      <c r="D300" s="96" t="s">
        <v>7641</v>
      </c>
      <c r="E300" s="96" t="s">
        <v>7642</v>
      </c>
      <c r="F300" s="96" t="s">
        <v>29</v>
      </c>
      <c r="G300" s="96" t="s">
        <v>7643</v>
      </c>
      <c r="H300" s="96" t="s">
        <v>7644</v>
      </c>
      <c r="I300" s="96" t="s">
        <v>43</v>
      </c>
      <c r="J300" s="96" t="s">
        <v>2077</v>
      </c>
      <c r="K300" s="97" t="s">
        <v>7645</v>
      </c>
      <c r="L300" s="96" t="s">
        <v>43</v>
      </c>
      <c r="M300" s="97" t="s">
        <v>7646</v>
      </c>
      <c r="N300" s="99" t="s">
        <v>43</v>
      </c>
    </row>
    <row r="301" spans="1:14" s="100" customFormat="1" ht="208" customHeight="1">
      <c r="A301" s="95">
        <v>300</v>
      </c>
      <c r="B301" s="103" t="s">
        <v>1388</v>
      </c>
      <c r="C301" s="103" t="s">
        <v>1503</v>
      </c>
      <c r="D301" s="96" t="s">
        <v>7647</v>
      </c>
      <c r="E301" s="96" t="s">
        <v>1504</v>
      </c>
      <c r="F301" s="96" t="s">
        <v>29</v>
      </c>
      <c r="G301" s="97" t="s">
        <v>7648</v>
      </c>
      <c r="H301" s="96" t="s">
        <v>7649</v>
      </c>
      <c r="I301" s="98">
        <v>45505</v>
      </c>
      <c r="J301" s="96" t="s">
        <v>43</v>
      </c>
      <c r="K301" s="97" t="s">
        <v>7650</v>
      </c>
      <c r="L301" s="96" t="s">
        <v>7651</v>
      </c>
      <c r="M301" s="97" t="s">
        <v>7652</v>
      </c>
      <c r="N301" s="99" t="s">
        <v>43</v>
      </c>
    </row>
    <row r="302" spans="1:14" s="100" customFormat="1" ht="208" customHeight="1">
      <c r="A302" s="95">
        <v>301</v>
      </c>
      <c r="B302" s="95" t="s">
        <v>20</v>
      </c>
      <c r="C302" s="95" t="s">
        <v>7653</v>
      </c>
      <c r="D302" s="96" t="s">
        <v>43</v>
      </c>
      <c r="E302" s="96" t="s">
        <v>43</v>
      </c>
      <c r="F302" s="96" t="s">
        <v>29</v>
      </c>
      <c r="G302" s="96" t="s">
        <v>43</v>
      </c>
      <c r="H302" s="96" t="s">
        <v>7654</v>
      </c>
      <c r="I302" s="96" t="s">
        <v>7655</v>
      </c>
      <c r="J302" s="96" t="s">
        <v>43</v>
      </c>
      <c r="K302" s="97" t="s">
        <v>7656</v>
      </c>
      <c r="L302" s="96" t="s">
        <v>5845</v>
      </c>
      <c r="M302" s="96" t="s">
        <v>43</v>
      </c>
      <c r="N302" s="99" t="s">
        <v>43</v>
      </c>
    </row>
    <row r="303" spans="1:14" s="100" customFormat="1" ht="208" customHeight="1">
      <c r="A303" s="95">
        <v>302</v>
      </c>
      <c r="B303" s="95" t="s">
        <v>20</v>
      </c>
      <c r="C303" s="95" t="s">
        <v>7657</v>
      </c>
      <c r="D303" s="96" t="s">
        <v>43</v>
      </c>
      <c r="E303" s="96" t="s">
        <v>43</v>
      </c>
      <c r="F303" s="96" t="s">
        <v>793</v>
      </c>
      <c r="G303" s="96" t="s">
        <v>43</v>
      </c>
      <c r="H303" s="96" t="s">
        <v>7658</v>
      </c>
      <c r="I303" s="96" t="s">
        <v>7659</v>
      </c>
      <c r="J303" s="96" t="s">
        <v>43</v>
      </c>
      <c r="K303" s="97" t="s">
        <v>7660</v>
      </c>
      <c r="L303" s="96" t="s">
        <v>5845</v>
      </c>
      <c r="M303" s="96" t="s">
        <v>43</v>
      </c>
      <c r="N303" s="99" t="s">
        <v>43</v>
      </c>
    </row>
    <row r="304" spans="1:14" s="100" customFormat="1" ht="208" customHeight="1">
      <c r="A304" s="95">
        <v>303</v>
      </c>
      <c r="B304" s="95" t="s">
        <v>287</v>
      </c>
      <c r="C304" s="95" t="s">
        <v>7661</v>
      </c>
      <c r="D304" s="96" t="s">
        <v>7662</v>
      </c>
      <c r="E304" s="96" t="s">
        <v>7663</v>
      </c>
      <c r="F304" s="96" t="s">
        <v>43</v>
      </c>
      <c r="G304" s="96" t="s">
        <v>43</v>
      </c>
      <c r="H304" s="96" t="s">
        <v>7664</v>
      </c>
      <c r="I304" s="96" t="s">
        <v>43</v>
      </c>
      <c r="J304" s="96">
        <v>40</v>
      </c>
      <c r="K304" s="97" t="s">
        <v>7665</v>
      </c>
      <c r="L304" s="96" t="s">
        <v>43</v>
      </c>
      <c r="M304" s="97" t="s">
        <v>7666</v>
      </c>
      <c r="N304" s="99" t="s">
        <v>43</v>
      </c>
    </row>
  </sheetData>
  <mergeCells count="1">
    <mergeCell ref="D10:J10"/>
  </mergeCells>
  <phoneticPr fontId="5" type="noConversion"/>
  <hyperlinks>
    <hyperlink ref="C183" r:id="rId1" xr:uid="{C3597A59-9C74-458B-87A5-9562A0AC17DE}"/>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B8A6F-6DA0-42FF-A590-8274401753F0}">
  <dimension ref="A1:N333"/>
  <sheetViews>
    <sheetView topLeftCell="A331" zoomScale="30" zoomScaleNormal="30" workbookViewId="0">
      <selection activeCell="D333" sqref="D333"/>
    </sheetView>
  </sheetViews>
  <sheetFormatPr defaultColWidth="10.6640625" defaultRowHeight="15"/>
  <cols>
    <col min="2" max="2" width="50.33203125" customWidth="1"/>
    <col min="3" max="3" width="45.59765625" customWidth="1"/>
    <col min="4" max="4" width="100.6640625" customWidth="1"/>
    <col min="5" max="5" width="100.46484375" customWidth="1"/>
    <col min="6" max="6" width="100.33203125" customWidth="1"/>
    <col min="7" max="7" width="100.6640625" customWidth="1"/>
    <col min="8" max="8" width="98.33203125" customWidth="1"/>
    <col min="9" max="9" width="66.6640625" customWidth="1"/>
    <col min="10" max="10" width="99.6640625" customWidth="1"/>
    <col min="11" max="11" width="160" customWidth="1"/>
    <col min="12" max="12" width="100.46484375" customWidth="1"/>
    <col min="13" max="13" width="100.6640625" customWidth="1"/>
    <col min="14" max="14" width="187.33203125" customWidth="1"/>
  </cols>
  <sheetData>
    <row r="1" spans="1:14" s="73" customFormat="1" ht="38.6">
      <c r="A1" s="6" t="s">
        <v>5847</v>
      </c>
      <c r="B1" s="6" t="s">
        <v>0</v>
      </c>
      <c r="C1" s="6" t="s">
        <v>1</v>
      </c>
      <c r="D1" s="6" t="s">
        <v>2</v>
      </c>
      <c r="E1" s="6" t="s">
        <v>3</v>
      </c>
      <c r="F1" s="6" t="s">
        <v>4</v>
      </c>
      <c r="G1" s="6" t="s">
        <v>5</v>
      </c>
      <c r="H1" s="6" t="s">
        <v>6</v>
      </c>
      <c r="I1" s="6" t="s">
        <v>7</v>
      </c>
      <c r="J1" s="6" t="s">
        <v>8</v>
      </c>
      <c r="K1" s="6" t="s">
        <v>9</v>
      </c>
      <c r="L1" s="6" t="s">
        <v>10</v>
      </c>
      <c r="M1" s="6" t="s">
        <v>11</v>
      </c>
      <c r="N1" s="6" t="s">
        <v>12</v>
      </c>
    </row>
    <row r="2" spans="1:14" s="73" customFormat="1" ht="409.6">
      <c r="A2" s="75">
        <v>1</v>
      </c>
      <c r="B2" s="74" t="s">
        <v>43</v>
      </c>
      <c r="C2" s="75" t="s">
        <v>44</v>
      </c>
      <c r="D2" s="8" t="s">
        <v>17</v>
      </c>
      <c r="E2" s="8" t="s">
        <v>17</v>
      </c>
      <c r="F2" s="8" t="s">
        <v>17</v>
      </c>
      <c r="G2" s="8" t="s">
        <v>45</v>
      </c>
      <c r="H2" s="8" t="s">
        <v>4089</v>
      </c>
      <c r="I2" s="8" t="s">
        <v>4090</v>
      </c>
      <c r="J2" s="8" t="s">
        <v>17</v>
      </c>
      <c r="K2" s="8" t="s">
        <v>4091</v>
      </c>
      <c r="L2" s="8" t="s">
        <v>17</v>
      </c>
      <c r="M2" s="8" t="s">
        <v>17</v>
      </c>
      <c r="N2" s="8" t="s">
        <v>49</v>
      </c>
    </row>
    <row r="3" spans="1:14" s="73" customFormat="1" ht="298.3">
      <c r="A3" s="75">
        <v>2</v>
      </c>
      <c r="B3" s="74" t="s">
        <v>20</v>
      </c>
      <c r="C3" s="75" t="s">
        <v>21</v>
      </c>
      <c r="D3" s="8" t="s">
        <v>17</v>
      </c>
      <c r="E3" s="8" t="s">
        <v>4092</v>
      </c>
      <c r="F3" s="8" t="s">
        <v>17</v>
      </c>
      <c r="G3" s="8" t="s">
        <v>17</v>
      </c>
      <c r="H3" s="8" t="s">
        <v>4093</v>
      </c>
      <c r="I3" s="76" t="s">
        <v>4094</v>
      </c>
      <c r="J3" s="8" t="s">
        <v>17</v>
      </c>
      <c r="K3" s="8" t="s">
        <v>25</v>
      </c>
      <c r="L3" s="8" t="s">
        <v>17</v>
      </c>
      <c r="M3" s="8" t="s">
        <v>17</v>
      </c>
      <c r="N3" s="8"/>
    </row>
    <row r="4" spans="1:14" s="73" customFormat="1" ht="409.6">
      <c r="A4" s="75">
        <v>3</v>
      </c>
      <c r="B4" s="74" t="s">
        <v>133</v>
      </c>
      <c r="C4" s="75" t="s">
        <v>134</v>
      </c>
      <c r="D4" s="8" t="s">
        <v>135</v>
      </c>
      <c r="E4" s="8" t="s">
        <v>136</v>
      </c>
      <c r="F4" s="8" t="s">
        <v>29</v>
      </c>
      <c r="G4" s="8" t="s">
        <v>137</v>
      </c>
      <c r="H4" s="8" t="s">
        <v>4095</v>
      </c>
      <c r="I4" s="8" t="s">
        <v>138</v>
      </c>
      <c r="J4" s="8" t="s">
        <v>17</v>
      </c>
      <c r="K4" s="8" t="s">
        <v>4096</v>
      </c>
      <c r="L4" s="8" t="s">
        <v>141</v>
      </c>
      <c r="M4" s="8" t="s">
        <v>17</v>
      </c>
      <c r="N4" s="8" t="s">
        <v>4097</v>
      </c>
    </row>
    <row r="5" spans="1:14" s="73" customFormat="1" ht="74.599999999999994">
      <c r="A5" s="75">
        <v>4</v>
      </c>
      <c r="B5" s="74" t="s">
        <v>58</v>
      </c>
      <c r="C5" s="75" t="s">
        <v>59</v>
      </c>
      <c r="D5" s="8" t="s">
        <v>17</v>
      </c>
      <c r="E5" s="8" t="s">
        <v>17</v>
      </c>
      <c r="F5" s="8" t="s">
        <v>17</v>
      </c>
      <c r="G5" s="8" t="s">
        <v>17</v>
      </c>
      <c r="H5" s="8" t="s">
        <v>4098</v>
      </c>
      <c r="I5" s="8" t="s">
        <v>17</v>
      </c>
      <c r="J5" s="8" t="s">
        <v>17</v>
      </c>
      <c r="K5" s="8" t="s">
        <v>17</v>
      </c>
      <c r="L5" s="8" t="s">
        <v>17</v>
      </c>
      <c r="M5" s="8" t="s">
        <v>17</v>
      </c>
      <c r="N5" s="8"/>
    </row>
    <row r="6" spans="1:14" s="73" customFormat="1" ht="409.6">
      <c r="A6" s="75">
        <v>5</v>
      </c>
      <c r="B6" s="77" t="s">
        <v>20</v>
      </c>
      <c r="C6" s="78" t="s">
        <v>86</v>
      </c>
      <c r="D6" s="8" t="s">
        <v>36</v>
      </c>
      <c r="E6" s="8" t="s">
        <v>87</v>
      </c>
      <c r="F6" s="8" t="s">
        <v>29</v>
      </c>
      <c r="G6" s="8" t="s">
        <v>4099</v>
      </c>
      <c r="H6" s="8" t="s">
        <v>4100</v>
      </c>
      <c r="I6" s="8" t="s">
        <v>4101</v>
      </c>
      <c r="J6" s="8" t="s">
        <v>32</v>
      </c>
      <c r="K6" s="8" t="s">
        <v>91</v>
      </c>
      <c r="L6" s="8" t="s">
        <v>17</v>
      </c>
      <c r="M6" s="8" t="s">
        <v>17</v>
      </c>
      <c r="N6" s="8" t="s">
        <v>4102</v>
      </c>
    </row>
    <row r="7" spans="1:14" s="73" customFormat="1" ht="409.6">
      <c r="A7" s="75">
        <v>6</v>
      </c>
      <c r="B7" s="74" t="s">
        <v>20</v>
      </c>
      <c r="C7" s="75" t="s">
        <v>116</v>
      </c>
      <c r="D7" s="8" t="s">
        <v>36</v>
      </c>
      <c r="E7" s="8" t="s">
        <v>87</v>
      </c>
      <c r="F7" s="8" t="s">
        <v>17</v>
      </c>
      <c r="G7" s="8" t="s">
        <v>4103</v>
      </c>
      <c r="H7" s="8" t="s">
        <v>4104</v>
      </c>
      <c r="I7" s="8" t="s">
        <v>4105</v>
      </c>
      <c r="J7" s="8" t="s">
        <v>17</v>
      </c>
      <c r="K7" s="8" t="s">
        <v>4106</v>
      </c>
      <c r="L7" s="8" t="s">
        <v>17</v>
      </c>
      <c r="M7" s="8" t="s">
        <v>17</v>
      </c>
      <c r="N7" s="8" t="s">
        <v>4107</v>
      </c>
    </row>
    <row r="8" spans="1:14" s="73" customFormat="1" ht="409.6">
      <c r="A8" s="75">
        <v>7</v>
      </c>
      <c r="B8" s="74" t="s">
        <v>26</v>
      </c>
      <c r="C8" s="75" t="s">
        <v>27</v>
      </c>
      <c r="D8" s="8" t="s">
        <v>28</v>
      </c>
      <c r="E8" s="8" t="s">
        <v>17</v>
      </c>
      <c r="F8" s="8" t="s">
        <v>29</v>
      </c>
      <c r="G8" s="8" t="s">
        <v>30</v>
      </c>
      <c r="H8" s="8" t="s">
        <v>4108</v>
      </c>
      <c r="I8" s="9" t="s">
        <v>4109</v>
      </c>
      <c r="J8" s="8" t="s">
        <v>32</v>
      </c>
      <c r="K8" s="8" t="s">
        <v>33</v>
      </c>
      <c r="L8" s="8" t="s">
        <v>17</v>
      </c>
      <c r="M8" s="8" t="s">
        <v>34</v>
      </c>
      <c r="N8" s="8"/>
    </row>
    <row r="9" spans="1:14" s="73" customFormat="1" ht="335.6">
      <c r="A9" s="75">
        <v>8</v>
      </c>
      <c r="B9" s="74" t="s">
        <v>109</v>
      </c>
      <c r="C9" s="75" t="s">
        <v>129</v>
      </c>
      <c r="D9" s="8" t="s">
        <v>130</v>
      </c>
      <c r="E9" s="8" t="s">
        <v>17</v>
      </c>
      <c r="F9" s="8" t="s">
        <v>17</v>
      </c>
      <c r="G9" s="8" t="s">
        <v>17</v>
      </c>
      <c r="H9" s="8" t="s">
        <v>4110</v>
      </c>
      <c r="I9" s="8" t="s">
        <v>17</v>
      </c>
      <c r="J9" s="8" t="s">
        <v>512</v>
      </c>
      <c r="K9" s="8" t="s">
        <v>4111</v>
      </c>
      <c r="L9" s="8" t="s">
        <v>17</v>
      </c>
      <c r="M9" s="8" t="s">
        <v>17</v>
      </c>
      <c r="N9" s="8"/>
    </row>
    <row r="10" spans="1:14" s="73" customFormat="1" ht="149.15">
      <c r="A10" s="75">
        <v>9</v>
      </c>
      <c r="B10" s="74" t="s">
        <v>109</v>
      </c>
      <c r="C10" s="75" t="s">
        <v>110</v>
      </c>
      <c r="D10" s="8" t="s">
        <v>17</v>
      </c>
      <c r="E10" s="8" t="s">
        <v>17</v>
      </c>
      <c r="F10" s="8" t="s">
        <v>4112</v>
      </c>
      <c r="G10" s="8" t="s">
        <v>4113</v>
      </c>
      <c r="H10" s="8" t="s">
        <v>17</v>
      </c>
      <c r="I10" s="8" t="s">
        <v>4114</v>
      </c>
      <c r="J10" s="8" t="s">
        <v>17</v>
      </c>
      <c r="K10" s="8" t="s">
        <v>4115</v>
      </c>
      <c r="L10" s="8" t="s">
        <v>17</v>
      </c>
      <c r="M10" s="8" t="s">
        <v>17</v>
      </c>
      <c r="N10" s="8"/>
    </row>
    <row r="11" spans="1:14" s="73" customFormat="1" ht="409.6">
      <c r="A11" s="75">
        <v>10</v>
      </c>
      <c r="B11" s="74" t="s">
        <v>65</v>
      </c>
      <c r="C11" s="75" t="s">
        <v>43</v>
      </c>
      <c r="D11" s="8" t="s">
        <v>66</v>
      </c>
      <c r="E11" s="8" t="s">
        <v>4116</v>
      </c>
      <c r="F11" s="8" t="s">
        <v>29</v>
      </c>
      <c r="G11" s="8" t="s">
        <v>4117</v>
      </c>
      <c r="H11" s="8" t="s">
        <v>4118</v>
      </c>
      <c r="I11" s="8" t="s">
        <v>4119</v>
      </c>
      <c r="J11" s="8" t="s">
        <v>4120</v>
      </c>
      <c r="K11" s="8" t="s">
        <v>4121</v>
      </c>
      <c r="L11" s="8" t="s">
        <v>17</v>
      </c>
      <c r="M11" s="8" t="s">
        <v>4122</v>
      </c>
      <c r="N11" s="8"/>
    </row>
    <row r="12" spans="1:14" s="73" customFormat="1" ht="409.6">
      <c r="A12" s="75">
        <v>11</v>
      </c>
      <c r="B12" s="74" t="s">
        <v>109</v>
      </c>
      <c r="C12" s="75" t="s">
        <v>148</v>
      </c>
      <c r="D12" s="8" t="s">
        <v>149</v>
      </c>
      <c r="E12" s="8" t="s">
        <v>150</v>
      </c>
      <c r="F12" s="8" t="s">
        <v>151</v>
      </c>
      <c r="G12" s="8" t="s">
        <v>17</v>
      </c>
      <c r="H12" s="8" t="s">
        <v>4123</v>
      </c>
      <c r="I12" s="8" t="s">
        <v>4124</v>
      </c>
      <c r="J12" s="8" t="s">
        <v>154</v>
      </c>
      <c r="K12" s="8" t="s">
        <v>4125</v>
      </c>
      <c r="L12" s="8" t="s">
        <v>4126</v>
      </c>
      <c r="M12" s="8" t="s">
        <v>17</v>
      </c>
      <c r="N12" s="8"/>
    </row>
    <row r="13" spans="1:14" s="73" customFormat="1" ht="298.3">
      <c r="A13" s="75">
        <v>12</v>
      </c>
      <c r="B13" s="74" t="s">
        <v>4127</v>
      </c>
      <c r="C13" s="75" t="s">
        <v>4128</v>
      </c>
      <c r="D13" s="8" t="s">
        <v>4129</v>
      </c>
      <c r="E13" s="8" t="s">
        <v>17</v>
      </c>
      <c r="F13" s="8" t="s">
        <v>29</v>
      </c>
      <c r="G13" s="8" t="s">
        <v>4130</v>
      </c>
      <c r="H13" s="8" t="s">
        <v>4131</v>
      </c>
      <c r="I13" s="76" t="s">
        <v>4132</v>
      </c>
      <c r="J13" s="8" t="s">
        <v>17</v>
      </c>
      <c r="K13" s="8" t="s">
        <v>4133</v>
      </c>
      <c r="L13" s="8" t="s">
        <v>4134</v>
      </c>
      <c r="M13" s="8" t="s">
        <v>17</v>
      </c>
      <c r="N13" s="8" t="s">
        <v>4135</v>
      </c>
    </row>
    <row r="14" spans="1:14" s="73" customFormat="1" ht="298.3">
      <c r="A14" s="75">
        <v>13</v>
      </c>
      <c r="B14" s="79" t="s">
        <v>109</v>
      </c>
      <c r="C14" s="75" t="s">
        <v>2265</v>
      </c>
      <c r="D14" s="8" t="s">
        <v>4136</v>
      </c>
      <c r="E14" s="8" t="s">
        <v>4137</v>
      </c>
      <c r="F14" s="8" t="s">
        <v>29</v>
      </c>
      <c r="G14" s="8" t="s">
        <v>4138</v>
      </c>
      <c r="H14" s="8" t="s">
        <v>4139</v>
      </c>
      <c r="I14" s="8" t="s">
        <v>4140</v>
      </c>
      <c r="J14" s="8" t="s">
        <v>209</v>
      </c>
      <c r="K14" s="8" t="s">
        <v>4141</v>
      </c>
      <c r="L14" s="8" t="s">
        <v>4142</v>
      </c>
      <c r="M14" s="8" t="s">
        <v>17</v>
      </c>
      <c r="N14" s="8"/>
    </row>
    <row r="15" spans="1:14" s="73" customFormat="1" ht="409.6">
      <c r="A15" s="75">
        <v>14</v>
      </c>
      <c r="B15" s="74" t="s">
        <v>58</v>
      </c>
      <c r="C15" s="75" t="s">
        <v>4143</v>
      </c>
      <c r="D15" s="8" t="s">
        <v>36</v>
      </c>
      <c r="E15" s="8" t="s">
        <v>4144</v>
      </c>
      <c r="F15" s="8" t="s">
        <v>29</v>
      </c>
      <c r="G15" s="8" t="s">
        <v>4145</v>
      </c>
      <c r="H15" s="8" t="s">
        <v>17</v>
      </c>
      <c r="I15" s="76">
        <v>45108</v>
      </c>
      <c r="J15" s="8" t="s">
        <v>17</v>
      </c>
      <c r="K15" s="8" t="s">
        <v>17</v>
      </c>
      <c r="L15" s="8" t="s">
        <v>4146</v>
      </c>
      <c r="M15" s="8" t="s">
        <v>17</v>
      </c>
      <c r="N15" s="8"/>
    </row>
    <row r="16" spans="1:14" s="73" customFormat="1" ht="409.6">
      <c r="A16" s="75">
        <v>15</v>
      </c>
      <c r="B16" s="74" t="s">
        <v>109</v>
      </c>
      <c r="C16" s="75" t="s">
        <v>917</v>
      </c>
      <c r="D16" s="8" t="s">
        <v>918</v>
      </c>
      <c r="E16" s="8" t="s">
        <v>524</v>
      </c>
      <c r="F16" s="8" t="s">
        <v>29</v>
      </c>
      <c r="G16" s="8" t="s">
        <v>4147</v>
      </c>
      <c r="H16" s="8" t="s">
        <v>4123</v>
      </c>
      <c r="I16" s="8" t="s">
        <v>4148</v>
      </c>
      <c r="J16" s="8" t="s">
        <v>17</v>
      </c>
      <c r="K16" s="8" t="s">
        <v>4149</v>
      </c>
      <c r="L16" s="8" t="s">
        <v>921</v>
      </c>
      <c r="M16" s="8" t="s">
        <v>922</v>
      </c>
      <c r="N16" s="8" t="s">
        <v>4150</v>
      </c>
    </row>
    <row r="17" spans="1:14" s="73" customFormat="1" ht="186.45">
      <c r="A17" s="75">
        <v>16</v>
      </c>
      <c r="B17" s="74" t="s">
        <v>50</v>
      </c>
      <c r="C17" s="75" t="s">
        <v>51</v>
      </c>
      <c r="D17" s="8" t="s">
        <v>52</v>
      </c>
      <c r="E17" s="8" t="s">
        <v>17</v>
      </c>
      <c r="F17" s="8" t="s">
        <v>29</v>
      </c>
      <c r="G17" s="8" t="s">
        <v>53</v>
      </c>
      <c r="H17" s="8" t="s">
        <v>4151</v>
      </c>
      <c r="I17" s="8" t="s">
        <v>4152</v>
      </c>
      <c r="J17" s="8" t="s">
        <v>56</v>
      </c>
      <c r="K17" s="8" t="s">
        <v>4153</v>
      </c>
      <c r="L17" s="8" t="s">
        <v>17</v>
      </c>
      <c r="M17" s="8" t="s">
        <v>17</v>
      </c>
      <c r="N17" s="8"/>
    </row>
    <row r="18" spans="1:14" s="73" customFormat="1" ht="409.6">
      <c r="A18" s="75">
        <v>17</v>
      </c>
      <c r="B18" s="74" t="s">
        <v>58</v>
      </c>
      <c r="C18" s="75" t="s">
        <v>267</v>
      </c>
      <c r="D18" s="8" t="s">
        <v>268</v>
      </c>
      <c r="E18" s="8" t="s">
        <v>269</v>
      </c>
      <c r="F18" s="8" t="s">
        <v>29</v>
      </c>
      <c r="G18" s="8" t="s">
        <v>4154</v>
      </c>
      <c r="H18" s="8" t="s">
        <v>4155</v>
      </c>
      <c r="I18" s="8" t="s">
        <v>4140</v>
      </c>
      <c r="J18" s="8" t="s">
        <v>17</v>
      </c>
      <c r="K18" s="8" t="s">
        <v>4156</v>
      </c>
      <c r="L18" s="8" t="s">
        <v>4157</v>
      </c>
      <c r="M18" s="8" t="s">
        <v>17</v>
      </c>
      <c r="N18" s="8" t="s">
        <v>4158</v>
      </c>
    </row>
    <row r="19" spans="1:14" s="73" customFormat="1" ht="38.6">
      <c r="A19" s="75">
        <v>18</v>
      </c>
      <c r="B19" s="74" t="s">
        <v>58</v>
      </c>
      <c r="C19" s="75" t="s">
        <v>59</v>
      </c>
      <c r="D19" s="8" t="s">
        <v>268</v>
      </c>
      <c r="E19" s="8" t="s">
        <v>60</v>
      </c>
      <c r="F19" s="8" t="s">
        <v>29</v>
      </c>
      <c r="G19" s="8" t="s">
        <v>17</v>
      </c>
      <c r="H19" s="8" t="s">
        <v>4159</v>
      </c>
      <c r="I19" s="8" t="s">
        <v>4140</v>
      </c>
      <c r="J19" s="8" t="s">
        <v>17</v>
      </c>
      <c r="K19" s="8" t="s">
        <v>17</v>
      </c>
      <c r="L19" s="8" t="s">
        <v>17</v>
      </c>
      <c r="M19" s="8" t="s">
        <v>17</v>
      </c>
      <c r="N19" s="8"/>
    </row>
    <row r="20" spans="1:14" s="73" customFormat="1" ht="409.6">
      <c r="A20" s="75">
        <v>19</v>
      </c>
      <c r="B20" s="74" t="s">
        <v>156</v>
      </c>
      <c r="C20" s="75" t="s">
        <v>201</v>
      </c>
      <c r="D20" s="8" t="s">
        <v>36</v>
      </c>
      <c r="E20" s="8" t="s">
        <v>202</v>
      </c>
      <c r="F20" s="8" t="s">
        <v>29</v>
      </c>
      <c r="G20" s="8" t="s">
        <v>4160</v>
      </c>
      <c r="H20" s="8" t="s">
        <v>4161</v>
      </c>
      <c r="I20" s="8" t="s">
        <v>4160</v>
      </c>
      <c r="J20" s="8" t="s">
        <v>204</v>
      </c>
      <c r="K20" s="8" t="s">
        <v>4162</v>
      </c>
      <c r="L20" s="8" t="s">
        <v>17</v>
      </c>
      <c r="M20" s="8" t="s">
        <v>17</v>
      </c>
      <c r="N20" s="8" t="s">
        <v>4163</v>
      </c>
    </row>
    <row r="21" spans="1:14" s="73" customFormat="1" ht="409.6">
      <c r="A21" s="75">
        <v>20</v>
      </c>
      <c r="B21" s="74" t="s">
        <v>156</v>
      </c>
      <c r="C21" s="75" t="s">
        <v>211</v>
      </c>
      <c r="D21" s="8" t="s">
        <v>36</v>
      </c>
      <c r="E21" s="8" t="s">
        <v>60</v>
      </c>
      <c r="F21" s="8" t="s">
        <v>29</v>
      </c>
      <c r="G21" s="8" t="s">
        <v>17</v>
      </c>
      <c r="H21" s="8" t="s">
        <v>4161</v>
      </c>
      <c r="I21" s="8" t="s">
        <v>4164</v>
      </c>
      <c r="J21" s="8" t="s">
        <v>209</v>
      </c>
      <c r="K21" s="8" t="s">
        <v>4165</v>
      </c>
      <c r="L21" s="8" t="s">
        <v>17</v>
      </c>
      <c r="M21" s="8" t="s">
        <v>17</v>
      </c>
      <c r="N21" s="8" t="s">
        <v>4166</v>
      </c>
    </row>
    <row r="22" spans="1:14" s="73" customFormat="1" ht="409.6">
      <c r="A22" s="75">
        <v>21</v>
      </c>
      <c r="B22" s="74" t="s">
        <v>156</v>
      </c>
      <c r="C22" s="75" t="s">
        <v>191</v>
      </c>
      <c r="D22" s="8" t="s">
        <v>192</v>
      </c>
      <c r="E22" s="8" t="s">
        <v>60</v>
      </c>
      <c r="F22" s="8" t="s">
        <v>29</v>
      </c>
      <c r="G22" s="8" t="s">
        <v>17</v>
      </c>
      <c r="H22" s="8" t="s">
        <v>4167</v>
      </c>
      <c r="I22" s="8" t="s">
        <v>17</v>
      </c>
      <c r="J22" s="8" t="s">
        <v>174</v>
      </c>
      <c r="K22" s="8" t="s">
        <v>4168</v>
      </c>
      <c r="L22" s="8" t="s">
        <v>17</v>
      </c>
      <c r="M22" s="8" t="s">
        <v>17</v>
      </c>
      <c r="N22" s="8" t="s">
        <v>4169</v>
      </c>
    </row>
    <row r="23" spans="1:14" s="73" customFormat="1" ht="409.6">
      <c r="A23" s="75">
        <v>22</v>
      </c>
      <c r="B23" s="74" t="s">
        <v>156</v>
      </c>
      <c r="C23" s="75" t="s">
        <v>207</v>
      </c>
      <c r="D23" s="8" t="s">
        <v>208</v>
      </c>
      <c r="E23" s="8" t="s">
        <v>60</v>
      </c>
      <c r="F23" s="8" t="s">
        <v>17</v>
      </c>
      <c r="G23" s="8" t="s">
        <v>17</v>
      </c>
      <c r="H23" s="8" t="s">
        <v>4161</v>
      </c>
      <c r="I23" s="8" t="s">
        <v>17</v>
      </c>
      <c r="J23" s="8" t="s">
        <v>209</v>
      </c>
      <c r="K23" s="8" t="s">
        <v>4170</v>
      </c>
      <c r="L23" s="8" t="s">
        <v>17</v>
      </c>
      <c r="M23" s="8" t="s">
        <v>17</v>
      </c>
      <c r="N23" s="8" t="s">
        <v>4171</v>
      </c>
    </row>
    <row r="24" spans="1:14" s="73" customFormat="1" ht="409.6">
      <c r="A24" s="75">
        <v>23</v>
      </c>
      <c r="B24" s="74" t="s">
        <v>156</v>
      </c>
      <c r="C24" s="75" t="s">
        <v>213</v>
      </c>
      <c r="D24" s="8" t="s">
        <v>36</v>
      </c>
      <c r="E24" s="8" t="s">
        <v>60</v>
      </c>
      <c r="F24" s="8" t="s">
        <v>29</v>
      </c>
      <c r="G24" s="8" t="s">
        <v>17</v>
      </c>
      <c r="H24" s="8" t="s">
        <v>4172</v>
      </c>
      <c r="I24" s="8" t="s">
        <v>4173</v>
      </c>
      <c r="J24" s="8" t="s">
        <v>209</v>
      </c>
      <c r="K24" s="8" t="s">
        <v>4174</v>
      </c>
      <c r="L24" s="8" t="s">
        <v>4175</v>
      </c>
      <c r="M24" s="8" t="s">
        <v>17</v>
      </c>
      <c r="N24" s="8" t="s">
        <v>4176</v>
      </c>
    </row>
    <row r="25" spans="1:14" s="73" customFormat="1" ht="409.6">
      <c r="A25" s="75">
        <v>24</v>
      </c>
      <c r="B25" s="74" t="s">
        <v>20</v>
      </c>
      <c r="C25" s="75" t="s">
        <v>217</v>
      </c>
      <c r="D25" s="8" t="s">
        <v>218</v>
      </c>
      <c r="E25" s="8" t="s">
        <v>17</v>
      </c>
      <c r="F25" s="8" t="s">
        <v>29</v>
      </c>
      <c r="G25" s="8" t="s">
        <v>4177</v>
      </c>
      <c r="H25" s="8" t="s">
        <v>4178</v>
      </c>
      <c r="I25" s="8" t="s">
        <v>4105</v>
      </c>
      <c r="J25" s="8" t="s">
        <v>17</v>
      </c>
      <c r="K25" s="8" t="s">
        <v>4179</v>
      </c>
      <c r="L25" s="8" t="s">
        <v>4180</v>
      </c>
      <c r="M25" s="8" t="s">
        <v>17</v>
      </c>
      <c r="N25" s="8"/>
    </row>
    <row r="26" spans="1:14" s="73" customFormat="1" ht="409.6">
      <c r="A26" s="75">
        <v>25</v>
      </c>
      <c r="B26" s="74" t="s">
        <v>1483</v>
      </c>
      <c r="C26" s="75" t="s">
        <v>4181</v>
      </c>
      <c r="D26" s="8" t="s">
        <v>17</v>
      </c>
      <c r="E26" s="8" t="s">
        <v>17</v>
      </c>
      <c r="F26" s="8" t="s">
        <v>29</v>
      </c>
      <c r="G26" s="8" t="s">
        <v>4182</v>
      </c>
      <c r="H26" s="8" t="s">
        <v>4183</v>
      </c>
      <c r="I26" s="8" t="s">
        <v>4173</v>
      </c>
      <c r="J26" s="8" t="s">
        <v>17</v>
      </c>
      <c r="K26" s="8" t="s">
        <v>4184</v>
      </c>
      <c r="L26" s="8" t="s">
        <v>4185</v>
      </c>
      <c r="M26" s="8" t="s">
        <v>4186</v>
      </c>
      <c r="N26" s="8"/>
    </row>
    <row r="27" spans="1:14" s="73" customFormat="1" ht="409.6">
      <c r="A27" s="75">
        <v>26</v>
      </c>
      <c r="B27" s="74" t="s">
        <v>26</v>
      </c>
      <c r="C27" s="75" t="s">
        <v>295</v>
      </c>
      <c r="D27" s="8" t="s">
        <v>36</v>
      </c>
      <c r="E27" s="8" t="s">
        <v>60</v>
      </c>
      <c r="F27" s="8" t="s">
        <v>29</v>
      </c>
      <c r="G27" s="8" t="s">
        <v>4187</v>
      </c>
      <c r="H27" s="8" t="s">
        <v>4188</v>
      </c>
      <c r="I27" s="8" t="s">
        <v>4189</v>
      </c>
      <c r="J27" s="8" t="s">
        <v>17</v>
      </c>
      <c r="K27" s="8" t="s">
        <v>4190</v>
      </c>
      <c r="L27" s="8" t="s">
        <v>17</v>
      </c>
      <c r="M27" s="8" t="s">
        <v>4191</v>
      </c>
      <c r="N27" s="8"/>
    </row>
    <row r="28" spans="1:14" s="73" customFormat="1" ht="409.6">
      <c r="A28" s="75">
        <v>27</v>
      </c>
      <c r="B28" s="74" t="s">
        <v>58</v>
      </c>
      <c r="C28" s="75" t="s">
        <v>4192</v>
      </c>
      <c r="D28" s="8" t="s">
        <v>36</v>
      </c>
      <c r="E28" s="8" t="s">
        <v>4144</v>
      </c>
      <c r="F28" s="8" t="s">
        <v>29</v>
      </c>
      <c r="G28" s="8" t="s">
        <v>4193</v>
      </c>
      <c r="H28" s="8" t="s">
        <v>17</v>
      </c>
      <c r="I28" s="76">
        <v>45108</v>
      </c>
      <c r="J28" s="8" t="s">
        <v>17</v>
      </c>
      <c r="K28" s="8" t="s">
        <v>17</v>
      </c>
      <c r="L28" s="8" t="s">
        <v>4146</v>
      </c>
      <c r="M28" s="8" t="s">
        <v>17</v>
      </c>
      <c r="N28" s="8" t="s">
        <v>4194</v>
      </c>
    </row>
    <row r="29" spans="1:14" s="73" customFormat="1" ht="409.6">
      <c r="A29" s="75">
        <v>28</v>
      </c>
      <c r="B29" s="74" t="s">
        <v>156</v>
      </c>
      <c r="C29" s="75" t="s">
        <v>59</v>
      </c>
      <c r="D29" s="8" t="s">
        <v>186</v>
      </c>
      <c r="E29" s="8" t="s">
        <v>60</v>
      </c>
      <c r="F29" s="8" t="s">
        <v>17</v>
      </c>
      <c r="G29" s="8" t="s">
        <v>17</v>
      </c>
      <c r="H29" s="8" t="s">
        <v>4167</v>
      </c>
      <c r="I29" s="8" t="s">
        <v>17</v>
      </c>
      <c r="J29" s="8" t="s">
        <v>2591</v>
      </c>
      <c r="K29" s="8" t="s">
        <v>4195</v>
      </c>
      <c r="L29" s="8" t="s">
        <v>17</v>
      </c>
      <c r="M29" s="8" t="s">
        <v>17</v>
      </c>
      <c r="N29" s="8" t="s">
        <v>4196</v>
      </c>
    </row>
    <row r="30" spans="1:14" s="73" customFormat="1" ht="409.6">
      <c r="A30" s="75">
        <v>29</v>
      </c>
      <c r="B30" s="74" t="s">
        <v>156</v>
      </c>
      <c r="C30" s="75" t="s">
        <v>180</v>
      </c>
      <c r="D30" s="8" t="s">
        <v>36</v>
      </c>
      <c r="E30" s="8" t="s">
        <v>60</v>
      </c>
      <c r="F30" s="8" t="s">
        <v>29</v>
      </c>
      <c r="G30" s="8" t="s">
        <v>17</v>
      </c>
      <c r="H30" s="8" t="s">
        <v>4161</v>
      </c>
      <c r="I30" s="8" t="s">
        <v>4140</v>
      </c>
      <c r="J30" s="8" t="s">
        <v>56</v>
      </c>
      <c r="K30" s="8" t="s">
        <v>4197</v>
      </c>
      <c r="L30" s="8" t="s">
        <v>17</v>
      </c>
      <c r="M30" s="8" t="s">
        <v>17</v>
      </c>
      <c r="N30" s="8" t="s">
        <v>4198</v>
      </c>
    </row>
    <row r="31" spans="1:14" s="73" customFormat="1" ht="409.6">
      <c r="A31" s="75">
        <v>30</v>
      </c>
      <c r="B31" s="74" t="s">
        <v>156</v>
      </c>
      <c r="C31" s="75" t="s">
        <v>177</v>
      </c>
      <c r="D31" s="8" t="s">
        <v>178</v>
      </c>
      <c r="E31" s="8" t="s">
        <v>17</v>
      </c>
      <c r="F31" s="8" t="s">
        <v>29</v>
      </c>
      <c r="G31" s="8" t="s">
        <v>17</v>
      </c>
      <c r="H31" s="8" t="s">
        <v>4161</v>
      </c>
      <c r="I31" s="8" t="s">
        <v>4199</v>
      </c>
      <c r="J31" s="8" t="s">
        <v>209</v>
      </c>
      <c r="K31" s="8" t="s">
        <v>4200</v>
      </c>
      <c r="L31" s="8" t="s">
        <v>17</v>
      </c>
      <c r="M31" s="8" t="s">
        <v>17</v>
      </c>
      <c r="N31" s="8" t="s">
        <v>4201</v>
      </c>
    </row>
    <row r="32" spans="1:14" s="73" customFormat="1" ht="409.6">
      <c r="A32" s="75">
        <v>31</v>
      </c>
      <c r="B32" s="74" t="s">
        <v>156</v>
      </c>
      <c r="C32" s="75" t="s">
        <v>4202</v>
      </c>
      <c r="D32" s="8" t="s">
        <v>4203</v>
      </c>
      <c r="E32" s="8" t="s">
        <v>4204</v>
      </c>
      <c r="F32" s="8" t="s">
        <v>29</v>
      </c>
      <c r="G32" s="8" t="s">
        <v>17</v>
      </c>
      <c r="H32" s="8" t="s">
        <v>4205</v>
      </c>
      <c r="I32" s="8" t="s">
        <v>4206</v>
      </c>
      <c r="J32" s="8" t="s">
        <v>512</v>
      </c>
      <c r="K32" s="8" t="s">
        <v>4207</v>
      </c>
      <c r="L32" s="8" t="s">
        <v>4208</v>
      </c>
      <c r="M32" s="8" t="s">
        <v>17</v>
      </c>
      <c r="N32" s="8" t="s">
        <v>4209</v>
      </c>
    </row>
    <row r="33" spans="1:14" s="73" customFormat="1" ht="409.6">
      <c r="A33" s="75">
        <v>32</v>
      </c>
      <c r="B33" s="74" t="s">
        <v>156</v>
      </c>
      <c r="C33" s="75" t="s">
        <v>116</v>
      </c>
      <c r="D33" s="8" t="s">
        <v>196</v>
      </c>
      <c r="E33" s="8" t="s">
        <v>197</v>
      </c>
      <c r="F33" s="8" t="s">
        <v>17</v>
      </c>
      <c r="G33" s="8" t="s">
        <v>17</v>
      </c>
      <c r="H33" s="8" t="s">
        <v>4161</v>
      </c>
      <c r="I33" s="8" t="s">
        <v>4152</v>
      </c>
      <c r="J33" s="8" t="s">
        <v>198</v>
      </c>
      <c r="K33" s="8" t="s">
        <v>4210</v>
      </c>
      <c r="L33" s="8" t="s">
        <v>17</v>
      </c>
      <c r="M33" s="8" t="s">
        <v>17</v>
      </c>
      <c r="N33" s="8" t="s">
        <v>4211</v>
      </c>
    </row>
    <row r="34" spans="1:14" s="73" customFormat="1" ht="409.6">
      <c r="A34" s="75">
        <v>33</v>
      </c>
      <c r="B34" s="74" t="s">
        <v>156</v>
      </c>
      <c r="C34" s="75" t="s">
        <v>183</v>
      </c>
      <c r="D34" s="8" t="s">
        <v>4212</v>
      </c>
      <c r="E34" s="8" t="s">
        <v>4213</v>
      </c>
      <c r="F34" s="8" t="s">
        <v>29</v>
      </c>
      <c r="G34" s="8" t="s">
        <v>4214</v>
      </c>
      <c r="H34" s="8" t="s">
        <v>4205</v>
      </c>
      <c r="I34" s="8" t="s">
        <v>4215</v>
      </c>
      <c r="J34" s="8" t="s">
        <v>161</v>
      </c>
      <c r="K34" s="8" t="s">
        <v>4216</v>
      </c>
      <c r="L34" s="8" t="s">
        <v>4217</v>
      </c>
      <c r="M34" s="8" t="s">
        <v>17</v>
      </c>
      <c r="N34" s="8" t="s">
        <v>4218</v>
      </c>
    </row>
    <row r="35" spans="1:14" s="73" customFormat="1" ht="409.6">
      <c r="A35" s="75">
        <v>34</v>
      </c>
      <c r="B35" s="74" t="s">
        <v>156</v>
      </c>
      <c r="C35" s="75" t="s">
        <v>4219</v>
      </c>
      <c r="D35" s="8" t="s">
        <v>192</v>
      </c>
      <c r="E35" s="8" t="s">
        <v>4204</v>
      </c>
      <c r="F35" s="8" t="s">
        <v>17</v>
      </c>
      <c r="G35" s="8" t="s">
        <v>17</v>
      </c>
      <c r="H35" s="8" t="s">
        <v>4205</v>
      </c>
      <c r="I35" s="8" t="s">
        <v>17</v>
      </c>
      <c r="J35" s="8" t="s">
        <v>17</v>
      </c>
      <c r="K35" s="8" t="s">
        <v>4220</v>
      </c>
      <c r="L35" s="8" t="s">
        <v>17</v>
      </c>
      <c r="M35" s="8" t="s">
        <v>17</v>
      </c>
      <c r="N35" s="8" t="s">
        <v>4194</v>
      </c>
    </row>
    <row r="36" spans="1:14" s="73" customFormat="1" ht="372.9">
      <c r="A36" s="75">
        <v>35</v>
      </c>
      <c r="B36" s="74" t="s">
        <v>109</v>
      </c>
      <c r="C36" s="75" t="s">
        <v>252</v>
      </c>
      <c r="D36" s="8" t="s">
        <v>253</v>
      </c>
      <c r="E36" s="8" t="s">
        <v>254</v>
      </c>
      <c r="F36" s="8" t="s">
        <v>29</v>
      </c>
      <c r="G36" s="8" t="s">
        <v>4221</v>
      </c>
      <c r="H36" s="8" t="s">
        <v>4222</v>
      </c>
      <c r="I36" s="76" t="s">
        <v>4223</v>
      </c>
      <c r="J36" s="8" t="s">
        <v>4224</v>
      </c>
      <c r="K36" s="8" t="s">
        <v>4225</v>
      </c>
      <c r="L36" s="8" t="s">
        <v>4226</v>
      </c>
      <c r="M36" s="8" t="s">
        <v>4227</v>
      </c>
      <c r="N36" s="8" t="s">
        <v>260</v>
      </c>
    </row>
    <row r="37" spans="1:14" s="73" customFormat="1" ht="409.6">
      <c r="A37" s="75">
        <v>36</v>
      </c>
      <c r="B37" s="74" t="s">
        <v>109</v>
      </c>
      <c r="C37" s="75" t="s">
        <v>4228</v>
      </c>
      <c r="D37" s="8" t="s">
        <v>4229</v>
      </c>
      <c r="E37" s="8" t="s">
        <v>4230</v>
      </c>
      <c r="F37" s="8" t="s">
        <v>17</v>
      </c>
      <c r="G37" s="8" t="s">
        <v>17</v>
      </c>
      <c r="H37" s="8" t="s">
        <v>4123</v>
      </c>
      <c r="I37" s="8" t="s">
        <v>4140</v>
      </c>
      <c r="J37" s="8" t="s">
        <v>32</v>
      </c>
      <c r="K37" s="8" t="s">
        <v>4231</v>
      </c>
      <c r="L37" s="8" t="s">
        <v>4232</v>
      </c>
      <c r="M37" s="8" t="s">
        <v>17</v>
      </c>
      <c r="N37" s="8" t="s">
        <v>4233</v>
      </c>
    </row>
    <row r="38" spans="1:14" s="73" customFormat="1" ht="409.6">
      <c r="A38" s="75">
        <v>37</v>
      </c>
      <c r="B38" s="74" t="s">
        <v>109</v>
      </c>
      <c r="C38" s="75" t="s">
        <v>165</v>
      </c>
      <c r="D38" s="8" t="s">
        <v>17</v>
      </c>
      <c r="E38" s="8" t="s">
        <v>17</v>
      </c>
      <c r="F38" s="8" t="s">
        <v>17</v>
      </c>
      <c r="G38" s="8" t="s">
        <v>17</v>
      </c>
      <c r="H38" s="8" t="s">
        <v>4234</v>
      </c>
      <c r="I38" s="8" t="s">
        <v>4235</v>
      </c>
      <c r="J38" s="8" t="s">
        <v>17</v>
      </c>
      <c r="K38" s="8" t="s">
        <v>4236</v>
      </c>
      <c r="L38" s="8" t="s">
        <v>170</v>
      </c>
      <c r="M38" s="8" t="s">
        <v>17</v>
      </c>
      <c r="N38" s="8" t="s">
        <v>4237</v>
      </c>
    </row>
    <row r="39" spans="1:14" s="73" customFormat="1" ht="409.6">
      <c r="A39" s="75">
        <v>38</v>
      </c>
      <c r="B39" s="74" t="s">
        <v>50</v>
      </c>
      <c r="C39" s="75" t="s">
        <v>351</v>
      </c>
      <c r="D39" s="8" t="s">
        <v>352</v>
      </c>
      <c r="E39" s="8" t="s">
        <v>353</v>
      </c>
      <c r="F39" s="8" t="s">
        <v>29</v>
      </c>
      <c r="G39" s="8" t="s">
        <v>4238</v>
      </c>
      <c r="H39" s="8" t="s">
        <v>4239</v>
      </c>
      <c r="I39" s="8" t="s">
        <v>4240</v>
      </c>
      <c r="J39" s="8" t="s">
        <v>17</v>
      </c>
      <c r="K39" s="8" t="s">
        <v>4241</v>
      </c>
      <c r="L39" s="8" t="s">
        <v>4242</v>
      </c>
      <c r="M39" s="8" t="s">
        <v>17</v>
      </c>
      <c r="N39" s="8" t="s">
        <v>4243</v>
      </c>
    </row>
    <row r="40" spans="1:14" s="73" customFormat="1" ht="298.3">
      <c r="A40" s="75">
        <v>39</v>
      </c>
      <c r="B40" s="74" t="s">
        <v>50</v>
      </c>
      <c r="C40" s="75" t="s">
        <v>345</v>
      </c>
      <c r="D40" s="8" t="s">
        <v>346</v>
      </c>
      <c r="E40" s="8" t="s">
        <v>4244</v>
      </c>
      <c r="F40" s="8" t="s">
        <v>29</v>
      </c>
      <c r="G40" s="8" t="s">
        <v>17</v>
      </c>
      <c r="H40" s="8" t="s">
        <v>4110</v>
      </c>
      <c r="I40" s="8" t="s">
        <v>4245</v>
      </c>
      <c r="J40" s="8" t="s">
        <v>17</v>
      </c>
      <c r="K40" s="8" t="s">
        <v>4246</v>
      </c>
      <c r="L40" s="8" t="s">
        <v>4247</v>
      </c>
      <c r="M40" s="8" t="s">
        <v>17</v>
      </c>
      <c r="N40" s="8"/>
    </row>
    <row r="41" spans="1:14" s="73" customFormat="1" ht="409.6">
      <c r="A41" s="75">
        <v>40</v>
      </c>
      <c r="B41" s="74" t="s">
        <v>73</v>
      </c>
      <c r="C41" s="75" t="s">
        <v>74</v>
      </c>
      <c r="D41" s="8" t="s">
        <v>75</v>
      </c>
      <c r="E41" s="8" t="s">
        <v>60</v>
      </c>
      <c r="F41" s="8" t="s">
        <v>4248</v>
      </c>
      <c r="G41" s="8" t="s">
        <v>76</v>
      </c>
      <c r="H41" s="8" t="s">
        <v>4249</v>
      </c>
      <c r="I41" s="8" t="s">
        <v>4250</v>
      </c>
      <c r="J41" s="8" t="s">
        <v>17</v>
      </c>
      <c r="K41" s="8" t="s">
        <v>4251</v>
      </c>
      <c r="L41" s="8" t="s">
        <v>4252</v>
      </c>
      <c r="M41" s="8" t="s">
        <v>17</v>
      </c>
      <c r="N41" s="8"/>
    </row>
    <row r="42" spans="1:14" s="73" customFormat="1" ht="335.6">
      <c r="A42" s="75">
        <v>41</v>
      </c>
      <c r="B42" s="74" t="s">
        <v>371</v>
      </c>
      <c r="C42" s="75" t="s">
        <v>478</v>
      </c>
      <c r="D42" s="8" t="s">
        <v>4253</v>
      </c>
      <c r="E42" s="8" t="s">
        <v>4254</v>
      </c>
      <c r="F42" s="8" t="s">
        <v>4255</v>
      </c>
      <c r="G42" s="8" t="s">
        <v>4256</v>
      </c>
      <c r="H42" s="8" t="s">
        <v>4257</v>
      </c>
      <c r="I42" s="8" t="s">
        <v>4258</v>
      </c>
      <c r="J42" s="8" t="s">
        <v>17</v>
      </c>
      <c r="K42" s="8" t="s">
        <v>4259</v>
      </c>
      <c r="L42" s="8" t="s">
        <v>17</v>
      </c>
      <c r="M42" s="8" t="s">
        <v>4260</v>
      </c>
      <c r="N42" s="8" t="s">
        <v>4194</v>
      </c>
    </row>
    <row r="43" spans="1:14" s="73" customFormat="1" ht="409.6">
      <c r="A43" s="75">
        <v>42</v>
      </c>
      <c r="B43" s="74" t="s">
        <v>747</v>
      </c>
      <c r="C43" s="75" t="s">
        <v>748</v>
      </c>
      <c r="D43" s="8" t="s">
        <v>17</v>
      </c>
      <c r="E43" s="8" t="s">
        <v>4261</v>
      </c>
      <c r="F43" s="8" t="s">
        <v>29</v>
      </c>
      <c r="G43" s="8" t="s">
        <v>4262</v>
      </c>
      <c r="H43" s="8" t="s">
        <v>17</v>
      </c>
      <c r="I43" s="8" t="s">
        <v>4263</v>
      </c>
      <c r="J43" s="8" t="s">
        <v>4264</v>
      </c>
      <c r="K43" s="8" t="s">
        <v>4265</v>
      </c>
      <c r="L43" s="8" t="s">
        <v>17</v>
      </c>
      <c r="M43" s="8" t="s">
        <v>4266</v>
      </c>
      <c r="N43" s="8"/>
    </row>
    <row r="44" spans="1:14" s="73" customFormat="1" ht="409.6">
      <c r="A44" s="75">
        <v>43</v>
      </c>
      <c r="B44" s="74" t="s">
        <v>109</v>
      </c>
      <c r="C44" s="75" t="s">
        <v>4267</v>
      </c>
      <c r="D44" s="8" t="s">
        <v>36</v>
      </c>
      <c r="E44" s="8" t="s">
        <v>17</v>
      </c>
      <c r="F44" s="8" t="s">
        <v>29</v>
      </c>
      <c r="G44" s="8" t="s">
        <v>17</v>
      </c>
      <c r="H44" s="8" t="s">
        <v>17</v>
      </c>
      <c r="I44" s="8" t="s">
        <v>4140</v>
      </c>
      <c r="J44" s="8" t="s">
        <v>209</v>
      </c>
      <c r="K44" s="8" t="s">
        <v>4268</v>
      </c>
      <c r="L44" s="8" t="s">
        <v>4269</v>
      </c>
      <c r="M44" s="8" t="s">
        <v>4270</v>
      </c>
      <c r="N44" s="8"/>
    </row>
    <row r="45" spans="1:14" s="73" customFormat="1" ht="409.6">
      <c r="A45" s="75">
        <v>44</v>
      </c>
      <c r="B45" s="74" t="s">
        <v>43</v>
      </c>
      <c r="C45" s="80" t="s">
        <v>235</v>
      </c>
      <c r="D45" s="8" t="s">
        <v>36</v>
      </c>
      <c r="E45" s="8" t="s">
        <v>82</v>
      </c>
      <c r="F45" s="8" t="s">
        <v>29</v>
      </c>
      <c r="G45" s="8" t="s">
        <v>17</v>
      </c>
      <c r="H45" s="8" t="s">
        <v>4271</v>
      </c>
      <c r="I45" s="8" t="s">
        <v>4272</v>
      </c>
      <c r="J45" s="8" t="s">
        <v>237</v>
      </c>
      <c r="K45" s="8" t="s">
        <v>4273</v>
      </c>
      <c r="L45" s="8" t="s">
        <v>17</v>
      </c>
      <c r="M45" s="8" t="s">
        <v>17</v>
      </c>
      <c r="N45" s="8" t="s">
        <v>4274</v>
      </c>
    </row>
    <row r="46" spans="1:14" s="73" customFormat="1" ht="372.9">
      <c r="A46" s="75">
        <v>45</v>
      </c>
      <c r="B46" s="74" t="s">
        <v>156</v>
      </c>
      <c r="C46" s="75" t="s">
        <v>172</v>
      </c>
      <c r="D46" s="8" t="s">
        <v>36</v>
      </c>
      <c r="E46" s="8" t="s">
        <v>16</v>
      </c>
      <c r="F46" s="8" t="s">
        <v>29</v>
      </c>
      <c r="G46" s="8" t="s">
        <v>4275</v>
      </c>
      <c r="H46" s="8" t="s">
        <v>4161</v>
      </c>
      <c r="I46" s="8" t="s">
        <v>4276</v>
      </c>
      <c r="J46" s="8" t="s">
        <v>174</v>
      </c>
      <c r="K46" s="8" t="s">
        <v>4277</v>
      </c>
      <c r="L46" s="8" t="s">
        <v>4278</v>
      </c>
      <c r="M46" s="8" t="s">
        <v>17</v>
      </c>
      <c r="N46" s="8"/>
    </row>
    <row r="47" spans="1:14" s="73" customFormat="1" ht="409.6">
      <c r="A47" s="75">
        <v>46</v>
      </c>
      <c r="B47" s="74" t="s">
        <v>4279</v>
      </c>
      <c r="C47" s="75" t="s">
        <v>4280</v>
      </c>
      <c r="D47" s="8" t="s">
        <v>17</v>
      </c>
      <c r="E47" s="8" t="s">
        <v>17</v>
      </c>
      <c r="F47" s="8" t="s">
        <v>29</v>
      </c>
      <c r="G47" s="8" t="s">
        <v>4281</v>
      </c>
      <c r="H47" s="8" t="s">
        <v>4123</v>
      </c>
      <c r="I47" s="8" t="s">
        <v>4140</v>
      </c>
      <c r="J47" s="8" t="s">
        <v>17</v>
      </c>
      <c r="K47" s="8" t="s">
        <v>4282</v>
      </c>
      <c r="L47" s="8" t="s">
        <v>4283</v>
      </c>
      <c r="M47" s="8" t="s">
        <v>17</v>
      </c>
      <c r="N47" s="8" t="s">
        <v>4194</v>
      </c>
    </row>
    <row r="48" spans="1:14" s="73" customFormat="1" ht="409.6">
      <c r="A48" s="75">
        <v>47</v>
      </c>
      <c r="B48" s="74" t="s">
        <v>109</v>
      </c>
      <c r="C48" s="75" t="s">
        <v>394</v>
      </c>
      <c r="D48" s="8" t="s">
        <v>75</v>
      </c>
      <c r="E48" s="8" t="s">
        <v>17</v>
      </c>
      <c r="F48" s="8" t="s">
        <v>793</v>
      </c>
      <c r="G48" s="8" t="s">
        <v>4284</v>
      </c>
      <c r="H48" s="8" t="s">
        <v>4285</v>
      </c>
      <c r="I48" s="8" t="s">
        <v>4286</v>
      </c>
      <c r="J48" s="8" t="s">
        <v>4287</v>
      </c>
      <c r="K48" s="8" t="s">
        <v>4288</v>
      </c>
      <c r="L48" s="8" t="s">
        <v>4289</v>
      </c>
      <c r="M48" s="8" t="s">
        <v>17</v>
      </c>
      <c r="N48" s="8" t="s">
        <v>4290</v>
      </c>
    </row>
    <row r="49" spans="1:14" s="73" customFormat="1" ht="409.6">
      <c r="A49" s="75">
        <v>48</v>
      </c>
      <c r="B49" s="74" t="s">
        <v>50</v>
      </c>
      <c r="C49" s="75" t="s">
        <v>1625</v>
      </c>
      <c r="D49" s="8" t="s">
        <v>1611</v>
      </c>
      <c r="E49" s="8" t="s">
        <v>4291</v>
      </c>
      <c r="F49" s="8" t="s">
        <v>720</v>
      </c>
      <c r="G49" s="8" t="s">
        <v>17</v>
      </c>
      <c r="H49" s="8" t="s">
        <v>4292</v>
      </c>
      <c r="I49" s="8" t="s">
        <v>138</v>
      </c>
      <c r="J49" s="8" t="s">
        <v>17</v>
      </c>
      <c r="K49" s="8" t="s">
        <v>4293</v>
      </c>
      <c r="L49" s="8" t="s">
        <v>17</v>
      </c>
      <c r="M49" s="8" t="s">
        <v>4294</v>
      </c>
      <c r="N49" s="8" t="s">
        <v>4295</v>
      </c>
    </row>
    <row r="50" spans="1:14" s="73" customFormat="1" ht="409.6">
      <c r="A50" s="75">
        <v>49</v>
      </c>
      <c r="B50" s="79" t="s">
        <v>109</v>
      </c>
      <c r="C50" s="75" t="s">
        <v>4296</v>
      </c>
      <c r="D50" s="8" t="s">
        <v>4297</v>
      </c>
      <c r="E50" s="8" t="s">
        <v>4298</v>
      </c>
      <c r="F50" s="8" t="s">
        <v>29</v>
      </c>
      <c r="G50" s="8" t="s">
        <v>4299</v>
      </c>
      <c r="H50" s="8" t="s">
        <v>4300</v>
      </c>
      <c r="I50" s="76">
        <v>45108</v>
      </c>
      <c r="J50" s="8" t="s">
        <v>209</v>
      </c>
      <c r="K50" s="8" t="s">
        <v>4301</v>
      </c>
      <c r="L50" s="8" t="s">
        <v>4302</v>
      </c>
      <c r="M50" s="8" t="s">
        <v>17</v>
      </c>
      <c r="N50" s="8"/>
    </row>
    <row r="51" spans="1:14" s="73" customFormat="1" ht="409.6">
      <c r="A51" s="75">
        <v>50</v>
      </c>
      <c r="B51" s="74" t="s">
        <v>287</v>
      </c>
      <c r="C51" s="75" t="s">
        <v>4303</v>
      </c>
      <c r="D51" s="8" t="s">
        <v>52</v>
      </c>
      <c r="E51" s="8" t="s">
        <v>340</v>
      </c>
      <c r="F51" s="8" t="s">
        <v>29</v>
      </c>
      <c r="G51" s="8" t="s">
        <v>4304</v>
      </c>
      <c r="H51" s="8" t="s">
        <v>4305</v>
      </c>
      <c r="I51" s="8" t="s">
        <v>4306</v>
      </c>
      <c r="J51" s="8" t="s">
        <v>17</v>
      </c>
      <c r="K51" s="8" t="s">
        <v>4307</v>
      </c>
      <c r="L51" s="8" t="s">
        <v>4308</v>
      </c>
      <c r="M51" s="8" t="s">
        <v>4309</v>
      </c>
      <c r="N51" s="8"/>
    </row>
    <row r="52" spans="1:14" s="73" customFormat="1" ht="409.6">
      <c r="A52" s="75">
        <v>51</v>
      </c>
      <c r="B52" s="74" t="s">
        <v>156</v>
      </c>
      <c r="C52" s="75" t="s">
        <v>4310</v>
      </c>
      <c r="D52" s="8" t="s">
        <v>4311</v>
      </c>
      <c r="E52" s="8" t="s">
        <v>60</v>
      </c>
      <c r="F52" s="8" t="s">
        <v>29</v>
      </c>
      <c r="G52" s="8" t="s">
        <v>4312</v>
      </c>
      <c r="H52" s="8" t="s">
        <v>4161</v>
      </c>
      <c r="I52" s="8" t="s">
        <v>4313</v>
      </c>
      <c r="J52" s="8" t="s">
        <v>17</v>
      </c>
      <c r="K52" s="8" t="s">
        <v>4314</v>
      </c>
      <c r="L52" s="8" t="s">
        <v>17</v>
      </c>
      <c r="M52" s="8" t="s">
        <v>17</v>
      </c>
      <c r="N52" s="8" t="s">
        <v>4315</v>
      </c>
    </row>
    <row r="53" spans="1:14" s="73" customFormat="1" ht="335.6">
      <c r="A53" s="75">
        <v>52</v>
      </c>
      <c r="B53" s="74" t="s">
        <v>109</v>
      </c>
      <c r="C53" s="75" t="s">
        <v>1664</v>
      </c>
      <c r="D53" s="8" t="s">
        <v>4316</v>
      </c>
      <c r="E53" s="8" t="s">
        <v>17</v>
      </c>
      <c r="F53" s="8" t="s">
        <v>29</v>
      </c>
      <c r="G53" s="8" t="s">
        <v>4317</v>
      </c>
      <c r="H53" s="8" t="s">
        <v>4123</v>
      </c>
      <c r="I53" s="8" t="s">
        <v>4318</v>
      </c>
      <c r="J53" s="8" t="s">
        <v>17</v>
      </c>
      <c r="K53" s="8" t="s">
        <v>4319</v>
      </c>
      <c r="L53" s="8" t="s">
        <v>4320</v>
      </c>
      <c r="M53" s="8" t="s">
        <v>17</v>
      </c>
      <c r="N53" s="8" t="s">
        <v>4321</v>
      </c>
    </row>
    <row r="54" spans="1:14" s="73" customFormat="1" ht="409.6">
      <c r="A54" s="75">
        <v>53</v>
      </c>
      <c r="B54" s="74" t="s">
        <v>109</v>
      </c>
      <c r="C54" s="75" t="s">
        <v>772</v>
      </c>
      <c r="D54" s="8" t="s">
        <v>36</v>
      </c>
      <c r="E54" s="8" t="s">
        <v>773</v>
      </c>
      <c r="F54" s="8" t="s">
        <v>29</v>
      </c>
      <c r="G54" s="8" t="s">
        <v>4322</v>
      </c>
      <c r="H54" s="8" t="s">
        <v>4323</v>
      </c>
      <c r="I54" s="8" t="s">
        <v>4140</v>
      </c>
      <c r="J54" s="8" t="s">
        <v>625</v>
      </c>
      <c r="K54" s="8" t="s">
        <v>4324</v>
      </c>
      <c r="L54" s="8" t="s">
        <v>4325</v>
      </c>
      <c r="M54" s="8" t="s">
        <v>4326</v>
      </c>
      <c r="N54" s="8"/>
    </row>
    <row r="55" spans="1:14" s="73" customFormat="1" ht="409.6">
      <c r="A55" s="75">
        <v>54</v>
      </c>
      <c r="B55" s="74" t="s">
        <v>318</v>
      </c>
      <c r="C55" s="75" t="s">
        <v>35</v>
      </c>
      <c r="D55" s="8" t="s">
        <v>4327</v>
      </c>
      <c r="E55" s="8" t="s">
        <v>320</v>
      </c>
      <c r="F55" s="8" t="s">
        <v>29</v>
      </c>
      <c r="G55" s="8" t="s">
        <v>17</v>
      </c>
      <c r="H55" s="8" t="s">
        <v>328</v>
      </c>
      <c r="I55" s="8" t="s">
        <v>62</v>
      </c>
      <c r="J55" s="8" t="s">
        <v>329</v>
      </c>
      <c r="K55" s="8" t="s">
        <v>330</v>
      </c>
      <c r="L55" s="8" t="s">
        <v>4328</v>
      </c>
      <c r="M55" s="8" t="s">
        <v>4329</v>
      </c>
      <c r="N55" s="8"/>
    </row>
    <row r="56" spans="1:14" s="73" customFormat="1" ht="409.6">
      <c r="A56" s="75">
        <v>55</v>
      </c>
      <c r="B56" s="74" t="s">
        <v>318</v>
      </c>
      <c r="C56" s="75" t="s">
        <v>1662</v>
      </c>
      <c r="D56" s="8" t="s">
        <v>4327</v>
      </c>
      <c r="E56" s="8" t="s">
        <v>320</v>
      </c>
      <c r="F56" s="8" t="s">
        <v>29</v>
      </c>
      <c r="G56" s="8" t="s">
        <v>17</v>
      </c>
      <c r="H56" s="8" t="s">
        <v>4330</v>
      </c>
      <c r="I56" s="8" t="s">
        <v>4148</v>
      </c>
      <c r="J56" s="8" t="s">
        <v>329</v>
      </c>
      <c r="K56" s="8" t="s">
        <v>4331</v>
      </c>
      <c r="L56" s="8" t="s">
        <v>4328</v>
      </c>
      <c r="M56" s="8" t="s">
        <v>4329</v>
      </c>
      <c r="N56" s="8" t="s">
        <v>4194</v>
      </c>
    </row>
    <row r="57" spans="1:14" s="73" customFormat="1" ht="409.6">
      <c r="A57" s="75">
        <v>56</v>
      </c>
      <c r="B57" s="74" t="s">
        <v>73</v>
      </c>
      <c r="C57" s="75" t="s">
        <v>35</v>
      </c>
      <c r="D57" s="8" t="s">
        <v>523</v>
      </c>
      <c r="E57" s="8" t="s">
        <v>524</v>
      </c>
      <c r="F57" s="8" t="s">
        <v>29</v>
      </c>
      <c r="G57" s="8" t="s">
        <v>4332</v>
      </c>
      <c r="H57" s="8" t="s">
        <v>4333</v>
      </c>
      <c r="I57" s="8" t="s">
        <v>4140</v>
      </c>
      <c r="J57" s="8" t="s">
        <v>17</v>
      </c>
      <c r="K57" s="8" t="s">
        <v>4334</v>
      </c>
      <c r="L57" s="8" t="s">
        <v>4335</v>
      </c>
      <c r="M57" s="8" t="s">
        <v>17</v>
      </c>
      <c r="N57" s="8" t="s">
        <v>4336</v>
      </c>
    </row>
    <row r="58" spans="1:14" s="73" customFormat="1" ht="409.6">
      <c r="A58" s="75">
        <v>57</v>
      </c>
      <c r="B58" s="74" t="s">
        <v>109</v>
      </c>
      <c r="C58" s="75" t="s">
        <v>4337</v>
      </c>
      <c r="D58" s="8" t="s">
        <v>4338</v>
      </c>
      <c r="E58" s="8" t="s">
        <v>17</v>
      </c>
      <c r="F58" s="8" t="s">
        <v>29</v>
      </c>
      <c r="G58" s="8" t="s">
        <v>4339</v>
      </c>
      <c r="H58" s="8" t="s">
        <v>4340</v>
      </c>
      <c r="I58" s="8" t="s">
        <v>4223</v>
      </c>
      <c r="J58" s="8" t="s">
        <v>17</v>
      </c>
      <c r="K58" s="8" t="s">
        <v>4341</v>
      </c>
      <c r="L58" s="8" t="s">
        <v>4342</v>
      </c>
      <c r="M58" s="8" t="s">
        <v>17</v>
      </c>
      <c r="N58" s="8"/>
    </row>
    <row r="59" spans="1:14" s="73" customFormat="1" ht="409.6">
      <c r="A59" s="75">
        <v>58</v>
      </c>
      <c r="B59" s="74" t="s">
        <v>383</v>
      </c>
      <c r="C59" s="75" t="s">
        <v>27</v>
      </c>
      <c r="D59" s="8" t="s">
        <v>4343</v>
      </c>
      <c r="E59" s="8" t="s">
        <v>60</v>
      </c>
      <c r="F59" s="8" t="s">
        <v>29</v>
      </c>
      <c r="G59" s="8" t="s">
        <v>4344</v>
      </c>
      <c r="H59" s="8" t="s">
        <v>4345</v>
      </c>
      <c r="I59" s="8" t="s">
        <v>4346</v>
      </c>
      <c r="J59" s="8" t="s">
        <v>198</v>
      </c>
      <c r="K59" s="8" t="s">
        <v>4347</v>
      </c>
      <c r="L59" s="8" t="s">
        <v>4348</v>
      </c>
      <c r="M59" s="8" t="s">
        <v>4349</v>
      </c>
      <c r="N59" s="8" t="s">
        <v>4350</v>
      </c>
    </row>
    <row r="60" spans="1:14" s="73" customFormat="1" ht="74.599999999999994">
      <c r="A60" s="75">
        <v>59</v>
      </c>
      <c r="B60" s="74" t="s">
        <v>73</v>
      </c>
      <c r="C60" s="75" t="s">
        <v>261</v>
      </c>
      <c r="D60" s="8" t="s">
        <v>262</v>
      </c>
      <c r="E60" s="8" t="s">
        <v>60</v>
      </c>
      <c r="F60" s="8" t="s">
        <v>88</v>
      </c>
      <c r="G60" s="8" t="s">
        <v>4351</v>
      </c>
      <c r="H60" s="8" t="s">
        <v>17</v>
      </c>
      <c r="I60" s="8" t="s">
        <v>4352</v>
      </c>
      <c r="J60" s="8" t="s">
        <v>17</v>
      </c>
      <c r="K60" s="8" t="s">
        <v>17</v>
      </c>
      <c r="L60" s="8" t="s">
        <v>17</v>
      </c>
      <c r="M60" s="8" t="s">
        <v>17</v>
      </c>
      <c r="N60" s="8"/>
    </row>
    <row r="61" spans="1:14" s="73" customFormat="1" ht="409.6">
      <c r="A61" s="75">
        <v>60</v>
      </c>
      <c r="B61" s="74" t="s">
        <v>73</v>
      </c>
      <c r="C61" s="75" t="s">
        <v>378</v>
      </c>
      <c r="D61" s="8" t="s">
        <v>262</v>
      </c>
      <c r="E61" s="8" t="s">
        <v>60</v>
      </c>
      <c r="F61" s="8" t="s">
        <v>4353</v>
      </c>
      <c r="G61" s="8" t="s">
        <v>76</v>
      </c>
      <c r="H61" s="8" t="s">
        <v>4110</v>
      </c>
      <c r="I61" s="8" t="s">
        <v>17</v>
      </c>
      <c r="J61" s="8" t="s">
        <v>17</v>
      </c>
      <c r="K61" s="8" t="s">
        <v>4251</v>
      </c>
      <c r="L61" s="8" t="s">
        <v>4354</v>
      </c>
      <c r="M61" s="8" t="s">
        <v>17</v>
      </c>
      <c r="N61" s="8"/>
    </row>
    <row r="62" spans="1:14" s="73" customFormat="1" ht="409.6">
      <c r="A62" s="75">
        <v>61</v>
      </c>
      <c r="B62" s="74" t="s">
        <v>2085</v>
      </c>
      <c r="C62" s="75" t="s">
        <v>35</v>
      </c>
      <c r="D62" s="8" t="s">
        <v>4355</v>
      </c>
      <c r="E62" s="8" t="s">
        <v>2088</v>
      </c>
      <c r="F62" s="8"/>
      <c r="G62" s="8" t="s">
        <v>4356</v>
      </c>
      <c r="H62" s="8" t="s">
        <v>4357</v>
      </c>
      <c r="I62" s="76">
        <v>45108</v>
      </c>
      <c r="J62" s="8" t="s">
        <v>209</v>
      </c>
      <c r="K62" s="8" t="s">
        <v>4358</v>
      </c>
      <c r="L62" s="8" t="s">
        <v>17</v>
      </c>
      <c r="M62" s="8" t="s">
        <v>17</v>
      </c>
      <c r="N62" s="8"/>
    </row>
    <row r="63" spans="1:14" s="73" customFormat="1" ht="273">
      <c r="A63" s="75">
        <v>62</v>
      </c>
      <c r="B63" s="74" t="s">
        <v>2085</v>
      </c>
      <c r="C63" s="75" t="s">
        <v>4359</v>
      </c>
      <c r="D63" s="8" t="s">
        <v>4360</v>
      </c>
      <c r="E63" s="8" t="s">
        <v>4361</v>
      </c>
      <c r="F63" s="8" t="s">
        <v>720</v>
      </c>
      <c r="G63" s="8" t="s">
        <v>4362</v>
      </c>
      <c r="H63" s="8" t="s">
        <v>4363</v>
      </c>
      <c r="I63" s="8" t="s">
        <v>4364</v>
      </c>
      <c r="J63" s="8" t="s">
        <v>17</v>
      </c>
      <c r="K63" s="8" t="s">
        <v>4362</v>
      </c>
      <c r="L63" s="8" t="s">
        <v>17</v>
      </c>
      <c r="M63" s="8" t="s">
        <v>17</v>
      </c>
      <c r="N63" s="8"/>
    </row>
    <row r="64" spans="1:14" s="73" customFormat="1" ht="409.6">
      <c r="A64" s="75">
        <v>63</v>
      </c>
      <c r="B64" s="74" t="s">
        <v>309</v>
      </c>
      <c r="C64" s="75" t="s">
        <v>390</v>
      </c>
      <c r="D64" s="8" t="s">
        <v>3477</v>
      </c>
      <c r="E64" s="8" t="s">
        <v>4365</v>
      </c>
      <c r="F64" s="8" t="s">
        <v>29</v>
      </c>
      <c r="G64" s="8" t="s">
        <v>4366</v>
      </c>
      <c r="H64" s="8" t="s">
        <v>4123</v>
      </c>
      <c r="I64" s="8" t="s">
        <v>4367</v>
      </c>
      <c r="J64" s="8" t="s">
        <v>17</v>
      </c>
      <c r="K64" s="8" t="s">
        <v>4368</v>
      </c>
      <c r="L64" s="8" t="s">
        <v>4369</v>
      </c>
      <c r="M64" s="8" t="s">
        <v>4370</v>
      </c>
      <c r="N64" s="8"/>
    </row>
    <row r="65" spans="1:14" s="73" customFormat="1" ht="298.3">
      <c r="A65" s="75">
        <v>64</v>
      </c>
      <c r="B65" s="74" t="s">
        <v>109</v>
      </c>
      <c r="C65" s="75" t="s">
        <v>4371</v>
      </c>
      <c r="D65" s="8" t="s">
        <v>17</v>
      </c>
      <c r="E65" s="8" t="s">
        <v>17</v>
      </c>
      <c r="F65" s="8" t="s">
        <v>29</v>
      </c>
      <c r="G65" s="8" t="s">
        <v>4372</v>
      </c>
      <c r="H65" s="8" t="s">
        <v>4123</v>
      </c>
      <c r="I65" s="8" t="s">
        <v>17</v>
      </c>
      <c r="J65" s="8" t="s">
        <v>4373</v>
      </c>
      <c r="K65" s="8" t="s">
        <v>4374</v>
      </c>
      <c r="L65" s="8" t="s">
        <v>4375</v>
      </c>
      <c r="M65" s="8" t="s">
        <v>17</v>
      </c>
      <c r="N65" s="8"/>
    </row>
    <row r="66" spans="1:14" s="73" customFormat="1" ht="186.45">
      <c r="A66" s="75">
        <v>65</v>
      </c>
      <c r="B66" s="74" t="s">
        <v>109</v>
      </c>
      <c r="C66" s="75" t="s">
        <v>1098</v>
      </c>
      <c r="D66" s="8" t="s">
        <v>1099</v>
      </c>
      <c r="E66" s="8" t="s">
        <v>466</v>
      </c>
      <c r="F66" s="8" t="s">
        <v>29</v>
      </c>
      <c r="G66" s="8" t="s">
        <v>17</v>
      </c>
      <c r="H66" s="8" t="s">
        <v>4376</v>
      </c>
      <c r="I66" s="8" t="s">
        <v>4377</v>
      </c>
      <c r="J66" s="8" t="s">
        <v>4378</v>
      </c>
      <c r="K66" s="8" t="s">
        <v>1102</v>
      </c>
      <c r="L66" s="8" t="s">
        <v>17</v>
      </c>
      <c r="M66" s="8" t="s">
        <v>17</v>
      </c>
      <c r="N66" s="8" t="s">
        <v>4379</v>
      </c>
    </row>
    <row r="67" spans="1:14" s="73" customFormat="1" ht="409.6">
      <c r="A67" s="75">
        <v>66</v>
      </c>
      <c r="B67" s="74" t="s">
        <v>156</v>
      </c>
      <c r="C67" s="75" t="s">
        <v>4380</v>
      </c>
      <c r="D67" s="8" t="s">
        <v>4381</v>
      </c>
      <c r="E67" s="8" t="s">
        <v>17</v>
      </c>
      <c r="F67" s="8" t="s">
        <v>29</v>
      </c>
      <c r="G67" s="8" t="s">
        <v>4382</v>
      </c>
      <c r="H67" s="8" t="s">
        <v>4205</v>
      </c>
      <c r="I67" s="8" t="s">
        <v>4105</v>
      </c>
      <c r="J67" s="8" t="s">
        <v>4383</v>
      </c>
      <c r="K67" s="8" t="s">
        <v>4384</v>
      </c>
      <c r="L67" s="8" t="s">
        <v>4385</v>
      </c>
      <c r="M67" s="8" t="s">
        <v>17</v>
      </c>
      <c r="N67" s="8" t="s">
        <v>4386</v>
      </c>
    </row>
    <row r="68" spans="1:14" s="73" customFormat="1" ht="409.6">
      <c r="A68" s="75">
        <v>67</v>
      </c>
      <c r="B68" s="74" t="s">
        <v>156</v>
      </c>
      <c r="C68" s="75" t="s">
        <v>4387</v>
      </c>
      <c r="D68" s="8" t="s">
        <v>4388</v>
      </c>
      <c r="E68" s="8" t="s">
        <v>4389</v>
      </c>
      <c r="F68" s="8" t="s">
        <v>29</v>
      </c>
      <c r="G68" s="8" t="s">
        <v>4390</v>
      </c>
      <c r="H68" s="8" t="s">
        <v>4110</v>
      </c>
      <c r="I68" s="8" t="s">
        <v>4391</v>
      </c>
      <c r="J68" s="8" t="s">
        <v>17</v>
      </c>
      <c r="K68" s="8" t="s">
        <v>4392</v>
      </c>
      <c r="L68" s="8" t="s">
        <v>4393</v>
      </c>
      <c r="M68" s="8" t="s">
        <v>17</v>
      </c>
      <c r="N68" s="8" t="s">
        <v>4394</v>
      </c>
    </row>
    <row r="69" spans="1:14" s="73" customFormat="1" ht="409.6">
      <c r="A69" s="75">
        <v>68</v>
      </c>
      <c r="B69" s="74" t="s">
        <v>245</v>
      </c>
      <c r="C69" s="75" t="s">
        <v>116</v>
      </c>
      <c r="D69" s="8" t="s">
        <v>75</v>
      </c>
      <c r="E69" s="8" t="s">
        <v>246</v>
      </c>
      <c r="F69" s="8" t="s">
        <v>29</v>
      </c>
      <c r="G69" s="8" t="s">
        <v>3457</v>
      </c>
      <c r="H69" s="8" t="s">
        <v>4305</v>
      </c>
      <c r="I69" s="8" t="s">
        <v>4395</v>
      </c>
      <c r="J69" s="8" t="s">
        <v>17</v>
      </c>
      <c r="K69" s="8" t="s">
        <v>4396</v>
      </c>
      <c r="L69" s="8" t="s">
        <v>250</v>
      </c>
      <c r="M69" s="8" t="s">
        <v>17</v>
      </c>
      <c r="N69" s="8" t="s">
        <v>251</v>
      </c>
    </row>
    <row r="70" spans="1:14" s="73" customFormat="1" ht="409.6">
      <c r="A70" s="75">
        <v>69</v>
      </c>
      <c r="B70" s="74" t="s">
        <v>73</v>
      </c>
      <c r="C70" s="75" t="s">
        <v>4397</v>
      </c>
      <c r="D70" s="8" t="s">
        <v>75</v>
      </c>
      <c r="E70" s="8" t="s">
        <v>60</v>
      </c>
      <c r="F70" s="8" t="s">
        <v>29</v>
      </c>
      <c r="G70" s="81" t="s">
        <v>4398</v>
      </c>
      <c r="H70" s="8" t="s">
        <v>4110</v>
      </c>
      <c r="I70" s="8" t="s">
        <v>4140</v>
      </c>
      <c r="J70" s="8" t="s">
        <v>17</v>
      </c>
      <c r="K70" s="8" t="s">
        <v>4399</v>
      </c>
      <c r="L70" s="8" t="s">
        <v>4400</v>
      </c>
      <c r="M70" s="8" t="s">
        <v>17</v>
      </c>
      <c r="N70" s="8" t="s">
        <v>4401</v>
      </c>
    </row>
    <row r="71" spans="1:14" s="73" customFormat="1" ht="409.6">
      <c r="A71" s="75">
        <v>70</v>
      </c>
      <c r="B71" s="74" t="s">
        <v>760</v>
      </c>
      <c r="C71" s="75" t="s">
        <v>1622</v>
      </c>
      <c r="D71" s="8" t="s">
        <v>4402</v>
      </c>
      <c r="E71" s="8" t="s">
        <v>16</v>
      </c>
      <c r="F71" s="8" t="s">
        <v>720</v>
      </c>
      <c r="G71" s="8" t="s">
        <v>4403</v>
      </c>
      <c r="H71" s="8" t="s">
        <v>4404</v>
      </c>
      <c r="I71" s="8" t="s">
        <v>4405</v>
      </c>
      <c r="J71" s="8" t="s">
        <v>63</v>
      </c>
      <c r="K71" s="8" t="s">
        <v>4406</v>
      </c>
      <c r="L71" s="8" t="s">
        <v>4407</v>
      </c>
      <c r="M71" s="8" t="s">
        <v>4408</v>
      </c>
      <c r="N71" s="8" t="s">
        <v>4409</v>
      </c>
    </row>
    <row r="72" spans="1:14" s="73" customFormat="1" ht="409.6">
      <c r="A72" s="75">
        <v>71</v>
      </c>
      <c r="B72" s="74" t="s">
        <v>309</v>
      </c>
      <c r="C72" s="75" t="s">
        <v>35</v>
      </c>
      <c r="D72" s="8" t="s">
        <v>4410</v>
      </c>
      <c r="E72" s="8" t="s">
        <v>60</v>
      </c>
      <c r="F72" s="8" t="s">
        <v>29</v>
      </c>
      <c r="G72" s="8" t="s">
        <v>4411</v>
      </c>
      <c r="H72" s="8" t="s">
        <v>4222</v>
      </c>
      <c r="I72" s="8" t="s">
        <v>4140</v>
      </c>
      <c r="J72" s="8" t="s">
        <v>4383</v>
      </c>
      <c r="K72" s="8" t="s">
        <v>4412</v>
      </c>
      <c r="L72" s="8" t="s">
        <v>4413</v>
      </c>
      <c r="M72" s="8" t="s">
        <v>4414</v>
      </c>
      <c r="N72" s="8"/>
    </row>
    <row r="73" spans="1:14" s="73" customFormat="1" ht="409.6">
      <c r="A73" s="75">
        <v>72</v>
      </c>
      <c r="B73" s="74" t="s">
        <v>439</v>
      </c>
      <c r="C73" s="75" t="s">
        <v>35</v>
      </c>
      <c r="D73" s="8" t="s">
        <v>17</v>
      </c>
      <c r="E73" s="8" t="s">
        <v>60</v>
      </c>
      <c r="F73" s="8" t="s">
        <v>29</v>
      </c>
      <c r="G73" s="8" t="s">
        <v>17</v>
      </c>
      <c r="H73" s="8" t="s">
        <v>4415</v>
      </c>
      <c r="I73" s="8" t="s">
        <v>4416</v>
      </c>
      <c r="J73" s="8" t="s">
        <v>17</v>
      </c>
      <c r="K73" s="8" t="s">
        <v>441</v>
      </c>
      <c r="L73" s="8" t="s">
        <v>4417</v>
      </c>
      <c r="M73" s="8" t="s">
        <v>4418</v>
      </c>
      <c r="N73" s="8" t="s">
        <v>4419</v>
      </c>
    </row>
    <row r="74" spans="1:14" s="73" customFormat="1" ht="409.6">
      <c r="A74" s="75">
        <v>73</v>
      </c>
      <c r="B74" s="74" t="s">
        <v>58</v>
      </c>
      <c r="C74" s="75" t="s">
        <v>4420</v>
      </c>
      <c r="D74" s="8" t="s">
        <v>4421</v>
      </c>
      <c r="E74" s="8" t="s">
        <v>4422</v>
      </c>
      <c r="F74" s="8" t="s">
        <v>29</v>
      </c>
      <c r="G74" s="8" t="s">
        <v>4423</v>
      </c>
      <c r="H74" s="8" t="s">
        <v>4123</v>
      </c>
      <c r="I74" s="8" t="s">
        <v>4424</v>
      </c>
      <c r="J74" s="8" t="s">
        <v>17</v>
      </c>
      <c r="K74" s="8" t="s">
        <v>4425</v>
      </c>
      <c r="L74" s="8" t="s">
        <v>4426</v>
      </c>
      <c r="M74" s="8" t="s">
        <v>17</v>
      </c>
      <c r="N74" s="8" t="s">
        <v>4427</v>
      </c>
    </row>
    <row r="75" spans="1:14" s="73" customFormat="1" ht="409.6">
      <c r="A75" s="75">
        <v>74</v>
      </c>
      <c r="B75" s="74" t="s">
        <v>245</v>
      </c>
      <c r="C75" s="75" t="s">
        <v>35</v>
      </c>
      <c r="D75" s="8" t="s">
        <v>271</v>
      </c>
      <c r="E75" s="8" t="s">
        <v>272</v>
      </c>
      <c r="F75" s="8" t="s">
        <v>29</v>
      </c>
      <c r="G75" s="8" t="s">
        <v>4428</v>
      </c>
      <c r="H75" s="8" t="s">
        <v>4429</v>
      </c>
      <c r="I75" s="8" t="s">
        <v>4140</v>
      </c>
      <c r="J75" s="8" t="s">
        <v>17</v>
      </c>
      <c r="K75" s="8" t="s">
        <v>4430</v>
      </c>
      <c r="L75" s="8" t="s">
        <v>4431</v>
      </c>
      <c r="M75" s="8" t="s">
        <v>17</v>
      </c>
      <c r="N75" s="8"/>
    </row>
    <row r="76" spans="1:14" s="73" customFormat="1" ht="372.9">
      <c r="A76" s="75">
        <v>75</v>
      </c>
      <c r="B76" s="74" t="s">
        <v>318</v>
      </c>
      <c r="C76" s="75" t="s">
        <v>116</v>
      </c>
      <c r="D76" s="8" t="s">
        <v>364</v>
      </c>
      <c r="E76" s="8" t="s">
        <v>365</v>
      </c>
      <c r="F76" s="8" t="s">
        <v>29</v>
      </c>
      <c r="G76" s="8" t="s">
        <v>366</v>
      </c>
      <c r="H76" s="8" t="s">
        <v>4432</v>
      </c>
      <c r="I76" s="8" t="s">
        <v>4433</v>
      </c>
      <c r="J76" s="8" t="s">
        <v>56</v>
      </c>
      <c r="K76" s="8" t="s">
        <v>4434</v>
      </c>
      <c r="L76" s="8" t="s">
        <v>17</v>
      </c>
      <c r="M76" s="8" t="s">
        <v>4435</v>
      </c>
      <c r="N76" s="8" t="s">
        <v>370</v>
      </c>
    </row>
    <row r="77" spans="1:14" s="73" customFormat="1" ht="409.6">
      <c r="A77" s="75">
        <v>76</v>
      </c>
      <c r="B77" s="74" t="s">
        <v>4436</v>
      </c>
      <c r="C77" s="75" t="s">
        <v>35</v>
      </c>
      <c r="D77" s="8" t="s">
        <v>4437</v>
      </c>
      <c r="E77" s="8" t="s">
        <v>633</v>
      </c>
      <c r="F77" s="8" t="s">
        <v>88</v>
      </c>
      <c r="G77" s="8" t="s">
        <v>4438</v>
      </c>
      <c r="H77" s="8" t="s">
        <v>4439</v>
      </c>
      <c r="I77" s="8" t="s">
        <v>4440</v>
      </c>
      <c r="J77" s="8" t="s">
        <v>17</v>
      </c>
      <c r="K77" s="8" t="s">
        <v>4441</v>
      </c>
      <c r="L77" s="8" t="s">
        <v>17</v>
      </c>
      <c r="M77" s="8" t="s">
        <v>4442</v>
      </c>
      <c r="N77" s="8"/>
    </row>
    <row r="78" spans="1:14" s="73" customFormat="1" ht="223.75">
      <c r="A78" s="75">
        <v>77</v>
      </c>
      <c r="B78" s="79" t="s">
        <v>109</v>
      </c>
      <c r="C78" s="75" t="s">
        <v>101</v>
      </c>
      <c r="D78" s="8" t="s">
        <v>102</v>
      </c>
      <c r="E78" s="8" t="s">
        <v>103</v>
      </c>
      <c r="F78" s="8" t="s">
        <v>29</v>
      </c>
      <c r="G78" s="8" t="s">
        <v>17</v>
      </c>
      <c r="H78" s="8" t="s">
        <v>4443</v>
      </c>
      <c r="I78" s="8" t="s">
        <v>4140</v>
      </c>
      <c r="J78" s="8" t="s">
        <v>17</v>
      </c>
      <c r="K78" s="8" t="s">
        <v>17</v>
      </c>
      <c r="L78" s="8" t="s">
        <v>107</v>
      </c>
      <c r="M78" s="8" t="s">
        <v>17</v>
      </c>
      <c r="N78" s="8" t="s">
        <v>4444</v>
      </c>
    </row>
    <row r="79" spans="1:14" s="73" customFormat="1" ht="335.6">
      <c r="A79" s="75">
        <v>78</v>
      </c>
      <c r="B79" s="74" t="s">
        <v>463</v>
      </c>
      <c r="C79" s="75" t="s">
        <v>464</v>
      </c>
      <c r="D79" s="8" t="s">
        <v>465</v>
      </c>
      <c r="E79" s="8" t="s">
        <v>466</v>
      </c>
      <c r="F79" s="8" t="s">
        <v>29</v>
      </c>
      <c r="G79" s="8" t="s">
        <v>467</v>
      </c>
      <c r="H79" s="8" t="s">
        <v>4300</v>
      </c>
      <c r="I79" s="8" t="s">
        <v>17</v>
      </c>
      <c r="J79" s="8" t="s">
        <v>4445</v>
      </c>
      <c r="K79" s="8" t="s">
        <v>469</v>
      </c>
      <c r="L79" s="8" t="s">
        <v>4446</v>
      </c>
      <c r="M79" s="8" t="s">
        <v>17</v>
      </c>
      <c r="N79" s="8"/>
    </row>
    <row r="80" spans="1:14" s="73" customFormat="1" ht="298.3">
      <c r="A80" s="75">
        <v>79</v>
      </c>
      <c r="B80" s="74" t="s">
        <v>50</v>
      </c>
      <c r="C80" s="75" t="s">
        <v>663</v>
      </c>
      <c r="D80" s="8" t="s">
        <v>664</v>
      </c>
      <c r="E80" s="8" t="s">
        <v>665</v>
      </c>
      <c r="F80" s="8" t="s">
        <v>17</v>
      </c>
      <c r="G80" s="8" t="s">
        <v>17</v>
      </c>
      <c r="H80" s="8" t="s">
        <v>4447</v>
      </c>
      <c r="I80" s="8" t="s">
        <v>17</v>
      </c>
      <c r="J80" s="8" t="s">
        <v>17</v>
      </c>
      <c r="K80" s="8" t="s">
        <v>667</v>
      </c>
      <c r="L80" s="8" t="s">
        <v>17</v>
      </c>
      <c r="M80" s="8" t="s">
        <v>17</v>
      </c>
      <c r="N80" s="8"/>
    </row>
    <row r="81" spans="1:14" s="73" customFormat="1" ht="409.6">
      <c r="A81" s="75">
        <v>80</v>
      </c>
      <c r="B81" s="74" t="s">
        <v>58</v>
      </c>
      <c r="C81" s="75" t="s">
        <v>4448</v>
      </c>
      <c r="D81" s="8" t="s">
        <v>4449</v>
      </c>
      <c r="E81" s="8" t="s">
        <v>4450</v>
      </c>
      <c r="F81" s="8" t="s">
        <v>29</v>
      </c>
      <c r="G81" s="8" t="s">
        <v>4451</v>
      </c>
      <c r="H81" s="8" t="s">
        <v>4110</v>
      </c>
      <c r="I81" s="8" t="s">
        <v>4452</v>
      </c>
      <c r="J81" s="8" t="s">
        <v>2617</v>
      </c>
      <c r="K81" s="8" t="s">
        <v>4453</v>
      </c>
      <c r="L81" s="8" t="s">
        <v>4454</v>
      </c>
      <c r="M81" s="8" t="s">
        <v>17</v>
      </c>
      <c r="N81" s="8" t="s">
        <v>4455</v>
      </c>
    </row>
    <row r="82" spans="1:14" s="73" customFormat="1" ht="409.6">
      <c r="A82" s="75">
        <v>81</v>
      </c>
      <c r="B82" s="74" t="s">
        <v>4456</v>
      </c>
      <c r="C82" s="75" t="s">
        <v>295</v>
      </c>
      <c r="D82" s="8" t="s">
        <v>4457</v>
      </c>
      <c r="E82" s="8" t="s">
        <v>4458</v>
      </c>
      <c r="F82" s="8" t="s">
        <v>29</v>
      </c>
      <c r="G82" s="8" t="s">
        <v>4459</v>
      </c>
      <c r="H82" s="8" t="s">
        <v>4460</v>
      </c>
      <c r="I82" s="8" t="s">
        <v>4461</v>
      </c>
      <c r="J82" s="8" t="s">
        <v>2077</v>
      </c>
      <c r="K82" s="8" t="s">
        <v>4462</v>
      </c>
      <c r="L82" s="8" t="s">
        <v>4463</v>
      </c>
      <c r="M82" s="8" t="s">
        <v>4464</v>
      </c>
      <c r="N82" s="8" t="s">
        <v>4465</v>
      </c>
    </row>
    <row r="83" spans="1:14" s="73" customFormat="1" ht="409.6">
      <c r="A83" s="75">
        <v>82</v>
      </c>
      <c r="B83" s="74" t="s">
        <v>287</v>
      </c>
      <c r="C83" s="75" t="s">
        <v>116</v>
      </c>
      <c r="D83" s="8" t="s">
        <v>742</v>
      </c>
      <c r="E83" s="8" t="s">
        <v>743</v>
      </c>
      <c r="F83" s="8" t="s">
        <v>29</v>
      </c>
      <c r="G83" s="8" t="s">
        <v>17</v>
      </c>
      <c r="H83" s="8" t="s">
        <v>4466</v>
      </c>
      <c r="I83" s="8" t="s">
        <v>4152</v>
      </c>
      <c r="J83" s="8" t="s">
        <v>17</v>
      </c>
      <c r="K83" s="8" t="s">
        <v>745</v>
      </c>
      <c r="L83" s="8" t="s">
        <v>17</v>
      </c>
      <c r="M83" s="8" t="s">
        <v>746</v>
      </c>
      <c r="N83" s="8"/>
    </row>
    <row r="84" spans="1:14" s="73" customFormat="1" ht="409.6">
      <c r="A84" s="75">
        <v>83</v>
      </c>
      <c r="B84" s="74" t="s">
        <v>318</v>
      </c>
      <c r="C84" s="75" t="s">
        <v>74</v>
      </c>
      <c r="D84" s="8" t="s">
        <v>319</v>
      </c>
      <c r="E84" s="8" t="s">
        <v>320</v>
      </c>
      <c r="F84" s="8" t="s">
        <v>29</v>
      </c>
      <c r="G84" s="8" t="s">
        <v>17</v>
      </c>
      <c r="H84" s="8" t="s">
        <v>4467</v>
      </c>
      <c r="I84" s="8" t="s">
        <v>4468</v>
      </c>
      <c r="J84" s="8" t="s">
        <v>323</v>
      </c>
      <c r="K84" s="8" t="s">
        <v>324</v>
      </c>
      <c r="L84" s="8" t="s">
        <v>4469</v>
      </c>
      <c r="M84" s="8" t="s">
        <v>325</v>
      </c>
      <c r="N84" s="8" t="s">
        <v>326</v>
      </c>
    </row>
    <row r="85" spans="1:14" s="73" customFormat="1" ht="409.6">
      <c r="A85" s="75">
        <v>84</v>
      </c>
      <c r="B85" s="74" t="s">
        <v>50</v>
      </c>
      <c r="C85" s="75" t="s">
        <v>4470</v>
      </c>
      <c r="D85" s="8" t="s">
        <v>4471</v>
      </c>
      <c r="E85" s="8" t="s">
        <v>4472</v>
      </c>
      <c r="F85" s="8" t="s">
        <v>29</v>
      </c>
      <c r="G85" s="8" t="s">
        <v>4473</v>
      </c>
      <c r="H85" s="8" t="s">
        <v>4474</v>
      </c>
      <c r="I85" s="8" t="s">
        <v>4475</v>
      </c>
      <c r="J85" s="8" t="s">
        <v>2077</v>
      </c>
      <c r="K85" s="8" t="s">
        <v>4476</v>
      </c>
      <c r="L85" s="8" t="s">
        <v>4477</v>
      </c>
      <c r="M85" s="8" t="s">
        <v>4478</v>
      </c>
      <c r="N85" s="8"/>
    </row>
    <row r="86" spans="1:14" s="73" customFormat="1" ht="409.6">
      <c r="A86" s="75">
        <v>85</v>
      </c>
      <c r="B86" s="74" t="s">
        <v>13</v>
      </c>
      <c r="C86" s="75" t="s">
        <v>4479</v>
      </c>
      <c r="D86" s="8" t="s">
        <v>36</v>
      </c>
      <c r="E86" s="8" t="s">
        <v>37</v>
      </c>
      <c r="F86" s="8" t="s">
        <v>29</v>
      </c>
      <c r="G86" s="8" t="s">
        <v>17</v>
      </c>
      <c r="H86" s="8" t="s">
        <v>4480</v>
      </c>
      <c r="I86" s="8" t="s">
        <v>4481</v>
      </c>
      <c r="J86" s="8" t="s">
        <v>63</v>
      </c>
      <c r="K86" s="8" t="s">
        <v>4482</v>
      </c>
      <c r="L86" s="8" t="s">
        <v>17</v>
      </c>
      <c r="M86" s="8" t="s">
        <v>17</v>
      </c>
      <c r="N86" s="8" t="s">
        <v>4483</v>
      </c>
    </row>
    <row r="87" spans="1:14" s="73" customFormat="1" ht="372.9">
      <c r="A87" s="75">
        <v>86</v>
      </c>
      <c r="B87" s="82" t="s">
        <v>58</v>
      </c>
      <c r="C87" s="75" t="s">
        <v>116</v>
      </c>
      <c r="D87" s="8" t="s">
        <v>17</v>
      </c>
      <c r="E87" s="8" t="s">
        <v>4484</v>
      </c>
      <c r="F87" s="8" t="s">
        <v>299</v>
      </c>
      <c r="G87" s="8" t="s">
        <v>300</v>
      </c>
      <c r="H87" s="8" t="s">
        <v>419</v>
      </c>
      <c r="I87" s="8" t="s">
        <v>4485</v>
      </c>
      <c r="J87" s="8" t="s">
        <v>4486</v>
      </c>
      <c r="K87" s="8" t="s">
        <v>4487</v>
      </c>
      <c r="L87" s="8" t="s">
        <v>17</v>
      </c>
      <c r="M87" s="8" t="s">
        <v>17</v>
      </c>
      <c r="N87" s="8"/>
    </row>
    <row r="88" spans="1:14" s="73" customFormat="1" ht="409.6">
      <c r="A88" s="75">
        <v>87</v>
      </c>
      <c r="B88" s="74" t="s">
        <v>318</v>
      </c>
      <c r="C88" s="75" t="s">
        <v>191</v>
      </c>
      <c r="D88" s="8" t="s">
        <v>36</v>
      </c>
      <c r="E88" s="8" t="s">
        <v>407</v>
      </c>
      <c r="F88" s="8" t="s">
        <v>29</v>
      </c>
      <c r="G88" s="8" t="s">
        <v>17</v>
      </c>
      <c r="H88" s="8" t="s">
        <v>4488</v>
      </c>
      <c r="I88" s="8" t="s">
        <v>4223</v>
      </c>
      <c r="J88" s="8" t="s">
        <v>209</v>
      </c>
      <c r="K88" s="8" t="s">
        <v>410</v>
      </c>
      <c r="L88" s="8" t="s">
        <v>411</v>
      </c>
      <c r="M88" s="8" t="s">
        <v>412</v>
      </c>
      <c r="N88" s="8" t="s">
        <v>4489</v>
      </c>
    </row>
    <row r="89" spans="1:14" s="73" customFormat="1" ht="409.6">
      <c r="A89" s="75">
        <v>88</v>
      </c>
      <c r="B89" s="74" t="s">
        <v>309</v>
      </c>
      <c r="C89" s="75" t="s">
        <v>191</v>
      </c>
      <c r="D89" s="8" t="s">
        <v>310</v>
      </c>
      <c r="E89" s="8" t="s">
        <v>60</v>
      </c>
      <c r="F89" s="8" t="s">
        <v>29</v>
      </c>
      <c r="G89" s="8" t="s">
        <v>4490</v>
      </c>
      <c r="H89" s="8" t="s">
        <v>4110</v>
      </c>
      <c r="I89" s="8" t="s">
        <v>4491</v>
      </c>
      <c r="J89" s="8" t="s">
        <v>314</v>
      </c>
      <c r="K89" s="8" t="s">
        <v>4492</v>
      </c>
      <c r="L89" s="8" t="s">
        <v>2451</v>
      </c>
      <c r="M89" s="8" t="s">
        <v>317</v>
      </c>
      <c r="N89" s="8"/>
    </row>
    <row r="90" spans="1:14" s="73" customFormat="1" ht="409.6">
      <c r="A90" s="75">
        <v>89</v>
      </c>
      <c r="B90" s="74" t="s">
        <v>309</v>
      </c>
      <c r="C90" s="75" t="s">
        <v>59</v>
      </c>
      <c r="D90" s="8" t="s">
        <v>385</v>
      </c>
      <c r="E90" s="8" t="s">
        <v>60</v>
      </c>
      <c r="F90" s="8" t="s">
        <v>29</v>
      </c>
      <c r="G90" s="8" t="s">
        <v>400</v>
      </c>
      <c r="H90" s="8" t="s">
        <v>4123</v>
      </c>
      <c r="I90" s="8" t="s">
        <v>4493</v>
      </c>
      <c r="J90" s="8" t="s">
        <v>402</v>
      </c>
      <c r="K90" s="8" t="s">
        <v>4494</v>
      </c>
      <c r="L90" s="8" t="s">
        <v>404</v>
      </c>
      <c r="M90" s="8" t="s">
        <v>4495</v>
      </c>
      <c r="N90" s="8"/>
    </row>
    <row r="91" spans="1:14" s="73" customFormat="1" ht="409.6">
      <c r="A91" s="75">
        <v>90</v>
      </c>
      <c r="B91" s="74" t="s">
        <v>109</v>
      </c>
      <c r="C91" s="75" t="s">
        <v>1621</v>
      </c>
      <c r="D91" s="8" t="s">
        <v>4496</v>
      </c>
      <c r="E91" s="8" t="s">
        <v>17</v>
      </c>
      <c r="F91" s="8" t="s">
        <v>29</v>
      </c>
      <c r="G91" s="8" t="s">
        <v>17</v>
      </c>
      <c r="H91" s="8" t="s">
        <v>4497</v>
      </c>
      <c r="I91" s="8" t="s">
        <v>4498</v>
      </c>
      <c r="J91" s="8" t="s">
        <v>17</v>
      </c>
      <c r="K91" s="8" t="s">
        <v>4499</v>
      </c>
      <c r="L91" s="8" t="s">
        <v>4500</v>
      </c>
      <c r="M91" s="8" t="s">
        <v>17</v>
      </c>
      <c r="N91" s="8"/>
    </row>
    <row r="92" spans="1:14" s="73" customFormat="1" ht="74.599999999999994">
      <c r="A92" s="75">
        <v>91</v>
      </c>
      <c r="B92" s="74" t="s">
        <v>58</v>
      </c>
      <c r="C92" s="75" t="s">
        <v>758</v>
      </c>
      <c r="D92" s="8" t="s">
        <v>268</v>
      </c>
      <c r="E92" s="8" t="s">
        <v>4501</v>
      </c>
      <c r="F92" s="8" t="s">
        <v>29</v>
      </c>
      <c r="G92" s="8" t="s">
        <v>17</v>
      </c>
      <c r="H92" s="8" t="s">
        <v>4502</v>
      </c>
      <c r="I92" s="8" t="s">
        <v>4346</v>
      </c>
      <c r="J92" s="8" t="s">
        <v>17</v>
      </c>
      <c r="K92" s="8" t="s">
        <v>17</v>
      </c>
      <c r="L92" s="8" t="s">
        <v>17</v>
      </c>
      <c r="M92" s="8" t="s">
        <v>17</v>
      </c>
      <c r="N92" s="8"/>
    </row>
    <row r="93" spans="1:14" s="73" customFormat="1" ht="186.45">
      <c r="A93" s="75">
        <v>92</v>
      </c>
      <c r="B93" s="74" t="s">
        <v>58</v>
      </c>
      <c r="C93" s="75" t="s">
        <v>35</v>
      </c>
      <c r="D93" s="8" t="s">
        <v>17</v>
      </c>
      <c r="E93" s="8" t="s">
        <v>4503</v>
      </c>
      <c r="F93" s="8" t="s">
        <v>29</v>
      </c>
      <c r="G93" s="8" t="s">
        <v>4504</v>
      </c>
      <c r="H93" s="8" t="s">
        <v>4222</v>
      </c>
      <c r="I93" s="8" t="s">
        <v>4140</v>
      </c>
      <c r="J93" s="8" t="s">
        <v>512</v>
      </c>
      <c r="K93" s="8" t="s">
        <v>17</v>
      </c>
      <c r="L93" s="8" t="s">
        <v>17</v>
      </c>
      <c r="M93" s="8" t="s">
        <v>17</v>
      </c>
      <c r="N93" s="8"/>
    </row>
    <row r="94" spans="1:14" s="73" customFormat="1" ht="409.6">
      <c r="A94" s="75">
        <v>93</v>
      </c>
      <c r="B94" s="74" t="s">
        <v>383</v>
      </c>
      <c r="C94" s="75" t="s">
        <v>384</v>
      </c>
      <c r="D94" s="8" t="s">
        <v>385</v>
      </c>
      <c r="E94" s="8" t="s">
        <v>60</v>
      </c>
      <c r="F94" s="8" t="s">
        <v>29</v>
      </c>
      <c r="G94" s="8" t="s">
        <v>17</v>
      </c>
      <c r="H94" s="8" t="s">
        <v>744</v>
      </c>
      <c r="I94" s="8" t="s">
        <v>4505</v>
      </c>
      <c r="J94" s="8" t="s">
        <v>329</v>
      </c>
      <c r="K94" s="8" t="s">
        <v>388</v>
      </c>
      <c r="L94" s="8" t="s">
        <v>4506</v>
      </c>
      <c r="M94" s="8" t="s">
        <v>4507</v>
      </c>
      <c r="N94" s="8"/>
    </row>
    <row r="95" spans="1:14" s="73" customFormat="1" ht="409.6">
      <c r="A95" s="75">
        <v>94</v>
      </c>
      <c r="B95" s="74" t="s">
        <v>239</v>
      </c>
      <c r="C95" s="75" t="s">
        <v>240</v>
      </c>
      <c r="D95" s="8" t="s">
        <v>17</v>
      </c>
      <c r="E95" s="8" t="s">
        <v>4508</v>
      </c>
      <c r="F95" s="8" t="s">
        <v>29</v>
      </c>
      <c r="G95" s="8" t="s">
        <v>17</v>
      </c>
      <c r="H95" s="8" t="s">
        <v>4509</v>
      </c>
      <c r="I95" s="8" t="s">
        <v>4510</v>
      </c>
      <c r="J95" s="8" t="s">
        <v>17</v>
      </c>
      <c r="K95" s="8" t="s">
        <v>4511</v>
      </c>
      <c r="L95" s="8" t="s">
        <v>17</v>
      </c>
      <c r="M95" s="8" t="s">
        <v>17</v>
      </c>
      <c r="N95" s="8" t="s">
        <v>4512</v>
      </c>
    </row>
    <row r="96" spans="1:14" s="73" customFormat="1" ht="409.6">
      <c r="A96" s="75">
        <v>95</v>
      </c>
      <c r="B96" s="74" t="s">
        <v>13</v>
      </c>
      <c r="C96" s="75" t="s">
        <v>1661</v>
      </c>
      <c r="D96" s="8" t="s">
        <v>36</v>
      </c>
      <c r="E96" s="8" t="s">
        <v>82</v>
      </c>
      <c r="F96" s="8" t="s">
        <v>29</v>
      </c>
      <c r="G96" s="8" t="s">
        <v>17</v>
      </c>
      <c r="H96" s="8" t="s">
        <v>4513</v>
      </c>
      <c r="I96" s="8" t="s">
        <v>4514</v>
      </c>
      <c r="J96" s="8" t="s">
        <v>512</v>
      </c>
      <c r="K96" s="8" t="s">
        <v>4515</v>
      </c>
      <c r="L96" s="8" t="s">
        <v>17</v>
      </c>
      <c r="M96" s="8" t="s">
        <v>17</v>
      </c>
      <c r="N96" s="8" t="s">
        <v>4516</v>
      </c>
    </row>
    <row r="97" spans="1:14" s="73" customFormat="1" ht="409.6">
      <c r="A97" s="75">
        <v>96</v>
      </c>
      <c r="B97" s="74" t="s">
        <v>439</v>
      </c>
      <c r="C97" s="75" t="s">
        <v>515</v>
      </c>
      <c r="D97" s="8" t="s">
        <v>516</v>
      </c>
      <c r="E97" s="8" t="s">
        <v>517</v>
      </c>
      <c r="F97" s="8" t="s">
        <v>29</v>
      </c>
      <c r="G97" s="8" t="s">
        <v>518</v>
      </c>
      <c r="H97" s="8" t="s">
        <v>4517</v>
      </c>
      <c r="I97" s="8" t="s">
        <v>4518</v>
      </c>
      <c r="J97" s="8" t="s">
        <v>17</v>
      </c>
      <c r="K97" s="8" t="s">
        <v>17</v>
      </c>
      <c r="L97" s="8" t="s">
        <v>521</v>
      </c>
      <c r="M97" s="8" t="s">
        <v>522</v>
      </c>
      <c r="N97" s="8"/>
    </row>
    <row r="98" spans="1:14" s="73" customFormat="1" ht="409.6">
      <c r="A98" s="75">
        <v>97</v>
      </c>
      <c r="B98" s="74" t="s">
        <v>422</v>
      </c>
      <c r="C98" s="75" t="s">
        <v>4519</v>
      </c>
      <c r="D98" s="8" t="s">
        <v>4520</v>
      </c>
      <c r="E98" s="8" t="s">
        <v>4521</v>
      </c>
      <c r="F98" s="8" t="s">
        <v>29</v>
      </c>
      <c r="G98" s="8" t="s">
        <v>4522</v>
      </c>
      <c r="H98" s="8" t="s">
        <v>4222</v>
      </c>
      <c r="I98" s="8" t="s">
        <v>4523</v>
      </c>
      <c r="J98" s="8" t="s">
        <v>17</v>
      </c>
      <c r="K98" s="8" t="s">
        <v>4524</v>
      </c>
      <c r="L98" s="8" t="s">
        <v>4525</v>
      </c>
      <c r="M98" s="8" t="s">
        <v>4526</v>
      </c>
      <c r="N98" s="8" t="s">
        <v>4527</v>
      </c>
    </row>
    <row r="99" spans="1:14" s="73" customFormat="1" ht="223.75">
      <c r="A99" s="75">
        <v>98</v>
      </c>
      <c r="B99" s="74" t="s">
        <v>435</v>
      </c>
      <c r="C99" s="75" t="s">
        <v>43</v>
      </c>
      <c r="D99" s="8" t="s">
        <v>52</v>
      </c>
      <c r="E99" s="8" t="s">
        <v>17</v>
      </c>
      <c r="F99" s="8" t="s">
        <v>17</v>
      </c>
      <c r="G99" s="8" t="s">
        <v>17</v>
      </c>
      <c r="H99" s="8" t="s">
        <v>4528</v>
      </c>
      <c r="I99" s="8" t="s">
        <v>4529</v>
      </c>
      <c r="J99" s="8" t="s">
        <v>17</v>
      </c>
      <c r="K99" s="8" t="s">
        <v>17</v>
      </c>
      <c r="L99" s="8" t="s">
        <v>17</v>
      </c>
      <c r="M99" s="8" t="s">
        <v>4530</v>
      </c>
      <c r="N99" s="8"/>
    </row>
    <row r="100" spans="1:14" s="73" customFormat="1" ht="409.6">
      <c r="A100" s="75">
        <v>99</v>
      </c>
      <c r="B100" s="74" t="s">
        <v>383</v>
      </c>
      <c r="C100" s="75" t="s">
        <v>390</v>
      </c>
      <c r="D100" s="8" t="s">
        <v>4531</v>
      </c>
      <c r="E100" s="8" t="s">
        <v>491</v>
      </c>
      <c r="F100" s="8" t="s">
        <v>29</v>
      </c>
      <c r="G100" s="8" t="s">
        <v>4532</v>
      </c>
      <c r="H100" s="8" t="s">
        <v>4300</v>
      </c>
      <c r="I100" s="8" t="s">
        <v>4533</v>
      </c>
      <c r="J100" s="8" t="s">
        <v>99</v>
      </c>
      <c r="K100" s="8" t="s">
        <v>4534</v>
      </c>
      <c r="L100" s="8" t="s">
        <v>4535</v>
      </c>
      <c r="M100" s="8" t="s">
        <v>4536</v>
      </c>
      <c r="N100" s="8" t="s">
        <v>4537</v>
      </c>
    </row>
    <row r="101" spans="1:14" s="73" customFormat="1" ht="298.3">
      <c r="A101" s="75">
        <v>100</v>
      </c>
      <c r="B101" s="74" t="s">
        <v>309</v>
      </c>
      <c r="C101" s="75" t="s">
        <v>489</v>
      </c>
      <c r="D101" s="8" t="s">
        <v>490</v>
      </c>
      <c r="E101" s="8" t="s">
        <v>491</v>
      </c>
      <c r="F101" s="8" t="s">
        <v>29</v>
      </c>
      <c r="G101" s="8" t="s">
        <v>492</v>
      </c>
      <c r="H101" s="8" t="s">
        <v>4538</v>
      </c>
      <c r="I101" s="8" t="s">
        <v>4539</v>
      </c>
      <c r="J101" s="8" t="s">
        <v>493</v>
      </c>
      <c r="K101" s="8" t="s">
        <v>4540</v>
      </c>
      <c r="L101" s="8" t="s">
        <v>495</v>
      </c>
      <c r="M101" s="8" t="s">
        <v>4541</v>
      </c>
      <c r="N101" s="8" t="s">
        <v>496</v>
      </c>
    </row>
    <row r="102" spans="1:14" s="73" customFormat="1" ht="223.75">
      <c r="A102" s="75">
        <v>101</v>
      </c>
      <c r="B102" s="74" t="s">
        <v>58</v>
      </c>
      <c r="C102" s="75" t="s">
        <v>4542</v>
      </c>
      <c r="D102" s="8" t="s">
        <v>262</v>
      </c>
      <c r="E102" s="8" t="s">
        <v>17</v>
      </c>
      <c r="F102" s="8" t="s">
        <v>29</v>
      </c>
      <c r="G102" s="8" t="s">
        <v>4543</v>
      </c>
      <c r="H102" s="8" t="s">
        <v>4544</v>
      </c>
      <c r="I102" s="8" t="s">
        <v>4545</v>
      </c>
      <c r="J102" s="8" t="s">
        <v>17</v>
      </c>
      <c r="K102" s="8" t="s">
        <v>4546</v>
      </c>
      <c r="L102" s="8" t="s">
        <v>17</v>
      </c>
      <c r="M102" s="8" t="s">
        <v>17</v>
      </c>
      <c r="N102" s="8" t="s">
        <v>4547</v>
      </c>
    </row>
    <row r="103" spans="1:14" s="73" customFormat="1" ht="409.6">
      <c r="A103" s="75">
        <v>102</v>
      </c>
      <c r="B103" s="74" t="s">
        <v>156</v>
      </c>
      <c r="C103" s="74" t="s">
        <v>4548</v>
      </c>
      <c r="D103" s="8" t="s">
        <v>4549</v>
      </c>
      <c r="E103" s="8" t="s">
        <v>4550</v>
      </c>
      <c r="F103" s="8" t="s">
        <v>4551</v>
      </c>
      <c r="G103" s="8" t="s">
        <v>4552</v>
      </c>
      <c r="H103" s="8" t="s">
        <v>4553</v>
      </c>
      <c r="I103" s="8" t="s">
        <v>4554</v>
      </c>
      <c r="J103" s="8" t="s">
        <v>4383</v>
      </c>
      <c r="K103" s="8" t="s">
        <v>4555</v>
      </c>
      <c r="L103" s="8" t="s">
        <v>4554</v>
      </c>
      <c r="M103" s="8" t="s">
        <v>17</v>
      </c>
      <c r="N103" s="8" t="s">
        <v>4556</v>
      </c>
    </row>
    <row r="104" spans="1:14" s="73" customFormat="1" ht="298.3">
      <c r="A104" s="75">
        <v>103</v>
      </c>
      <c r="B104" s="74" t="s">
        <v>333</v>
      </c>
      <c r="C104" s="75" t="s">
        <v>116</v>
      </c>
      <c r="D104" s="8" t="s">
        <v>4557</v>
      </c>
      <c r="E104" s="8" t="s">
        <v>4558</v>
      </c>
      <c r="F104" s="8" t="s">
        <v>29</v>
      </c>
      <c r="G104" s="8" t="s">
        <v>4559</v>
      </c>
      <c r="H104" s="8" t="s">
        <v>4560</v>
      </c>
      <c r="I104" s="8" t="s">
        <v>4561</v>
      </c>
      <c r="J104" s="8" t="s">
        <v>17</v>
      </c>
      <c r="K104" s="8" t="s">
        <v>339</v>
      </c>
      <c r="L104" s="8" t="s">
        <v>4562</v>
      </c>
      <c r="M104" s="8" t="s">
        <v>4563</v>
      </c>
      <c r="N104" s="8"/>
    </row>
    <row r="105" spans="1:14" s="73" customFormat="1" ht="372.9">
      <c r="A105" s="75">
        <v>104</v>
      </c>
      <c r="B105" s="74" t="s">
        <v>58</v>
      </c>
      <c r="C105" s="75" t="s">
        <v>931</v>
      </c>
      <c r="D105" s="8" t="s">
        <v>36</v>
      </c>
      <c r="E105" s="8" t="s">
        <v>60</v>
      </c>
      <c r="F105" s="8" t="s">
        <v>17</v>
      </c>
      <c r="G105" s="8" t="s">
        <v>4564</v>
      </c>
      <c r="H105" s="8" t="s">
        <v>575</v>
      </c>
      <c r="I105" s="8" t="s">
        <v>4565</v>
      </c>
      <c r="J105" s="8" t="s">
        <v>17</v>
      </c>
      <c r="K105" s="8" t="s">
        <v>4566</v>
      </c>
      <c r="L105" s="8" t="s">
        <v>17</v>
      </c>
      <c r="M105" s="8" t="s">
        <v>17</v>
      </c>
      <c r="N105" s="8"/>
    </row>
    <row r="106" spans="1:14" s="73" customFormat="1" ht="409.6">
      <c r="A106" s="75">
        <v>105</v>
      </c>
      <c r="B106" s="74" t="s">
        <v>50</v>
      </c>
      <c r="C106" s="75" t="s">
        <v>1300</v>
      </c>
      <c r="D106" s="8" t="s">
        <v>4567</v>
      </c>
      <c r="E106" s="8" t="s">
        <v>1302</v>
      </c>
      <c r="F106" s="8" t="s">
        <v>4568</v>
      </c>
      <c r="G106" s="8" t="s">
        <v>17</v>
      </c>
      <c r="H106" s="8" t="s">
        <v>4569</v>
      </c>
      <c r="I106" s="76" t="s">
        <v>4570</v>
      </c>
      <c r="J106" s="8" t="s">
        <v>17</v>
      </c>
      <c r="K106" s="8" t="s">
        <v>4571</v>
      </c>
      <c r="L106" s="8" t="s">
        <v>17</v>
      </c>
      <c r="M106" s="8" t="s">
        <v>4572</v>
      </c>
      <c r="N106" s="8"/>
    </row>
    <row r="107" spans="1:14" s="73" customFormat="1" ht="409.6">
      <c r="A107" s="75">
        <v>106</v>
      </c>
      <c r="B107" s="74" t="s">
        <v>13</v>
      </c>
      <c r="C107" s="75" t="s">
        <v>1674</v>
      </c>
      <c r="D107" s="8" t="s">
        <v>4573</v>
      </c>
      <c r="E107" s="8" t="s">
        <v>4550</v>
      </c>
      <c r="F107" s="8" t="s">
        <v>4551</v>
      </c>
      <c r="G107" s="8" t="s">
        <v>17</v>
      </c>
      <c r="H107" s="8" t="s">
        <v>4574</v>
      </c>
      <c r="I107" s="8" t="s">
        <v>4575</v>
      </c>
      <c r="J107" s="8" t="s">
        <v>4554</v>
      </c>
      <c r="K107" s="8" t="s">
        <v>4576</v>
      </c>
      <c r="L107" s="8" t="s">
        <v>4554</v>
      </c>
      <c r="M107" s="8" t="s">
        <v>4554</v>
      </c>
      <c r="N107" s="8" t="s">
        <v>4577</v>
      </c>
    </row>
    <row r="108" spans="1:14" s="73" customFormat="1" ht="409.6">
      <c r="A108" s="75">
        <v>107</v>
      </c>
      <c r="B108" s="74" t="s">
        <v>109</v>
      </c>
      <c r="C108" s="75" t="s">
        <v>4578</v>
      </c>
      <c r="D108" s="8" t="s">
        <v>4579</v>
      </c>
      <c r="E108" s="8" t="s">
        <v>60</v>
      </c>
      <c r="F108" s="8" t="s">
        <v>4551</v>
      </c>
      <c r="G108" s="8" t="s">
        <v>4580</v>
      </c>
      <c r="H108" s="8" t="s">
        <v>4581</v>
      </c>
      <c r="I108" s="76" t="s">
        <v>4433</v>
      </c>
      <c r="J108" s="8" t="s">
        <v>323</v>
      </c>
      <c r="K108" s="8" t="s">
        <v>4582</v>
      </c>
      <c r="L108" s="8" t="s">
        <v>4583</v>
      </c>
      <c r="M108" s="8" t="s">
        <v>4584</v>
      </c>
      <c r="N108" s="8" t="s">
        <v>4585</v>
      </c>
    </row>
    <row r="109" spans="1:14" s="73" customFormat="1" ht="409.6">
      <c r="A109" s="75">
        <v>108</v>
      </c>
      <c r="B109" s="74" t="s">
        <v>4586</v>
      </c>
      <c r="C109" s="75" t="s">
        <v>116</v>
      </c>
      <c r="D109" s="8" t="s">
        <v>4587</v>
      </c>
      <c r="E109" s="8" t="s">
        <v>4550</v>
      </c>
      <c r="F109" s="8" t="s">
        <v>4551</v>
      </c>
      <c r="G109" s="8" t="s">
        <v>4588</v>
      </c>
      <c r="H109" s="8" t="s">
        <v>4589</v>
      </c>
      <c r="I109" s="8" t="s">
        <v>4590</v>
      </c>
      <c r="J109" s="8" t="s">
        <v>4591</v>
      </c>
      <c r="K109" s="8" t="s">
        <v>4592</v>
      </c>
      <c r="L109" s="8" t="s">
        <v>4593</v>
      </c>
      <c r="M109" s="8" t="s">
        <v>4594</v>
      </c>
      <c r="N109" s="8"/>
    </row>
    <row r="110" spans="1:14" s="73" customFormat="1" ht="149.15">
      <c r="A110" s="75">
        <v>109</v>
      </c>
      <c r="B110" s="74" t="s">
        <v>4595</v>
      </c>
      <c r="C110" s="75" t="s">
        <v>116</v>
      </c>
      <c r="D110" s="8" t="s">
        <v>4596</v>
      </c>
      <c r="E110" s="8" t="s">
        <v>4597</v>
      </c>
      <c r="F110" s="8" t="s">
        <v>4598</v>
      </c>
      <c r="G110" s="8" t="s">
        <v>4599</v>
      </c>
      <c r="H110" s="8" t="s">
        <v>4600</v>
      </c>
      <c r="I110" s="8" t="s">
        <v>4601</v>
      </c>
      <c r="J110" s="8" t="s">
        <v>4554</v>
      </c>
      <c r="K110" s="8" t="s">
        <v>4602</v>
      </c>
      <c r="L110" s="8" t="s">
        <v>4603</v>
      </c>
      <c r="M110" s="8" t="s">
        <v>4554</v>
      </c>
      <c r="N110" s="8"/>
    </row>
    <row r="111" spans="1:14" s="73" customFormat="1" ht="298.3">
      <c r="A111" s="75">
        <v>110</v>
      </c>
      <c r="B111" s="74" t="s">
        <v>309</v>
      </c>
      <c r="C111" s="75" t="s">
        <v>945</v>
      </c>
      <c r="D111" s="8" t="s">
        <v>946</v>
      </c>
      <c r="E111" s="8" t="s">
        <v>947</v>
      </c>
      <c r="F111" s="8" t="s">
        <v>29</v>
      </c>
      <c r="G111" s="8" t="s">
        <v>949</v>
      </c>
      <c r="H111" s="8" t="s">
        <v>4604</v>
      </c>
      <c r="I111" s="8" t="s">
        <v>4346</v>
      </c>
      <c r="J111" s="8" t="s">
        <v>796</v>
      </c>
      <c r="K111" s="8" t="s">
        <v>4605</v>
      </c>
      <c r="L111" s="8" t="s">
        <v>951</v>
      </c>
      <c r="M111" s="8" t="s">
        <v>17</v>
      </c>
      <c r="N111" s="8" t="s">
        <v>4606</v>
      </c>
    </row>
    <row r="112" spans="1:14" s="73" customFormat="1" ht="74.599999999999994">
      <c r="A112" s="75">
        <v>111</v>
      </c>
      <c r="B112" s="74" t="s">
        <v>156</v>
      </c>
      <c r="C112" s="75" t="s">
        <v>4607</v>
      </c>
      <c r="D112" s="8" t="s">
        <v>4608</v>
      </c>
      <c r="E112" s="8" t="s">
        <v>4554</v>
      </c>
      <c r="F112" s="8" t="s">
        <v>4598</v>
      </c>
      <c r="G112" s="8" t="s">
        <v>4609</v>
      </c>
      <c r="H112" s="8" t="s">
        <v>4554</v>
      </c>
      <c r="I112" s="8" t="s">
        <v>4610</v>
      </c>
      <c r="J112" s="8" t="s">
        <v>4554</v>
      </c>
      <c r="K112" s="8" t="s">
        <v>4611</v>
      </c>
      <c r="L112" s="8" t="s">
        <v>4554</v>
      </c>
      <c r="M112" s="8" t="s">
        <v>4554</v>
      </c>
      <c r="N112" s="8"/>
    </row>
    <row r="113" spans="1:14" s="73" customFormat="1" ht="409.6">
      <c r="A113" s="75">
        <v>112</v>
      </c>
      <c r="B113" s="74" t="s">
        <v>333</v>
      </c>
      <c r="C113" s="75" t="s">
        <v>295</v>
      </c>
      <c r="D113" s="8" t="s">
        <v>4612</v>
      </c>
      <c r="E113" s="8" t="s">
        <v>4613</v>
      </c>
      <c r="F113" s="8" t="s">
        <v>4551</v>
      </c>
      <c r="G113" s="8" t="s">
        <v>4554</v>
      </c>
      <c r="H113" s="8" t="s">
        <v>4614</v>
      </c>
      <c r="I113" s="8" t="s">
        <v>4615</v>
      </c>
      <c r="J113" s="8" t="s">
        <v>4616</v>
      </c>
      <c r="K113" s="8" t="s">
        <v>4617</v>
      </c>
      <c r="L113" s="8" t="s">
        <v>4618</v>
      </c>
      <c r="M113" s="8" t="s">
        <v>4619</v>
      </c>
      <c r="N113" s="8"/>
    </row>
    <row r="114" spans="1:14" s="73" customFormat="1" ht="409.6">
      <c r="A114" s="75">
        <v>113</v>
      </c>
      <c r="B114" s="74" t="s">
        <v>13</v>
      </c>
      <c r="C114" s="75" t="s">
        <v>4620</v>
      </c>
      <c r="D114" s="8" t="s">
        <v>4621</v>
      </c>
      <c r="E114" s="8" t="s">
        <v>4622</v>
      </c>
      <c r="F114" s="8" t="s">
        <v>4551</v>
      </c>
      <c r="G114" s="8" t="s">
        <v>4554</v>
      </c>
      <c r="H114" s="8" t="s">
        <v>4623</v>
      </c>
      <c r="I114" s="8" t="s">
        <v>4624</v>
      </c>
      <c r="J114" s="8" t="s">
        <v>17</v>
      </c>
      <c r="K114" s="8" t="s">
        <v>4625</v>
      </c>
      <c r="L114" s="8" t="s">
        <v>4554</v>
      </c>
      <c r="M114" s="8" t="s">
        <v>4554</v>
      </c>
      <c r="N114" s="8"/>
    </row>
    <row r="115" spans="1:14" s="73" customFormat="1" ht="409.6">
      <c r="A115" s="75">
        <v>114</v>
      </c>
      <c r="B115" s="74" t="s">
        <v>13</v>
      </c>
      <c r="C115" s="75" t="s">
        <v>116</v>
      </c>
      <c r="D115" s="8" t="s">
        <v>75</v>
      </c>
      <c r="E115" s="8" t="s">
        <v>542</v>
      </c>
      <c r="F115" s="8" t="s">
        <v>4551</v>
      </c>
      <c r="G115" s="8" t="s">
        <v>17</v>
      </c>
      <c r="H115" s="8" t="s">
        <v>4626</v>
      </c>
      <c r="I115" s="8" t="s">
        <v>4152</v>
      </c>
      <c r="J115" s="8" t="s">
        <v>17</v>
      </c>
      <c r="K115" s="8" t="s">
        <v>545</v>
      </c>
      <c r="L115" s="8" t="s">
        <v>4627</v>
      </c>
      <c r="M115" s="8" t="s">
        <v>17</v>
      </c>
      <c r="N115" s="8"/>
    </row>
    <row r="116" spans="1:14" s="73" customFormat="1" ht="409.6">
      <c r="A116" s="75">
        <v>115</v>
      </c>
      <c r="B116" s="74" t="s">
        <v>422</v>
      </c>
      <c r="C116" s="75" t="s">
        <v>35</v>
      </c>
      <c r="D116" s="8" t="s">
        <v>52</v>
      </c>
      <c r="E116" s="8" t="s">
        <v>4627</v>
      </c>
      <c r="F116" s="8" t="s">
        <v>29</v>
      </c>
      <c r="G116" s="8" t="s">
        <v>4628</v>
      </c>
      <c r="H116" s="8" t="s">
        <v>4629</v>
      </c>
      <c r="I116" s="8" t="s">
        <v>4630</v>
      </c>
      <c r="J116" s="8" t="s">
        <v>512</v>
      </c>
      <c r="K116" s="8" t="s">
        <v>4631</v>
      </c>
      <c r="L116" s="8" t="s">
        <v>17</v>
      </c>
      <c r="M116" s="8" t="s">
        <v>4632</v>
      </c>
      <c r="N116" s="8"/>
    </row>
    <row r="117" spans="1:14" s="73" customFormat="1" ht="409.6">
      <c r="A117" s="75">
        <v>116</v>
      </c>
      <c r="B117" s="74" t="s">
        <v>50</v>
      </c>
      <c r="C117" s="75" t="s">
        <v>451</v>
      </c>
      <c r="D117" s="8" t="s">
        <v>4633</v>
      </c>
      <c r="E117" s="8" t="s">
        <v>452</v>
      </c>
      <c r="F117" s="8" t="s">
        <v>4551</v>
      </c>
      <c r="G117" s="8" t="s">
        <v>17</v>
      </c>
      <c r="H117" s="8" t="s">
        <v>4634</v>
      </c>
      <c r="I117" s="8" t="s">
        <v>4148</v>
      </c>
      <c r="J117" s="8" t="s">
        <v>4554</v>
      </c>
      <c r="K117" s="8" t="s">
        <v>4635</v>
      </c>
      <c r="L117" s="8" t="s">
        <v>4636</v>
      </c>
      <c r="M117" s="8" t="s">
        <v>17</v>
      </c>
      <c r="N117" s="8"/>
    </row>
    <row r="118" spans="1:14" s="73" customFormat="1" ht="409.6">
      <c r="A118" s="75">
        <v>117</v>
      </c>
      <c r="B118" s="74" t="s">
        <v>13</v>
      </c>
      <c r="C118" s="75" t="s">
        <v>191</v>
      </c>
      <c r="D118" s="8" t="s">
        <v>36</v>
      </c>
      <c r="E118" s="8" t="s">
        <v>672</v>
      </c>
      <c r="F118" s="8" t="s">
        <v>4551</v>
      </c>
      <c r="G118" s="8" t="s">
        <v>17</v>
      </c>
      <c r="H118" s="8" t="s">
        <v>4637</v>
      </c>
      <c r="I118" s="8" t="s">
        <v>4638</v>
      </c>
      <c r="J118" s="8" t="s">
        <v>4639</v>
      </c>
      <c r="K118" s="8" t="s">
        <v>4640</v>
      </c>
      <c r="L118" s="8" t="s">
        <v>4641</v>
      </c>
      <c r="M118" s="8" t="s">
        <v>17</v>
      </c>
      <c r="N118" s="8"/>
    </row>
    <row r="119" spans="1:14" s="73" customFormat="1" ht="409.6">
      <c r="A119" s="75">
        <v>118</v>
      </c>
      <c r="B119" s="74" t="s">
        <v>20</v>
      </c>
      <c r="C119" s="75" t="s">
        <v>1631</v>
      </c>
      <c r="D119" s="8" t="s">
        <v>4642</v>
      </c>
      <c r="E119" s="8" t="s">
        <v>4643</v>
      </c>
      <c r="F119" s="8" t="s">
        <v>4551</v>
      </c>
      <c r="G119" s="8" t="s">
        <v>4644</v>
      </c>
      <c r="H119" s="8" t="s">
        <v>4645</v>
      </c>
      <c r="I119" s="8" t="s">
        <v>4646</v>
      </c>
      <c r="J119" s="8" t="s">
        <v>4554</v>
      </c>
      <c r="K119" s="8" t="s">
        <v>4647</v>
      </c>
      <c r="L119" s="8" t="s">
        <v>4648</v>
      </c>
      <c r="M119" s="8" t="s">
        <v>4554</v>
      </c>
      <c r="N119" s="8"/>
    </row>
    <row r="120" spans="1:14" s="73" customFormat="1" ht="335.6">
      <c r="A120" s="75">
        <v>119</v>
      </c>
      <c r="B120" s="74" t="s">
        <v>415</v>
      </c>
      <c r="C120" s="75" t="s">
        <v>416</v>
      </c>
      <c r="D120" s="8" t="s">
        <v>4649</v>
      </c>
      <c r="E120" s="8" t="s">
        <v>4554</v>
      </c>
      <c r="F120" s="8" t="s">
        <v>88</v>
      </c>
      <c r="G120" s="8" t="s">
        <v>418</v>
      </c>
      <c r="H120" s="8" t="s">
        <v>4650</v>
      </c>
      <c r="I120" s="8" t="s">
        <v>4276</v>
      </c>
      <c r="J120" s="8" t="s">
        <v>17</v>
      </c>
      <c r="K120" s="8" t="s">
        <v>4651</v>
      </c>
      <c r="L120" s="8" t="s">
        <v>4554</v>
      </c>
      <c r="M120" s="8" t="s">
        <v>17</v>
      </c>
      <c r="N120" s="8"/>
    </row>
    <row r="121" spans="1:14" s="73" customFormat="1" ht="409.6">
      <c r="A121" s="75">
        <v>120</v>
      </c>
      <c r="B121" s="74" t="s">
        <v>415</v>
      </c>
      <c r="C121" s="75" t="s">
        <v>4652</v>
      </c>
      <c r="D121" s="8" t="s">
        <v>4649</v>
      </c>
      <c r="E121" s="8" t="s">
        <v>4554</v>
      </c>
      <c r="F121" s="8" t="s">
        <v>4598</v>
      </c>
      <c r="G121" s="8" t="s">
        <v>4653</v>
      </c>
      <c r="H121" s="8" t="s">
        <v>4650</v>
      </c>
      <c r="I121" s="8" t="s">
        <v>4654</v>
      </c>
      <c r="J121" s="8" t="s">
        <v>4554</v>
      </c>
      <c r="K121" s="8" t="s">
        <v>4655</v>
      </c>
      <c r="L121" s="8" t="s">
        <v>4554</v>
      </c>
      <c r="M121" s="8" t="s">
        <v>4554</v>
      </c>
      <c r="N121" s="8"/>
    </row>
    <row r="122" spans="1:14" s="73" customFormat="1" ht="409.6">
      <c r="A122" s="75">
        <v>121</v>
      </c>
      <c r="B122" s="74" t="s">
        <v>1510</v>
      </c>
      <c r="C122" s="75" t="s">
        <v>43</v>
      </c>
      <c r="D122" s="8" t="s">
        <v>4656</v>
      </c>
      <c r="E122" s="8" t="s">
        <v>1512</v>
      </c>
      <c r="F122" s="8" t="s">
        <v>29</v>
      </c>
      <c r="G122" s="8" t="s">
        <v>4657</v>
      </c>
      <c r="H122" s="8" t="s">
        <v>4658</v>
      </c>
      <c r="I122" s="8" t="s">
        <v>4659</v>
      </c>
      <c r="J122" s="8" t="s">
        <v>161</v>
      </c>
      <c r="K122" s="8" t="s">
        <v>4660</v>
      </c>
      <c r="L122" s="8" t="s">
        <v>4661</v>
      </c>
      <c r="M122" s="8" t="s">
        <v>4662</v>
      </c>
      <c r="N122" s="8"/>
    </row>
    <row r="123" spans="1:14" s="73" customFormat="1" ht="74.599999999999994">
      <c r="A123" s="75">
        <v>122</v>
      </c>
      <c r="B123" s="74" t="s">
        <v>65</v>
      </c>
      <c r="C123" s="75" t="s">
        <v>35</v>
      </c>
      <c r="D123" s="8" t="s">
        <v>17</v>
      </c>
      <c r="E123" s="8" t="s">
        <v>4663</v>
      </c>
      <c r="F123" s="8" t="s">
        <v>4551</v>
      </c>
      <c r="G123" s="8" t="s">
        <v>4664</v>
      </c>
      <c r="H123" s="8" t="s">
        <v>4665</v>
      </c>
      <c r="I123" s="8" t="s">
        <v>4666</v>
      </c>
      <c r="J123" s="8" t="s">
        <v>209</v>
      </c>
      <c r="K123" s="8" t="s">
        <v>17</v>
      </c>
      <c r="L123" s="8" t="s">
        <v>4667</v>
      </c>
      <c r="M123" s="8" t="s">
        <v>17</v>
      </c>
      <c r="N123" s="8"/>
    </row>
    <row r="124" spans="1:14" s="73" customFormat="1" ht="409.6">
      <c r="A124" s="75">
        <v>123</v>
      </c>
      <c r="B124" s="74" t="s">
        <v>58</v>
      </c>
      <c r="C124" s="75" t="s">
        <v>4668</v>
      </c>
      <c r="D124" s="8" t="s">
        <v>4669</v>
      </c>
      <c r="E124" s="8" t="s">
        <v>4670</v>
      </c>
      <c r="F124" s="8" t="s">
        <v>4551</v>
      </c>
      <c r="G124" s="8" t="s">
        <v>4671</v>
      </c>
      <c r="H124" s="8" t="s">
        <v>4604</v>
      </c>
      <c r="I124" s="8" t="s">
        <v>4672</v>
      </c>
      <c r="J124" s="8" t="s">
        <v>174</v>
      </c>
      <c r="K124" s="8" t="s">
        <v>4673</v>
      </c>
      <c r="L124" s="8" t="s">
        <v>17</v>
      </c>
      <c r="M124" s="8" t="s">
        <v>17</v>
      </c>
      <c r="N124" s="8"/>
    </row>
    <row r="125" spans="1:14" s="73" customFormat="1" ht="186.45">
      <c r="A125" s="75">
        <v>124</v>
      </c>
      <c r="B125" s="74" t="s">
        <v>371</v>
      </c>
      <c r="C125" s="75" t="s">
        <v>35</v>
      </c>
      <c r="D125" s="8" t="s">
        <v>36</v>
      </c>
      <c r="E125" s="8" t="s">
        <v>372</v>
      </c>
      <c r="F125" s="8" t="s">
        <v>17</v>
      </c>
      <c r="G125" s="8" t="s">
        <v>17</v>
      </c>
      <c r="H125" s="8" t="s">
        <v>4674</v>
      </c>
      <c r="I125" s="8" t="s">
        <v>4675</v>
      </c>
      <c r="J125" s="8" t="s">
        <v>17</v>
      </c>
      <c r="K125" s="8" t="s">
        <v>4676</v>
      </c>
      <c r="L125" s="8" t="s">
        <v>376</v>
      </c>
      <c r="M125" s="8" t="s">
        <v>4677</v>
      </c>
      <c r="N125" s="8"/>
    </row>
    <row r="126" spans="1:14" s="73" customFormat="1" ht="409.6">
      <c r="A126" s="75">
        <v>125</v>
      </c>
      <c r="B126" s="74" t="s">
        <v>309</v>
      </c>
      <c r="C126" s="75" t="s">
        <v>478</v>
      </c>
      <c r="D126" s="8" t="s">
        <v>4678</v>
      </c>
      <c r="E126" s="8" t="s">
        <v>4550</v>
      </c>
      <c r="F126" s="8" t="s">
        <v>4551</v>
      </c>
      <c r="G126" s="8" t="s">
        <v>4679</v>
      </c>
      <c r="H126" s="8" t="s">
        <v>4680</v>
      </c>
      <c r="I126" s="8" t="s">
        <v>4590</v>
      </c>
      <c r="J126" s="8" t="s">
        <v>4681</v>
      </c>
      <c r="K126" s="8" t="s">
        <v>4682</v>
      </c>
      <c r="L126" s="8" t="s">
        <v>4683</v>
      </c>
      <c r="M126" s="8" t="s">
        <v>4684</v>
      </c>
      <c r="N126" s="8"/>
    </row>
    <row r="127" spans="1:14" s="73" customFormat="1" ht="409.6">
      <c r="A127" s="75">
        <v>126</v>
      </c>
      <c r="B127" s="74" t="s">
        <v>333</v>
      </c>
      <c r="C127" s="75" t="s">
        <v>4685</v>
      </c>
      <c r="D127" s="8" t="s">
        <v>4686</v>
      </c>
      <c r="E127" s="8" t="s">
        <v>4687</v>
      </c>
      <c r="F127" s="8" t="s">
        <v>4551</v>
      </c>
      <c r="G127" s="8" t="s">
        <v>4554</v>
      </c>
      <c r="H127" s="8" t="s">
        <v>4688</v>
      </c>
      <c r="I127" s="8" t="s">
        <v>4689</v>
      </c>
      <c r="J127" s="8" t="s">
        <v>4690</v>
      </c>
      <c r="K127" s="8" t="s">
        <v>4691</v>
      </c>
      <c r="L127" s="8" t="s">
        <v>4554</v>
      </c>
      <c r="M127" s="8" t="s">
        <v>4554</v>
      </c>
      <c r="N127" s="8"/>
    </row>
    <row r="128" spans="1:14" s="73" customFormat="1" ht="409.6">
      <c r="A128" s="75">
        <v>127</v>
      </c>
      <c r="B128" s="74" t="s">
        <v>653</v>
      </c>
      <c r="C128" s="75" t="s">
        <v>654</v>
      </c>
      <c r="D128" s="8" t="s">
        <v>3390</v>
      </c>
      <c r="E128" s="8" t="s">
        <v>4692</v>
      </c>
      <c r="F128" s="8" t="s">
        <v>4551</v>
      </c>
      <c r="G128" s="8" t="s">
        <v>658</v>
      </c>
      <c r="H128" s="8" t="s">
        <v>4693</v>
      </c>
      <c r="I128" s="8" t="s">
        <v>4694</v>
      </c>
      <c r="J128" s="8" t="s">
        <v>4695</v>
      </c>
      <c r="K128" s="8" t="s">
        <v>4696</v>
      </c>
      <c r="L128" s="8" t="s">
        <v>4697</v>
      </c>
      <c r="M128" s="8" t="s">
        <v>4698</v>
      </c>
      <c r="N128" s="8"/>
    </row>
    <row r="129" spans="1:14" s="73" customFormat="1" ht="335.6">
      <c r="A129" s="75">
        <v>128</v>
      </c>
      <c r="B129" s="74" t="s">
        <v>439</v>
      </c>
      <c r="C129" s="75" t="s">
        <v>74</v>
      </c>
      <c r="D129" s="8" t="s">
        <v>572</v>
      </c>
      <c r="E129" s="8" t="s">
        <v>573</v>
      </c>
      <c r="F129" s="8" t="s">
        <v>4551</v>
      </c>
      <c r="G129" s="8" t="s">
        <v>4699</v>
      </c>
      <c r="H129" s="8" t="s">
        <v>4700</v>
      </c>
      <c r="I129" s="8" t="s">
        <v>4701</v>
      </c>
      <c r="J129" s="8" t="s">
        <v>4702</v>
      </c>
      <c r="K129" s="8" t="s">
        <v>577</v>
      </c>
      <c r="L129" s="8" t="s">
        <v>4703</v>
      </c>
      <c r="M129" s="8" t="s">
        <v>4704</v>
      </c>
      <c r="N129" s="8"/>
    </row>
    <row r="130" spans="1:14" s="73" customFormat="1" ht="372.9">
      <c r="A130" s="75">
        <v>129</v>
      </c>
      <c r="B130" s="74" t="s">
        <v>283</v>
      </c>
      <c r="C130" s="75" t="s">
        <v>1662</v>
      </c>
      <c r="D130" s="8" t="s">
        <v>36</v>
      </c>
      <c r="E130" s="8" t="s">
        <v>60</v>
      </c>
      <c r="F130" s="8" t="s">
        <v>4551</v>
      </c>
      <c r="G130" s="8" t="s">
        <v>4554</v>
      </c>
      <c r="H130" s="8" t="s">
        <v>4705</v>
      </c>
      <c r="I130" s="8" t="s">
        <v>4706</v>
      </c>
      <c r="J130" s="8" t="s">
        <v>17</v>
      </c>
      <c r="K130" s="8" t="s">
        <v>308</v>
      </c>
      <c r="L130" s="8" t="s">
        <v>17</v>
      </c>
      <c r="M130" s="8" t="s">
        <v>17</v>
      </c>
      <c r="N130" s="8"/>
    </row>
    <row r="131" spans="1:14" s="73" customFormat="1" ht="409.6">
      <c r="A131" s="75">
        <v>130</v>
      </c>
      <c r="B131" s="74" t="s">
        <v>13</v>
      </c>
      <c r="C131" s="75" t="s">
        <v>59</v>
      </c>
      <c r="D131" s="8" t="s">
        <v>4707</v>
      </c>
      <c r="E131" s="8" t="s">
        <v>781</v>
      </c>
      <c r="F131" s="8" t="s">
        <v>4551</v>
      </c>
      <c r="G131" s="8" t="s">
        <v>4708</v>
      </c>
      <c r="H131" s="8" t="s">
        <v>4709</v>
      </c>
      <c r="I131" s="8" t="s">
        <v>4710</v>
      </c>
      <c r="J131" s="8" t="s">
        <v>4554</v>
      </c>
      <c r="K131" s="8" t="s">
        <v>4711</v>
      </c>
      <c r="L131" s="8" t="s">
        <v>4712</v>
      </c>
      <c r="M131" s="8" t="s">
        <v>4554</v>
      </c>
      <c r="N131" s="8"/>
    </row>
    <row r="132" spans="1:14" s="73" customFormat="1" ht="409.6">
      <c r="A132" s="75">
        <v>131</v>
      </c>
      <c r="B132" s="83" t="s">
        <v>1665</v>
      </c>
      <c r="C132" s="84" t="s">
        <v>1666</v>
      </c>
      <c r="D132" s="85" t="s">
        <v>17</v>
      </c>
      <c r="E132" s="85" t="s">
        <v>4713</v>
      </c>
      <c r="F132" s="85" t="s">
        <v>4598</v>
      </c>
      <c r="G132" s="86" t="s">
        <v>4714</v>
      </c>
      <c r="H132" s="85" t="s">
        <v>4715</v>
      </c>
      <c r="I132" s="85" t="s">
        <v>4716</v>
      </c>
      <c r="J132" s="85" t="s">
        <v>4554</v>
      </c>
      <c r="K132" s="86" t="s">
        <v>4717</v>
      </c>
      <c r="L132" s="85" t="s">
        <v>4554</v>
      </c>
      <c r="M132" s="85" t="s">
        <v>4554</v>
      </c>
      <c r="N132" s="85"/>
    </row>
    <row r="133" spans="1:14" s="73" customFormat="1" ht="223.75">
      <c r="A133" s="75">
        <v>132</v>
      </c>
      <c r="B133" s="74" t="s">
        <v>283</v>
      </c>
      <c r="C133" s="75" t="s">
        <v>1668</v>
      </c>
      <c r="D133" s="8" t="s">
        <v>52</v>
      </c>
      <c r="E133" s="8" t="s">
        <v>60</v>
      </c>
      <c r="F133" s="8" t="s">
        <v>4551</v>
      </c>
      <c r="G133" s="8" t="s">
        <v>4554</v>
      </c>
      <c r="H133" s="8" t="s">
        <v>4718</v>
      </c>
      <c r="I133" s="8" t="s">
        <v>4706</v>
      </c>
      <c r="J133" s="8" t="s">
        <v>17</v>
      </c>
      <c r="K133" s="8" t="s">
        <v>414</v>
      </c>
      <c r="L133" s="8" t="s">
        <v>17</v>
      </c>
      <c r="M133" s="8" t="s">
        <v>17</v>
      </c>
      <c r="N133" s="8"/>
    </row>
    <row r="134" spans="1:14" s="73" customFormat="1" ht="409.6">
      <c r="A134" s="75">
        <v>133</v>
      </c>
      <c r="B134" s="74" t="s">
        <v>20</v>
      </c>
      <c r="C134" s="75" t="s">
        <v>1668</v>
      </c>
      <c r="D134" s="8" t="s">
        <v>17</v>
      </c>
      <c r="E134" s="8" t="s">
        <v>17</v>
      </c>
      <c r="F134" s="8" t="s">
        <v>4719</v>
      </c>
      <c r="G134" s="8" t="s">
        <v>4720</v>
      </c>
      <c r="H134" s="8" t="s">
        <v>4721</v>
      </c>
      <c r="I134" s="8" t="s">
        <v>4722</v>
      </c>
      <c r="J134" s="8" t="s">
        <v>4554</v>
      </c>
      <c r="K134" s="8" t="s">
        <v>1096</v>
      </c>
      <c r="L134" s="8" t="s">
        <v>4723</v>
      </c>
      <c r="M134" s="8" t="s">
        <v>4554</v>
      </c>
      <c r="N134" s="8"/>
    </row>
    <row r="135" spans="1:14" s="73" customFormat="1" ht="409.6">
      <c r="A135" s="75">
        <v>134</v>
      </c>
      <c r="B135" s="74" t="s">
        <v>961</v>
      </c>
      <c r="C135" s="75" t="s">
        <v>43</v>
      </c>
      <c r="D135" s="8" t="s">
        <v>4724</v>
      </c>
      <c r="E135" s="8" t="s">
        <v>4725</v>
      </c>
      <c r="F135" s="8" t="s">
        <v>4551</v>
      </c>
      <c r="G135" s="8" t="s">
        <v>4554</v>
      </c>
      <c r="H135" s="8" t="s">
        <v>4726</v>
      </c>
      <c r="I135" s="8" t="s">
        <v>4727</v>
      </c>
      <c r="J135" s="8" t="s">
        <v>4554</v>
      </c>
      <c r="K135" s="8" t="s">
        <v>4728</v>
      </c>
      <c r="L135" s="8" t="s">
        <v>4554</v>
      </c>
      <c r="M135" s="8" t="s">
        <v>4729</v>
      </c>
      <c r="N135" s="8"/>
    </row>
    <row r="136" spans="1:14" s="73" customFormat="1" ht="298.3">
      <c r="A136" s="75">
        <v>135</v>
      </c>
      <c r="B136" s="74" t="s">
        <v>58</v>
      </c>
      <c r="C136" s="75" t="s">
        <v>4730</v>
      </c>
      <c r="D136" s="8" t="s">
        <v>4731</v>
      </c>
      <c r="E136" s="8" t="s">
        <v>4732</v>
      </c>
      <c r="F136" s="8" t="s">
        <v>4554</v>
      </c>
      <c r="G136" s="8" t="s">
        <v>4554</v>
      </c>
      <c r="H136" s="8" t="s">
        <v>4733</v>
      </c>
      <c r="I136" s="8" t="s">
        <v>4734</v>
      </c>
      <c r="J136" s="8" t="s">
        <v>2077</v>
      </c>
      <c r="K136" s="8" t="s">
        <v>4735</v>
      </c>
      <c r="L136" s="8" t="s">
        <v>4554</v>
      </c>
      <c r="M136" s="8" t="s">
        <v>4554</v>
      </c>
      <c r="N136" s="8" t="s">
        <v>4736</v>
      </c>
    </row>
    <row r="137" spans="1:14" s="73" customFormat="1" ht="409.6">
      <c r="A137" s="75">
        <v>136</v>
      </c>
      <c r="B137" s="74" t="s">
        <v>4737</v>
      </c>
      <c r="C137" s="75" t="s">
        <v>4738</v>
      </c>
      <c r="D137" s="8" t="s">
        <v>4739</v>
      </c>
      <c r="E137" s="8" t="s">
        <v>4740</v>
      </c>
      <c r="F137" s="8" t="s">
        <v>4551</v>
      </c>
      <c r="G137" s="8" t="s">
        <v>4741</v>
      </c>
      <c r="H137" s="8" t="s">
        <v>4742</v>
      </c>
      <c r="I137" s="8" t="s">
        <v>4743</v>
      </c>
      <c r="J137" s="8" t="s">
        <v>323</v>
      </c>
      <c r="K137" s="8" t="s">
        <v>4744</v>
      </c>
      <c r="L137" s="8" t="s">
        <v>4745</v>
      </c>
      <c r="M137" s="8" t="s">
        <v>4746</v>
      </c>
      <c r="N137" s="8" t="s">
        <v>4747</v>
      </c>
    </row>
    <row r="138" spans="1:14" s="73" customFormat="1" ht="409.6">
      <c r="A138" s="75">
        <v>137</v>
      </c>
      <c r="B138" s="74" t="s">
        <v>809</v>
      </c>
      <c r="C138" s="75" t="s">
        <v>116</v>
      </c>
      <c r="D138" s="8" t="s">
        <v>4748</v>
      </c>
      <c r="E138" s="8" t="s">
        <v>811</v>
      </c>
      <c r="F138" s="8" t="s">
        <v>88</v>
      </c>
      <c r="G138" s="8" t="s">
        <v>4749</v>
      </c>
      <c r="H138" s="8" t="s">
        <v>4750</v>
      </c>
      <c r="I138" s="8" t="s">
        <v>4751</v>
      </c>
      <c r="J138" s="8" t="s">
        <v>174</v>
      </c>
      <c r="K138" s="8" t="s">
        <v>4752</v>
      </c>
      <c r="L138" s="8" t="s">
        <v>17</v>
      </c>
      <c r="M138" s="8" t="s">
        <v>816</v>
      </c>
      <c r="N138" s="8"/>
    </row>
    <row r="139" spans="1:14" s="73" customFormat="1" ht="409.6">
      <c r="A139" s="75">
        <v>138</v>
      </c>
      <c r="B139" s="74" t="s">
        <v>809</v>
      </c>
      <c r="C139" s="75" t="s">
        <v>35</v>
      </c>
      <c r="D139" s="8" t="s">
        <v>4753</v>
      </c>
      <c r="E139" s="8" t="s">
        <v>2575</v>
      </c>
      <c r="F139" s="8" t="s">
        <v>29</v>
      </c>
      <c r="G139" s="8" t="s">
        <v>4754</v>
      </c>
      <c r="H139" s="8" t="s">
        <v>4755</v>
      </c>
      <c r="I139" s="8" t="s">
        <v>4756</v>
      </c>
      <c r="J139" s="8" t="s">
        <v>4757</v>
      </c>
      <c r="K139" s="8" t="s">
        <v>4758</v>
      </c>
      <c r="L139" s="8" t="s">
        <v>4759</v>
      </c>
      <c r="M139" s="8" t="s">
        <v>4760</v>
      </c>
      <c r="N139" s="8"/>
    </row>
    <row r="140" spans="1:14" s="73" customFormat="1" ht="409.6">
      <c r="A140" s="75">
        <v>139</v>
      </c>
      <c r="B140" s="74" t="s">
        <v>809</v>
      </c>
      <c r="C140" s="75" t="s">
        <v>654</v>
      </c>
      <c r="D140" s="8" t="s">
        <v>4753</v>
      </c>
      <c r="E140" s="8" t="s">
        <v>2575</v>
      </c>
      <c r="F140" s="8" t="s">
        <v>29</v>
      </c>
      <c r="G140" s="8" t="s">
        <v>4761</v>
      </c>
      <c r="H140" s="8" t="s">
        <v>4762</v>
      </c>
      <c r="I140" s="8" t="s">
        <v>4763</v>
      </c>
      <c r="J140" s="8" t="s">
        <v>4764</v>
      </c>
      <c r="K140" s="8" t="s">
        <v>4765</v>
      </c>
      <c r="L140" s="8" t="s">
        <v>4766</v>
      </c>
      <c r="M140" s="8" t="s">
        <v>4760</v>
      </c>
      <c r="N140" s="8"/>
    </row>
    <row r="141" spans="1:14" s="73" customFormat="1" ht="335.6">
      <c r="A141" s="75">
        <v>140</v>
      </c>
      <c r="B141" s="74" t="s">
        <v>371</v>
      </c>
      <c r="C141" s="75" t="s">
        <v>1520</v>
      </c>
      <c r="D141" s="8" t="s">
        <v>1521</v>
      </c>
      <c r="E141" s="8" t="s">
        <v>1522</v>
      </c>
      <c r="F141" s="8" t="s">
        <v>4551</v>
      </c>
      <c r="G141" s="8" t="s">
        <v>4767</v>
      </c>
      <c r="H141" s="8" t="s">
        <v>4768</v>
      </c>
      <c r="I141" s="8" t="s">
        <v>4769</v>
      </c>
      <c r="J141" s="8" t="s">
        <v>4770</v>
      </c>
      <c r="K141" s="8" t="s">
        <v>4771</v>
      </c>
      <c r="L141" s="8" t="s">
        <v>4772</v>
      </c>
      <c r="M141" s="8" t="s">
        <v>4773</v>
      </c>
      <c r="N141" s="8"/>
    </row>
    <row r="142" spans="1:14" s="73" customFormat="1" ht="409.6">
      <c r="A142" s="75">
        <v>141</v>
      </c>
      <c r="B142" s="74" t="s">
        <v>50</v>
      </c>
      <c r="C142" s="75" t="s">
        <v>201</v>
      </c>
      <c r="D142" s="8" t="s">
        <v>52</v>
      </c>
      <c r="E142" s="8" t="s">
        <v>4554</v>
      </c>
      <c r="F142" s="8" t="s">
        <v>4551</v>
      </c>
      <c r="G142" s="8" t="s">
        <v>4774</v>
      </c>
      <c r="H142" s="8" t="s">
        <v>4775</v>
      </c>
      <c r="I142" s="8" t="s">
        <v>4734</v>
      </c>
      <c r="J142" s="8" t="s">
        <v>4591</v>
      </c>
      <c r="K142" s="8" t="s">
        <v>4776</v>
      </c>
      <c r="L142" s="8" t="s">
        <v>4554</v>
      </c>
      <c r="M142" s="8" t="s">
        <v>4554</v>
      </c>
      <c r="N142" s="8" t="s">
        <v>4777</v>
      </c>
    </row>
    <row r="143" spans="1:14" s="73" customFormat="1" ht="261">
      <c r="A143" s="75">
        <v>142</v>
      </c>
      <c r="B143" s="74" t="s">
        <v>109</v>
      </c>
      <c r="C143" s="75" t="s">
        <v>2174</v>
      </c>
      <c r="D143" s="8" t="s">
        <v>17</v>
      </c>
      <c r="E143" s="8" t="s">
        <v>122</v>
      </c>
      <c r="F143" s="8" t="s">
        <v>4551</v>
      </c>
      <c r="G143" s="8" t="s">
        <v>4554</v>
      </c>
      <c r="H143" s="8" t="s">
        <v>787</v>
      </c>
      <c r="I143" s="8" t="s">
        <v>4554</v>
      </c>
      <c r="J143" s="8" t="s">
        <v>4690</v>
      </c>
      <c r="K143" s="8" t="s">
        <v>4778</v>
      </c>
      <c r="L143" s="8" t="s">
        <v>4779</v>
      </c>
      <c r="M143" s="8" t="s">
        <v>4554</v>
      </c>
      <c r="N143" s="8" t="s">
        <v>4780</v>
      </c>
    </row>
    <row r="144" spans="1:14" s="73" customFormat="1" ht="74.599999999999994">
      <c r="A144" s="75">
        <v>143</v>
      </c>
      <c r="B144" s="74" t="s">
        <v>4781</v>
      </c>
      <c r="C144" s="75" t="s">
        <v>43</v>
      </c>
      <c r="D144" s="8" t="s">
        <v>52</v>
      </c>
      <c r="E144" s="8" t="s">
        <v>17</v>
      </c>
      <c r="F144" s="8" t="s">
        <v>29</v>
      </c>
      <c r="G144" s="8" t="s">
        <v>4782</v>
      </c>
      <c r="H144" s="8" t="s">
        <v>4783</v>
      </c>
      <c r="I144" s="8" t="s">
        <v>4223</v>
      </c>
      <c r="J144" s="8" t="s">
        <v>17</v>
      </c>
      <c r="K144" s="8" t="s">
        <v>4784</v>
      </c>
      <c r="L144" s="8" t="s">
        <v>17</v>
      </c>
      <c r="M144" s="8" t="s">
        <v>17</v>
      </c>
      <c r="N144" s="8"/>
    </row>
    <row r="145" spans="1:14" s="73" customFormat="1" ht="409.6">
      <c r="A145" s="75">
        <v>144</v>
      </c>
      <c r="B145" s="74" t="s">
        <v>435</v>
      </c>
      <c r="C145" s="75" t="s">
        <v>637</v>
      </c>
      <c r="D145" s="8" t="s">
        <v>52</v>
      </c>
      <c r="E145" s="8" t="s">
        <v>17</v>
      </c>
      <c r="F145" s="8" t="s">
        <v>4551</v>
      </c>
      <c r="G145" s="8" t="s">
        <v>4785</v>
      </c>
      <c r="H145" s="8" t="s">
        <v>4786</v>
      </c>
      <c r="I145" s="8" t="s">
        <v>4710</v>
      </c>
      <c r="J145" s="8" t="s">
        <v>329</v>
      </c>
      <c r="K145" s="8" t="s">
        <v>4787</v>
      </c>
      <c r="L145" s="8" t="s">
        <v>4788</v>
      </c>
      <c r="M145" s="8" t="s">
        <v>4789</v>
      </c>
      <c r="N145" s="8"/>
    </row>
    <row r="146" spans="1:14" s="73" customFormat="1" ht="409.6">
      <c r="A146" s="75">
        <v>145</v>
      </c>
      <c r="B146" s="74" t="s">
        <v>435</v>
      </c>
      <c r="C146" s="75" t="s">
        <v>59</v>
      </c>
      <c r="D146" s="8" t="s">
        <v>52</v>
      </c>
      <c r="E146" s="8" t="s">
        <v>17</v>
      </c>
      <c r="F146" s="8" t="s">
        <v>4551</v>
      </c>
      <c r="G146" s="8" t="s">
        <v>579</v>
      </c>
      <c r="H146" s="8" t="s">
        <v>4786</v>
      </c>
      <c r="I146" s="8" t="s">
        <v>4790</v>
      </c>
      <c r="J146" s="8" t="s">
        <v>4791</v>
      </c>
      <c r="K146" s="8" t="s">
        <v>581</v>
      </c>
      <c r="L146" s="8" t="s">
        <v>4792</v>
      </c>
      <c r="M146" s="8" t="s">
        <v>4793</v>
      </c>
      <c r="N146" s="8"/>
    </row>
    <row r="147" spans="1:14" s="73" customFormat="1" ht="372.9">
      <c r="A147" s="75">
        <v>146</v>
      </c>
      <c r="B147" s="74" t="s">
        <v>4794</v>
      </c>
      <c r="C147" s="75" t="s">
        <v>4795</v>
      </c>
      <c r="D147" s="8" t="s">
        <v>4796</v>
      </c>
      <c r="E147" s="8" t="s">
        <v>4797</v>
      </c>
      <c r="F147" s="8" t="s">
        <v>4551</v>
      </c>
      <c r="G147" s="8" t="s">
        <v>4798</v>
      </c>
      <c r="H147" s="8" t="s">
        <v>4799</v>
      </c>
      <c r="I147" s="8" t="s">
        <v>4800</v>
      </c>
      <c r="J147" s="8" t="s">
        <v>2077</v>
      </c>
      <c r="K147" s="8" t="s">
        <v>4801</v>
      </c>
      <c r="L147" s="8" t="s">
        <v>4802</v>
      </c>
      <c r="M147" s="8" t="s">
        <v>4803</v>
      </c>
      <c r="N147" s="8" t="s">
        <v>4804</v>
      </c>
    </row>
    <row r="148" spans="1:14" s="73" customFormat="1" ht="409.6">
      <c r="A148" s="75">
        <v>147</v>
      </c>
      <c r="B148" s="74" t="s">
        <v>530</v>
      </c>
      <c r="C148" s="75" t="s">
        <v>35</v>
      </c>
      <c r="D148" s="8" t="s">
        <v>4805</v>
      </c>
      <c r="E148" s="8" t="s">
        <v>60</v>
      </c>
      <c r="F148" s="8" t="s">
        <v>4551</v>
      </c>
      <c r="G148" s="8" t="s">
        <v>4806</v>
      </c>
      <c r="H148" s="8" t="s">
        <v>4807</v>
      </c>
      <c r="I148" s="8" t="s">
        <v>4808</v>
      </c>
      <c r="J148" s="8" t="s">
        <v>4764</v>
      </c>
      <c r="K148" s="8" t="s">
        <v>4809</v>
      </c>
      <c r="L148" s="8" t="s">
        <v>4810</v>
      </c>
      <c r="M148" s="8" t="s">
        <v>4811</v>
      </c>
      <c r="N148" s="8"/>
    </row>
    <row r="149" spans="1:14" s="73" customFormat="1" ht="409.6">
      <c r="A149" s="75">
        <v>148</v>
      </c>
      <c r="B149" s="74" t="s">
        <v>612</v>
      </c>
      <c r="C149" s="75" t="s">
        <v>27</v>
      </c>
      <c r="D149" s="8" t="s">
        <v>4812</v>
      </c>
      <c r="E149" s="8" t="s">
        <v>4813</v>
      </c>
      <c r="F149" s="8" t="s">
        <v>4551</v>
      </c>
      <c r="G149" s="8" t="s">
        <v>4814</v>
      </c>
      <c r="H149" s="8" t="s">
        <v>4815</v>
      </c>
      <c r="I149" s="8" t="s">
        <v>4816</v>
      </c>
      <c r="J149" s="8" t="s">
        <v>4554</v>
      </c>
      <c r="K149" s="8" t="s">
        <v>4817</v>
      </c>
      <c r="L149" s="8" t="s">
        <v>4818</v>
      </c>
      <c r="M149" s="8" t="s">
        <v>4554</v>
      </c>
      <c r="N149" s="8" t="s">
        <v>4819</v>
      </c>
    </row>
    <row r="150" spans="1:14" s="73" customFormat="1" ht="409.6">
      <c r="A150" s="75">
        <v>149</v>
      </c>
      <c r="B150" s="83" t="s">
        <v>13</v>
      </c>
      <c r="C150" s="84" t="s">
        <v>478</v>
      </c>
      <c r="D150" s="85" t="s">
        <v>4573</v>
      </c>
      <c r="E150" s="85" t="s">
        <v>4820</v>
      </c>
      <c r="F150" s="85" t="s">
        <v>4551</v>
      </c>
      <c r="G150" s="85" t="s">
        <v>4821</v>
      </c>
      <c r="H150" s="85" t="s">
        <v>4822</v>
      </c>
      <c r="I150" s="85" t="s">
        <v>4823</v>
      </c>
      <c r="J150" s="85" t="s">
        <v>4554</v>
      </c>
      <c r="K150" s="86" t="s">
        <v>4824</v>
      </c>
      <c r="L150" s="85" t="s">
        <v>4554</v>
      </c>
      <c r="M150" s="85" t="s">
        <v>4554</v>
      </c>
      <c r="N150" s="85" t="s">
        <v>4825</v>
      </c>
    </row>
    <row r="151" spans="1:14" s="73" customFormat="1" ht="409.6">
      <c r="A151" s="75">
        <v>150</v>
      </c>
      <c r="B151" s="74" t="s">
        <v>4826</v>
      </c>
      <c r="C151" s="75" t="s">
        <v>35</v>
      </c>
      <c r="D151" s="8" t="s">
        <v>52</v>
      </c>
      <c r="E151" s="8" t="s">
        <v>4554</v>
      </c>
      <c r="F151" s="8" t="s">
        <v>4551</v>
      </c>
      <c r="G151" s="8" t="s">
        <v>4827</v>
      </c>
      <c r="H151" s="8" t="s">
        <v>4528</v>
      </c>
      <c r="I151" s="8" t="s">
        <v>4570</v>
      </c>
      <c r="J151" s="8" t="s">
        <v>4554</v>
      </c>
      <c r="K151" s="8" t="s">
        <v>4554</v>
      </c>
      <c r="L151" s="8" t="s">
        <v>4554</v>
      </c>
      <c r="M151" s="8" t="s">
        <v>4828</v>
      </c>
      <c r="N151" s="8"/>
    </row>
    <row r="152" spans="1:14" s="73" customFormat="1" ht="409.6">
      <c r="A152" s="75">
        <v>151</v>
      </c>
      <c r="B152" s="74" t="s">
        <v>1390</v>
      </c>
      <c r="C152" s="75" t="s">
        <v>191</v>
      </c>
      <c r="D152" s="8" t="s">
        <v>4829</v>
      </c>
      <c r="E152" s="8" t="s">
        <v>4830</v>
      </c>
      <c r="F152" s="8" t="s">
        <v>4551</v>
      </c>
      <c r="G152" s="8" t="s">
        <v>4831</v>
      </c>
      <c r="H152" s="8" t="s">
        <v>4832</v>
      </c>
      <c r="I152" s="8" t="s">
        <v>4833</v>
      </c>
      <c r="J152" s="8" t="s">
        <v>4834</v>
      </c>
      <c r="K152" s="8" t="s">
        <v>4835</v>
      </c>
      <c r="L152" s="8" t="s">
        <v>4836</v>
      </c>
      <c r="M152" s="8" t="s">
        <v>4837</v>
      </c>
      <c r="N152" s="8"/>
    </row>
    <row r="153" spans="1:14" s="73" customFormat="1" ht="409.6">
      <c r="A153" s="75">
        <v>152</v>
      </c>
      <c r="B153" s="74" t="s">
        <v>612</v>
      </c>
      <c r="C153" s="87" t="s">
        <v>43</v>
      </c>
      <c r="D153" s="8" t="s">
        <v>4838</v>
      </c>
      <c r="E153" s="8" t="s">
        <v>4839</v>
      </c>
      <c r="F153" s="8" t="s">
        <v>29</v>
      </c>
      <c r="G153" s="8" t="s">
        <v>17</v>
      </c>
      <c r="H153" s="8" t="s">
        <v>4840</v>
      </c>
      <c r="I153" s="8" t="s">
        <v>4841</v>
      </c>
      <c r="J153" s="8" t="s">
        <v>17</v>
      </c>
      <c r="K153" s="8" t="s">
        <v>17</v>
      </c>
      <c r="L153" s="8" t="s">
        <v>17</v>
      </c>
      <c r="M153" s="8" t="s">
        <v>4842</v>
      </c>
      <c r="N153" s="8"/>
    </row>
    <row r="154" spans="1:14" s="73" customFormat="1" ht="409.6">
      <c r="A154" s="75">
        <v>153</v>
      </c>
      <c r="B154" s="74" t="s">
        <v>677</v>
      </c>
      <c r="C154" s="87" t="s">
        <v>43</v>
      </c>
      <c r="D154" s="88" t="s">
        <v>4843</v>
      </c>
      <c r="E154" s="8" t="s">
        <v>4844</v>
      </c>
      <c r="F154" s="8" t="s">
        <v>4845</v>
      </c>
      <c r="G154" s="8" t="s">
        <v>17</v>
      </c>
      <c r="H154" s="8" t="s">
        <v>4846</v>
      </c>
      <c r="I154" s="8" t="s">
        <v>4140</v>
      </c>
      <c r="J154" s="8" t="s">
        <v>683</v>
      </c>
      <c r="K154" s="8" t="s">
        <v>4847</v>
      </c>
      <c r="L154" s="88" t="s">
        <v>4848</v>
      </c>
      <c r="M154" s="8" t="s">
        <v>4849</v>
      </c>
      <c r="N154" s="8"/>
    </row>
    <row r="155" spans="1:14" s="73" customFormat="1" ht="409.6">
      <c r="A155" s="75">
        <v>154</v>
      </c>
      <c r="B155" s="74" t="s">
        <v>4850</v>
      </c>
      <c r="C155" s="87" t="s">
        <v>4851</v>
      </c>
      <c r="D155" s="8" t="s">
        <v>4852</v>
      </c>
      <c r="E155" s="8" t="s">
        <v>4853</v>
      </c>
      <c r="F155" s="8" t="s">
        <v>29</v>
      </c>
      <c r="G155" s="8" t="s">
        <v>4854</v>
      </c>
      <c r="H155" s="8" t="s">
        <v>4855</v>
      </c>
      <c r="I155" s="76">
        <v>45108</v>
      </c>
      <c r="J155" s="8" t="s">
        <v>1164</v>
      </c>
      <c r="K155" s="8" t="s">
        <v>4856</v>
      </c>
      <c r="L155" s="8" t="s">
        <v>17</v>
      </c>
      <c r="M155" s="8" t="s">
        <v>4857</v>
      </c>
      <c r="N155" s="8"/>
    </row>
    <row r="156" spans="1:14" s="73" customFormat="1" ht="335.6">
      <c r="A156" s="75">
        <v>155</v>
      </c>
      <c r="B156" s="74" t="s">
        <v>245</v>
      </c>
      <c r="C156" s="87" t="s">
        <v>74</v>
      </c>
      <c r="D156" s="8" t="s">
        <v>271</v>
      </c>
      <c r="E156" s="8" t="s">
        <v>4858</v>
      </c>
      <c r="F156" s="8" t="s">
        <v>29</v>
      </c>
      <c r="G156" s="8" t="s">
        <v>1286</v>
      </c>
      <c r="H156" s="8" t="s">
        <v>4859</v>
      </c>
      <c r="I156" s="8" t="s">
        <v>4148</v>
      </c>
      <c r="J156" s="8" t="s">
        <v>17</v>
      </c>
      <c r="K156" s="8" t="s">
        <v>4860</v>
      </c>
      <c r="L156" s="8" t="s">
        <v>4861</v>
      </c>
      <c r="M156" s="8" t="s">
        <v>17</v>
      </c>
      <c r="N156" s="8" t="s">
        <v>4862</v>
      </c>
    </row>
    <row r="157" spans="1:14" s="73" customFormat="1" ht="409.6">
      <c r="A157" s="75">
        <v>156</v>
      </c>
      <c r="B157" s="74" t="s">
        <v>435</v>
      </c>
      <c r="C157" s="87" t="s">
        <v>582</v>
      </c>
      <c r="D157" s="8" t="s">
        <v>17</v>
      </c>
      <c r="E157" s="8" t="s">
        <v>17</v>
      </c>
      <c r="F157" s="8" t="s">
        <v>4863</v>
      </c>
      <c r="G157" s="8" t="s">
        <v>4864</v>
      </c>
      <c r="H157" s="8" t="s">
        <v>4528</v>
      </c>
      <c r="I157" s="8" t="s">
        <v>4865</v>
      </c>
      <c r="J157" s="8" t="s">
        <v>17</v>
      </c>
      <c r="K157" s="8" t="s">
        <v>4866</v>
      </c>
      <c r="L157" s="8" t="s">
        <v>17</v>
      </c>
      <c r="M157" s="8" t="s">
        <v>17</v>
      </c>
      <c r="N157" s="8" t="s">
        <v>4867</v>
      </c>
    </row>
    <row r="158" spans="1:14" s="73" customFormat="1" ht="261">
      <c r="A158" s="75">
        <v>157</v>
      </c>
      <c r="B158" s="74" t="s">
        <v>371</v>
      </c>
      <c r="C158" s="87" t="s">
        <v>191</v>
      </c>
      <c r="D158" s="8" t="s">
        <v>4868</v>
      </c>
      <c r="E158" s="8" t="s">
        <v>4869</v>
      </c>
      <c r="F158" s="8" t="s">
        <v>4255</v>
      </c>
      <c r="G158" s="8" t="s">
        <v>4870</v>
      </c>
      <c r="H158" s="8" t="s">
        <v>4871</v>
      </c>
      <c r="I158" s="8" t="s">
        <v>4872</v>
      </c>
      <c r="J158" s="8" t="s">
        <v>17</v>
      </c>
      <c r="K158" s="8" t="s">
        <v>4873</v>
      </c>
      <c r="L158" s="8" t="s">
        <v>17</v>
      </c>
      <c r="M158" s="8" t="s">
        <v>713</v>
      </c>
      <c r="N158" s="8"/>
    </row>
    <row r="159" spans="1:14" s="73" customFormat="1" ht="409.6">
      <c r="A159" s="75">
        <v>158</v>
      </c>
      <c r="B159" s="74" t="s">
        <v>1189</v>
      </c>
      <c r="C159" s="87" t="s">
        <v>191</v>
      </c>
      <c r="D159" s="8" t="s">
        <v>4874</v>
      </c>
      <c r="E159" s="8" t="s">
        <v>4875</v>
      </c>
      <c r="F159" s="8" t="s">
        <v>1783</v>
      </c>
      <c r="G159" s="8" t="s">
        <v>4876</v>
      </c>
      <c r="H159" s="8" t="s">
        <v>4877</v>
      </c>
      <c r="I159" s="76" t="s">
        <v>4878</v>
      </c>
      <c r="J159" s="8" t="s">
        <v>402</v>
      </c>
      <c r="K159" s="8" t="s">
        <v>4879</v>
      </c>
      <c r="L159" s="8" t="s">
        <v>4880</v>
      </c>
      <c r="M159" s="8" t="s">
        <v>4881</v>
      </c>
      <c r="N159" s="8"/>
    </row>
    <row r="160" spans="1:14" s="73" customFormat="1" ht="372.9">
      <c r="A160" s="75">
        <v>159</v>
      </c>
      <c r="B160" s="74" t="s">
        <v>58</v>
      </c>
      <c r="C160" s="87" t="s">
        <v>2593</v>
      </c>
      <c r="D160" s="8" t="s">
        <v>4882</v>
      </c>
      <c r="E160" s="8" t="s">
        <v>4883</v>
      </c>
      <c r="F160" s="8" t="s">
        <v>17</v>
      </c>
      <c r="G160" s="8" t="s">
        <v>17</v>
      </c>
      <c r="H160" s="8" t="s">
        <v>4884</v>
      </c>
      <c r="I160" s="8" t="s">
        <v>4885</v>
      </c>
      <c r="J160" s="8" t="s">
        <v>17</v>
      </c>
      <c r="K160" s="8" t="s">
        <v>4886</v>
      </c>
      <c r="L160" s="8" t="s">
        <v>17</v>
      </c>
      <c r="M160" s="8" t="s">
        <v>17</v>
      </c>
      <c r="N160" s="8"/>
    </row>
    <row r="161" spans="1:14" s="73" customFormat="1" ht="409.6">
      <c r="A161" s="75">
        <v>160</v>
      </c>
      <c r="B161" s="74" t="s">
        <v>1189</v>
      </c>
      <c r="C161" s="87" t="s">
        <v>4887</v>
      </c>
      <c r="D161" s="8" t="s">
        <v>4874</v>
      </c>
      <c r="E161" s="8" t="s">
        <v>4875</v>
      </c>
      <c r="F161" s="8" t="s">
        <v>29</v>
      </c>
      <c r="G161" s="8" t="s">
        <v>4888</v>
      </c>
      <c r="H161" s="8" t="s">
        <v>4889</v>
      </c>
      <c r="I161" s="8" t="s">
        <v>4890</v>
      </c>
      <c r="J161" s="8" t="s">
        <v>4891</v>
      </c>
      <c r="K161" s="8" t="s">
        <v>4892</v>
      </c>
      <c r="L161" s="8" t="s">
        <v>4893</v>
      </c>
      <c r="M161" s="8" t="s">
        <v>4894</v>
      </c>
      <c r="N161" s="8"/>
    </row>
    <row r="162" spans="1:14" s="73" customFormat="1" ht="409.6">
      <c r="A162" s="75">
        <v>161</v>
      </c>
      <c r="B162" s="74" t="s">
        <v>653</v>
      </c>
      <c r="C162" s="87" t="s">
        <v>27</v>
      </c>
      <c r="D162" s="8" t="s">
        <v>4895</v>
      </c>
      <c r="E162" s="8" t="s">
        <v>4896</v>
      </c>
      <c r="F162" s="8" t="s">
        <v>29</v>
      </c>
      <c r="G162" s="8" t="s">
        <v>17</v>
      </c>
      <c r="H162" s="8" t="s">
        <v>4897</v>
      </c>
      <c r="I162" s="76">
        <v>45108</v>
      </c>
      <c r="J162" s="8" t="s">
        <v>17</v>
      </c>
      <c r="K162" s="8" t="s">
        <v>4898</v>
      </c>
      <c r="L162" s="8" t="s">
        <v>17</v>
      </c>
      <c r="M162" s="8" t="s">
        <v>4899</v>
      </c>
      <c r="N162" s="8"/>
    </row>
    <row r="163" spans="1:14" s="73" customFormat="1" ht="409.6">
      <c r="A163" s="75">
        <v>162</v>
      </c>
      <c r="B163" s="74" t="s">
        <v>935</v>
      </c>
      <c r="C163" s="87" t="s">
        <v>35</v>
      </c>
      <c r="D163" s="8" t="s">
        <v>4900</v>
      </c>
      <c r="E163" s="8" t="s">
        <v>4901</v>
      </c>
      <c r="F163" s="8" t="s">
        <v>29</v>
      </c>
      <c r="G163" s="8" t="s">
        <v>17</v>
      </c>
      <c r="H163" s="8" t="s">
        <v>4902</v>
      </c>
      <c r="I163" s="8" t="s">
        <v>4903</v>
      </c>
      <c r="J163" s="8" t="s">
        <v>2187</v>
      </c>
      <c r="K163" s="8" t="s">
        <v>4904</v>
      </c>
      <c r="L163" s="8" t="s">
        <v>4905</v>
      </c>
      <c r="M163" s="8" t="s">
        <v>4906</v>
      </c>
      <c r="N163" s="8"/>
    </row>
    <row r="164" spans="1:14" s="73" customFormat="1" ht="372.9">
      <c r="A164" s="75">
        <v>163</v>
      </c>
      <c r="B164" s="74" t="s">
        <v>4907</v>
      </c>
      <c r="C164" s="87" t="s">
        <v>116</v>
      </c>
      <c r="D164" s="8" t="s">
        <v>4908</v>
      </c>
      <c r="E164" s="8" t="s">
        <v>4909</v>
      </c>
      <c r="F164" s="8" t="s">
        <v>29</v>
      </c>
      <c r="G164" s="8" t="s">
        <v>17</v>
      </c>
      <c r="H164" s="8" t="s">
        <v>4910</v>
      </c>
      <c r="I164" s="8" t="s">
        <v>4911</v>
      </c>
      <c r="J164" s="8" t="s">
        <v>17</v>
      </c>
      <c r="K164" s="8" t="s">
        <v>4912</v>
      </c>
      <c r="L164" s="8" t="s">
        <v>17</v>
      </c>
      <c r="M164" s="8" t="s">
        <v>4913</v>
      </c>
      <c r="N164" s="8"/>
    </row>
    <row r="165" spans="1:14" s="73" customFormat="1" ht="409.6">
      <c r="A165" s="75">
        <v>164</v>
      </c>
      <c r="B165" s="74" t="s">
        <v>13</v>
      </c>
      <c r="C165" s="87" t="s">
        <v>779</v>
      </c>
      <c r="D165" s="8" t="s">
        <v>780</v>
      </c>
      <c r="E165" s="8" t="s">
        <v>781</v>
      </c>
      <c r="F165" s="8" t="s">
        <v>29</v>
      </c>
      <c r="G165" s="8" t="s">
        <v>782</v>
      </c>
      <c r="H165" s="8" t="s">
        <v>4914</v>
      </c>
      <c r="I165" s="8" t="s">
        <v>4152</v>
      </c>
      <c r="J165" s="8" t="s">
        <v>17</v>
      </c>
      <c r="K165" s="8" t="s">
        <v>784</v>
      </c>
      <c r="L165" s="8" t="s">
        <v>17</v>
      </c>
      <c r="M165" s="8" t="s">
        <v>17</v>
      </c>
      <c r="N165" s="8" t="s">
        <v>4915</v>
      </c>
    </row>
    <row r="166" spans="1:14" s="73" customFormat="1" ht="409.6">
      <c r="A166" s="75">
        <v>165</v>
      </c>
      <c r="B166" s="74" t="s">
        <v>333</v>
      </c>
      <c r="C166" s="87" t="s">
        <v>1061</v>
      </c>
      <c r="D166" s="8" t="s">
        <v>4916</v>
      </c>
      <c r="E166" s="8" t="s">
        <v>1062</v>
      </c>
      <c r="F166" s="8" t="s">
        <v>29</v>
      </c>
      <c r="G166" s="8" t="s">
        <v>4917</v>
      </c>
      <c r="H166" s="8" t="s">
        <v>4918</v>
      </c>
      <c r="I166" s="8" t="s">
        <v>4919</v>
      </c>
      <c r="J166" s="8" t="s">
        <v>625</v>
      </c>
      <c r="K166" s="8" t="s">
        <v>4920</v>
      </c>
      <c r="L166" s="8" t="s">
        <v>4921</v>
      </c>
      <c r="M166" s="8" t="s">
        <v>1069</v>
      </c>
      <c r="N166" s="8"/>
    </row>
    <row r="167" spans="1:14" s="73" customFormat="1" ht="409.6">
      <c r="A167" s="75">
        <v>166</v>
      </c>
      <c r="B167" s="74" t="s">
        <v>58</v>
      </c>
      <c r="C167" s="87" t="s">
        <v>4922</v>
      </c>
      <c r="D167" s="8" t="s">
        <v>36</v>
      </c>
      <c r="E167" s="8" t="s">
        <v>60</v>
      </c>
      <c r="F167" s="8" t="s">
        <v>29</v>
      </c>
      <c r="G167" s="8" t="s">
        <v>4923</v>
      </c>
      <c r="H167" s="8" t="s">
        <v>4924</v>
      </c>
      <c r="I167" s="8" t="s">
        <v>4925</v>
      </c>
      <c r="J167" s="8" t="s">
        <v>17</v>
      </c>
      <c r="K167" s="8" t="s">
        <v>4926</v>
      </c>
      <c r="L167" s="8" t="s">
        <v>4927</v>
      </c>
      <c r="M167" s="8" t="s">
        <v>17</v>
      </c>
      <c r="N167" s="8" t="s">
        <v>4928</v>
      </c>
    </row>
    <row r="168" spans="1:14" s="73" customFormat="1" ht="409.6">
      <c r="A168" s="75">
        <v>167</v>
      </c>
      <c r="B168" s="83" t="s">
        <v>760</v>
      </c>
      <c r="C168" s="89" t="s">
        <v>35</v>
      </c>
      <c r="D168" s="85" t="s">
        <v>4929</v>
      </c>
      <c r="E168" s="85" t="s">
        <v>60</v>
      </c>
      <c r="F168" s="85" t="s">
        <v>88</v>
      </c>
      <c r="G168" s="86" t="s">
        <v>4930</v>
      </c>
      <c r="H168" s="85" t="s">
        <v>4931</v>
      </c>
      <c r="I168" s="85" t="s">
        <v>4932</v>
      </c>
      <c r="J168" s="85" t="s">
        <v>625</v>
      </c>
      <c r="K168" s="8" t="s">
        <v>4933</v>
      </c>
      <c r="L168" s="85" t="s">
        <v>17</v>
      </c>
      <c r="M168" s="86" t="s">
        <v>4934</v>
      </c>
      <c r="N168" s="86" t="s">
        <v>4935</v>
      </c>
    </row>
    <row r="169" spans="1:14" s="73" customFormat="1" ht="409.6">
      <c r="A169" s="75">
        <v>168</v>
      </c>
      <c r="B169" s="74" t="s">
        <v>4936</v>
      </c>
      <c r="C169" s="87" t="s">
        <v>43</v>
      </c>
      <c r="D169" s="8" t="s">
        <v>4937</v>
      </c>
      <c r="E169" s="8" t="s">
        <v>16</v>
      </c>
      <c r="F169" s="8" t="s">
        <v>29</v>
      </c>
      <c r="G169" s="8" t="s">
        <v>17</v>
      </c>
      <c r="H169" s="8" t="s">
        <v>4938</v>
      </c>
      <c r="I169" s="8" t="s">
        <v>4939</v>
      </c>
      <c r="J169" s="8" t="s">
        <v>4940</v>
      </c>
      <c r="K169" s="8" t="s">
        <v>4941</v>
      </c>
      <c r="L169" s="8" t="s">
        <v>4942</v>
      </c>
      <c r="M169" s="8" t="s">
        <v>4943</v>
      </c>
      <c r="N169" s="8"/>
    </row>
    <row r="170" spans="1:14" s="73" customFormat="1" ht="409.6">
      <c r="A170" s="75">
        <v>169</v>
      </c>
      <c r="B170" s="74" t="s">
        <v>13</v>
      </c>
      <c r="C170" s="87" t="s">
        <v>824</v>
      </c>
      <c r="D170" s="8" t="s">
        <v>780</v>
      </c>
      <c r="E170" s="8" t="s">
        <v>825</v>
      </c>
      <c r="F170" s="8" t="s">
        <v>88</v>
      </c>
      <c r="G170" s="8" t="s">
        <v>17</v>
      </c>
      <c r="H170" s="8" t="s">
        <v>4944</v>
      </c>
      <c r="I170" s="8" t="s">
        <v>4152</v>
      </c>
      <c r="J170" s="8" t="s">
        <v>17</v>
      </c>
      <c r="K170" s="8" t="s">
        <v>4945</v>
      </c>
      <c r="L170" s="8" t="s">
        <v>17</v>
      </c>
      <c r="M170" s="8" t="s">
        <v>17</v>
      </c>
      <c r="N170" s="8" t="s">
        <v>4946</v>
      </c>
    </row>
    <row r="171" spans="1:14" s="73" customFormat="1" ht="223.75">
      <c r="A171" s="75">
        <v>170</v>
      </c>
      <c r="B171" s="74" t="s">
        <v>589</v>
      </c>
      <c r="C171" s="87" t="s">
        <v>390</v>
      </c>
      <c r="D171" s="8" t="s">
        <v>697</v>
      </c>
      <c r="E171" s="8" t="s">
        <v>4947</v>
      </c>
      <c r="F171" s="8" t="s">
        <v>17</v>
      </c>
      <c r="G171" s="8" t="s">
        <v>591</v>
      </c>
      <c r="H171" s="8" t="s">
        <v>4948</v>
      </c>
      <c r="I171" s="8" t="s">
        <v>4140</v>
      </c>
      <c r="J171" s="8" t="s">
        <v>4949</v>
      </c>
      <c r="K171" s="8" t="s">
        <v>4950</v>
      </c>
      <c r="L171" s="8" t="s">
        <v>4951</v>
      </c>
      <c r="M171" s="8" t="s">
        <v>700</v>
      </c>
      <c r="N171" s="8"/>
    </row>
    <row r="172" spans="1:14" s="73" customFormat="1" ht="409.6">
      <c r="A172" s="75">
        <v>171</v>
      </c>
      <c r="B172" s="74" t="s">
        <v>1189</v>
      </c>
      <c r="C172" s="87" t="s">
        <v>4952</v>
      </c>
      <c r="D172" s="8" t="s">
        <v>4953</v>
      </c>
      <c r="E172" s="8" t="s">
        <v>4954</v>
      </c>
      <c r="F172" s="8" t="s">
        <v>29</v>
      </c>
      <c r="G172" s="8" t="s">
        <v>4955</v>
      </c>
      <c r="H172" s="8" t="s">
        <v>4956</v>
      </c>
      <c r="I172" s="8" t="s">
        <v>4313</v>
      </c>
      <c r="J172" s="8" t="s">
        <v>4949</v>
      </c>
      <c r="K172" s="8" t="s">
        <v>4957</v>
      </c>
      <c r="L172" s="8" t="s">
        <v>4958</v>
      </c>
      <c r="M172" s="8" t="s">
        <v>4959</v>
      </c>
      <c r="N172" s="8"/>
    </row>
    <row r="173" spans="1:14" s="73" customFormat="1" ht="409.6">
      <c r="A173" s="75">
        <v>172</v>
      </c>
      <c r="B173" s="74" t="s">
        <v>961</v>
      </c>
      <c r="C173" s="75" t="s">
        <v>1194</v>
      </c>
      <c r="D173" s="8" t="s">
        <v>977</v>
      </c>
      <c r="E173" s="8" t="s">
        <v>1195</v>
      </c>
      <c r="F173" s="8" t="s">
        <v>29</v>
      </c>
      <c r="G173" s="8" t="s">
        <v>1196</v>
      </c>
      <c r="H173" s="8" t="s">
        <v>4960</v>
      </c>
      <c r="I173" s="8" t="s">
        <v>4961</v>
      </c>
      <c r="J173" s="8" t="s">
        <v>17</v>
      </c>
      <c r="K173" s="8" t="s">
        <v>4962</v>
      </c>
      <c r="L173" s="8" t="s">
        <v>17</v>
      </c>
      <c r="M173" s="8" t="s">
        <v>1199</v>
      </c>
      <c r="N173" s="8"/>
    </row>
    <row r="174" spans="1:14" s="73" customFormat="1" ht="409.6">
      <c r="A174" s="75">
        <v>173</v>
      </c>
      <c r="B174" s="74" t="s">
        <v>961</v>
      </c>
      <c r="C174" s="75" t="s">
        <v>785</v>
      </c>
      <c r="D174" s="8" t="s">
        <v>977</v>
      </c>
      <c r="E174" s="8" t="s">
        <v>970</v>
      </c>
      <c r="F174" s="8" t="s">
        <v>29</v>
      </c>
      <c r="G174" s="8" t="s">
        <v>4963</v>
      </c>
      <c r="H174" s="8" t="s">
        <v>4964</v>
      </c>
      <c r="I174" s="8" t="s">
        <v>4961</v>
      </c>
      <c r="J174" s="8" t="s">
        <v>17</v>
      </c>
      <c r="K174" s="8" t="s">
        <v>1202</v>
      </c>
      <c r="L174" s="8" t="s">
        <v>17</v>
      </c>
      <c r="M174" s="8" t="s">
        <v>1203</v>
      </c>
      <c r="N174" s="8"/>
    </row>
    <row r="175" spans="1:14" s="73" customFormat="1" ht="409.6">
      <c r="A175" s="75">
        <v>174</v>
      </c>
      <c r="B175" s="74" t="s">
        <v>961</v>
      </c>
      <c r="C175" s="75" t="s">
        <v>1204</v>
      </c>
      <c r="D175" s="8" t="s">
        <v>1205</v>
      </c>
      <c r="E175" s="8" t="s">
        <v>4965</v>
      </c>
      <c r="F175" s="8" t="s">
        <v>29</v>
      </c>
      <c r="G175" s="8" t="s">
        <v>4966</v>
      </c>
      <c r="H175" s="8" t="s">
        <v>4967</v>
      </c>
      <c r="I175" s="8" t="s">
        <v>4961</v>
      </c>
      <c r="J175" s="8" t="s">
        <v>17</v>
      </c>
      <c r="K175" s="8" t="s">
        <v>1209</v>
      </c>
      <c r="L175" s="8" t="s">
        <v>17</v>
      </c>
      <c r="M175" s="8" t="s">
        <v>1210</v>
      </c>
      <c r="N175" s="8" t="s">
        <v>4968</v>
      </c>
    </row>
    <row r="176" spans="1:14" s="73" customFormat="1" ht="372.9">
      <c r="A176" s="75">
        <v>175</v>
      </c>
      <c r="B176" s="74" t="s">
        <v>58</v>
      </c>
      <c r="C176" s="75" t="s">
        <v>390</v>
      </c>
      <c r="D176" s="8" t="s">
        <v>4969</v>
      </c>
      <c r="E176" s="8" t="s">
        <v>4970</v>
      </c>
      <c r="F176" s="8" t="s">
        <v>29</v>
      </c>
      <c r="G176" s="8" t="s">
        <v>4971</v>
      </c>
      <c r="H176" s="8" t="s">
        <v>4972</v>
      </c>
      <c r="I176" s="8" t="s">
        <v>4973</v>
      </c>
      <c r="J176" s="8" t="s">
        <v>17</v>
      </c>
      <c r="K176" s="8" t="s">
        <v>4974</v>
      </c>
      <c r="L176" s="8" t="s">
        <v>4975</v>
      </c>
      <c r="M176" s="8" t="s">
        <v>17</v>
      </c>
      <c r="N176" s="8"/>
    </row>
    <row r="177" spans="1:14" s="73" customFormat="1" ht="335.6">
      <c r="A177" s="75">
        <v>176</v>
      </c>
      <c r="B177" s="74" t="s">
        <v>1024</v>
      </c>
      <c r="C177" s="75" t="s">
        <v>74</v>
      </c>
      <c r="D177" s="8" t="s">
        <v>17</v>
      </c>
      <c r="E177" s="8" t="s">
        <v>4976</v>
      </c>
      <c r="F177" s="8" t="s">
        <v>29</v>
      </c>
      <c r="G177" s="8" t="s">
        <v>17</v>
      </c>
      <c r="H177" s="8" t="s">
        <v>4977</v>
      </c>
      <c r="I177" s="8" t="s">
        <v>4978</v>
      </c>
      <c r="J177" s="8" t="s">
        <v>323</v>
      </c>
      <c r="K177" s="8" t="s">
        <v>4979</v>
      </c>
      <c r="L177" s="8" t="s">
        <v>17</v>
      </c>
      <c r="M177" s="8" t="s">
        <v>17</v>
      </c>
      <c r="N177" s="8"/>
    </row>
    <row r="178" spans="1:14" s="73" customFormat="1" ht="335.6">
      <c r="A178" s="75">
        <v>177</v>
      </c>
      <c r="B178" s="74" t="s">
        <v>961</v>
      </c>
      <c r="C178" s="75" t="s">
        <v>987</v>
      </c>
      <c r="D178" s="8" t="s">
        <v>977</v>
      </c>
      <c r="E178" s="8" t="s">
        <v>970</v>
      </c>
      <c r="F178" s="8" t="s">
        <v>29</v>
      </c>
      <c r="G178" s="8" t="s">
        <v>4980</v>
      </c>
      <c r="H178" s="8" t="s">
        <v>4110</v>
      </c>
      <c r="I178" s="8" t="s">
        <v>4981</v>
      </c>
      <c r="J178" s="8" t="s">
        <v>17</v>
      </c>
      <c r="K178" s="8" t="s">
        <v>991</v>
      </c>
      <c r="L178" s="8" t="s">
        <v>4982</v>
      </c>
      <c r="M178" s="8" t="s">
        <v>4983</v>
      </c>
      <c r="N178" s="8"/>
    </row>
    <row r="179" spans="1:14" s="73" customFormat="1" ht="409.6">
      <c r="A179" s="75">
        <v>178</v>
      </c>
      <c r="B179" s="74" t="s">
        <v>961</v>
      </c>
      <c r="C179" s="75" t="s">
        <v>968</v>
      </c>
      <c r="D179" s="8" t="s">
        <v>969</v>
      </c>
      <c r="E179" s="8" t="s">
        <v>970</v>
      </c>
      <c r="F179" s="8" t="s">
        <v>29</v>
      </c>
      <c r="G179" s="8" t="s">
        <v>4984</v>
      </c>
      <c r="H179" s="8" t="s">
        <v>4222</v>
      </c>
      <c r="I179" s="8" t="s">
        <v>4985</v>
      </c>
      <c r="J179" s="8" t="s">
        <v>17</v>
      </c>
      <c r="K179" s="8" t="s">
        <v>4986</v>
      </c>
      <c r="L179" s="8" t="s">
        <v>4987</v>
      </c>
      <c r="M179" s="8" t="s">
        <v>4988</v>
      </c>
      <c r="N179" s="8"/>
    </row>
    <row r="180" spans="1:14" s="73" customFormat="1" ht="409.6">
      <c r="A180" s="75">
        <v>179</v>
      </c>
      <c r="B180" s="74" t="s">
        <v>1189</v>
      </c>
      <c r="C180" s="75" t="s">
        <v>116</v>
      </c>
      <c r="D180" s="8" t="s">
        <v>4989</v>
      </c>
      <c r="E180" s="8" t="s">
        <v>4990</v>
      </c>
      <c r="F180" s="8" t="s">
        <v>29</v>
      </c>
      <c r="G180" s="8" t="s">
        <v>17</v>
      </c>
      <c r="H180" s="8" t="s">
        <v>4991</v>
      </c>
      <c r="I180" s="8" t="s">
        <v>4992</v>
      </c>
      <c r="J180" s="8" t="s">
        <v>493</v>
      </c>
      <c r="K180" s="8" t="s">
        <v>4993</v>
      </c>
      <c r="L180" s="8" t="s">
        <v>4994</v>
      </c>
      <c r="M180" s="8" t="s">
        <v>4995</v>
      </c>
      <c r="N180" s="8"/>
    </row>
    <row r="181" spans="1:14" s="73" customFormat="1" ht="409.6">
      <c r="A181" s="75">
        <v>180</v>
      </c>
      <c r="B181" s="74" t="s">
        <v>13</v>
      </c>
      <c r="C181" s="75" t="s">
        <v>817</v>
      </c>
      <c r="D181" s="8" t="s">
        <v>4996</v>
      </c>
      <c r="E181" s="8" t="s">
        <v>4997</v>
      </c>
      <c r="F181" s="8" t="s">
        <v>29</v>
      </c>
      <c r="G181" s="8" t="s">
        <v>17</v>
      </c>
      <c r="H181" s="8" t="s">
        <v>4998</v>
      </c>
      <c r="I181" s="8" t="s">
        <v>4999</v>
      </c>
      <c r="J181" s="8" t="s">
        <v>17</v>
      </c>
      <c r="K181" s="8" t="s">
        <v>5000</v>
      </c>
      <c r="L181" s="8" t="s">
        <v>17</v>
      </c>
      <c r="M181" s="8" t="s">
        <v>17</v>
      </c>
      <c r="N181" s="8"/>
    </row>
    <row r="182" spans="1:14" s="73" customFormat="1" ht="409.6">
      <c r="A182" s="75">
        <v>181</v>
      </c>
      <c r="B182" s="74" t="s">
        <v>589</v>
      </c>
      <c r="C182" s="75" t="s">
        <v>952</v>
      </c>
      <c r="D182" s="8" t="s">
        <v>36</v>
      </c>
      <c r="E182" s="8" t="s">
        <v>17</v>
      </c>
      <c r="F182" s="8" t="s">
        <v>720</v>
      </c>
      <c r="G182" s="8" t="s">
        <v>17</v>
      </c>
      <c r="H182" s="8" t="s">
        <v>5001</v>
      </c>
      <c r="I182" s="8" t="s">
        <v>4570</v>
      </c>
      <c r="J182" s="8" t="s">
        <v>209</v>
      </c>
      <c r="K182" s="8" t="s">
        <v>5002</v>
      </c>
      <c r="L182" s="8" t="s">
        <v>17</v>
      </c>
      <c r="M182" s="8" t="s">
        <v>17</v>
      </c>
      <c r="N182" s="8"/>
    </row>
    <row r="183" spans="1:14" s="73" customFormat="1" ht="372.9">
      <c r="A183" s="75">
        <v>182</v>
      </c>
      <c r="B183" s="74" t="s">
        <v>954</v>
      </c>
      <c r="C183" s="75" t="s">
        <v>74</v>
      </c>
      <c r="D183" s="8" t="s">
        <v>36</v>
      </c>
      <c r="E183" s="8" t="s">
        <v>60</v>
      </c>
      <c r="F183" s="8" t="s">
        <v>17</v>
      </c>
      <c r="G183" s="8" t="s">
        <v>5003</v>
      </c>
      <c r="H183" s="8" t="s">
        <v>5004</v>
      </c>
      <c r="I183" s="8" t="s">
        <v>5005</v>
      </c>
      <c r="J183" s="8" t="s">
        <v>17</v>
      </c>
      <c r="K183" s="8" t="s">
        <v>5006</v>
      </c>
      <c r="L183" s="8" t="s">
        <v>17</v>
      </c>
      <c r="M183" s="8" t="s">
        <v>17</v>
      </c>
      <c r="N183" s="8"/>
    </row>
    <row r="184" spans="1:14" s="73" customFormat="1" ht="409.6">
      <c r="A184" s="75">
        <v>183</v>
      </c>
      <c r="B184" s="74" t="s">
        <v>935</v>
      </c>
      <c r="C184" s="75" t="s">
        <v>74</v>
      </c>
      <c r="D184" s="8" t="s">
        <v>5007</v>
      </c>
      <c r="E184" s="8" t="s">
        <v>5008</v>
      </c>
      <c r="F184" s="8" t="s">
        <v>29</v>
      </c>
      <c r="G184" s="8" t="s">
        <v>5009</v>
      </c>
      <c r="H184" s="8" t="s">
        <v>4447</v>
      </c>
      <c r="I184" s="8" t="s">
        <v>5010</v>
      </c>
      <c r="J184" s="8" t="s">
        <v>2077</v>
      </c>
      <c r="K184" s="8" t="s">
        <v>5011</v>
      </c>
      <c r="L184" s="8" t="s">
        <v>5012</v>
      </c>
      <c r="M184" s="8" t="s">
        <v>5013</v>
      </c>
      <c r="N184" s="8"/>
    </row>
    <row r="185" spans="1:14" s="73" customFormat="1" ht="409.6">
      <c r="A185" s="75">
        <v>184</v>
      </c>
      <c r="B185" s="74" t="s">
        <v>961</v>
      </c>
      <c r="C185" s="75" t="s">
        <v>390</v>
      </c>
      <c r="D185" s="8" t="s">
        <v>1205</v>
      </c>
      <c r="E185" s="8" t="s">
        <v>978</v>
      </c>
      <c r="F185" s="8" t="s">
        <v>29</v>
      </c>
      <c r="G185" s="8" t="s">
        <v>5014</v>
      </c>
      <c r="H185" s="8" t="s">
        <v>5015</v>
      </c>
      <c r="I185" s="8" t="s">
        <v>4981</v>
      </c>
      <c r="J185" s="8" t="s">
        <v>17</v>
      </c>
      <c r="K185" s="8" t="s">
        <v>5016</v>
      </c>
      <c r="L185" s="8" t="s">
        <v>17</v>
      </c>
      <c r="M185" s="8" t="s">
        <v>5017</v>
      </c>
      <c r="N185" s="8" t="s">
        <v>5018</v>
      </c>
    </row>
    <row r="186" spans="1:14" s="73" customFormat="1" ht="409.6">
      <c r="A186" s="75">
        <v>185</v>
      </c>
      <c r="B186" s="74" t="s">
        <v>50</v>
      </c>
      <c r="C186" s="75" t="s">
        <v>1167</v>
      </c>
      <c r="D186" s="8" t="s">
        <v>5019</v>
      </c>
      <c r="E186" s="8" t="s">
        <v>5020</v>
      </c>
      <c r="F186" s="8" t="s">
        <v>29</v>
      </c>
      <c r="G186" s="8" t="s">
        <v>17</v>
      </c>
      <c r="H186" s="8" t="s">
        <v>5021</v>
      </c>
      <c r="I186" s="8" t="s">
        <v>5022</v>
      </c>
      <c r="J186" s="8" t="s">
        <v>174</v>
      </c>
      <c r="K186" s="8" t="s">
        <v>5023</v>
      </c>
      <c r="L186" s="8" t="s">
        <v>5024</v>
      </c>
      <c r="M186" s="8" t="s">
        <v>5025</v>
      </c>
      <c r="N186" s="8" t="s">
        <v>5026</v>
      </c>
    </row>
    <row r="187" spans="1:14" s="73" customFormat="1" ht="409.6">
      <c r="A187" s="75">
        <v>186</v>
      </c>
      <c r="B187" s="74" t="s">
        <v>13</v>
      </c>
      <c r="C187" s="75" t="s">
        <v>820</v>
      </c>
      <c r="D187" s="8" t="s">
        <v>5027</v>
      </c>
      <c r="E187" s="8" t="s">
        <v>781</v>
      </c>
      <c r="F187" s="8" t="s">
        <v>29</v>
      </c>
      <c r="G187" s="8" t="s">
        <v>17</v>
      </c>
      <c r="H187" s="8" t="s">
        <v>5028</v>
      </c>
      <c r="I187" s="8" t="s">
        <v>5029</v>
      </c>
      <c r="J187" s="8" t="s">
        <v>17</v>
      </c>
      <c r="K187" s="8" t="s">
        <v>5030</v>
      </c>
      <c r="L187" s="8" t="s">
        <v>17</v>
      </c>
      <c r="M187" s="8" t="s">
        <v>17</v>
      </c>
      <c r="N187" s="8"/>
    </row>
    <row r="188" spans="1:14" s="73" customFormat="1" ht="335.6">
      <c r="A188" s="75">
        <v>187</v>
      </c>
      <c r="B188" s="74" t="s">
        <v>13</v>
      </c>
      <c r="C188" s="75" t="s">
        <v>828</v>
      </c>
      <c r="D188" s="8" t="s">
        <v>791</v>
      </c>
      <c r="E188" s="8" t="s">
        <v>829</v>
      </c>
      <c r="F188" s="8" t="s">
        <v>29</v>
      </c>
      <c r="G188" s="8" t="s">
        <v>17</v>
      </c>
      <c r="H188" s="8" t="s">
        <v>5031</v>
      </c>
      <c r="I188" s="8" t="s">
        <v>4148</v>
      </c>
      <c r="J188" s="8" t="s">
        <v>323</v>
      </c>
      <c r="K188" s="8" t="s">
        <v>5032</v>
      </c>
      <c r="L188" s="8" t="s">
        <v>17</v>
      </c>
      <c r="M188" s="8" t="s">
        <v>17</v>
      </c>
      <c r="N188" s="8"/>
    </row>
    <row r="189" spans="1:14" s="73" customFormat="1" ht="298.3">
      <c r="A189" s="75">
        <v>188</v>
      </c>
      <c r="B189" s="74" t="s">
        <v>530</v>
      </c>
      <c r="C189" s="75" t="s">
        <v>390</v>
      </c>
      <c r="D189" s="8" t="s">
        <v>867</v>
      </c>
      <c r="E189" s="8" t="s">
        <v>60</v>
      </c>
      <c r="F189" s="8" t="s">
        <v>88</v>
      </c>
      <c r="G189" s="8" t="s">
        <v>5033</v>
      </c>
      <c r="H189" s="8" t="s">
        <v>5034</v>
      </c>
      <c r="I189" s="8" t="s">
        <v>5035</v>
      </c>
      <c r="J189" s="8" t="s">
        <v>209</v>
      </c>
      <c r="K189" s="8" t="s">
        <v>5036</v>
      </c>
      <c r="L189" s="8" t="s">
        <v>17</v>
      </c>
      <c r="M189" s="8" t="s">
        <v>5037</v>
      </c>
      <c r="N189" s="8"/>
    </row>
    <row r="190" spans="1:14" s="73" customFormat="1" ht="409.6">
      <c r="A190" s="75">
        <v>189</v>
      </c>
      <c r="B190" s="74" t="s">
        <v>961</v>
      </c>
      <c r="C190" s="75" t="s">
        <v>1011</v>
      </c>
      <c r="D190" s="8" t="s">
        <v>1012</v>
      </c>
      <c r="E190" s="8" t="s">
        <v>978</v>
      </c>
      <c r="F190" s="8" t="s">
        <v>29</v>
      </c>
      <c r="G190" s="8" t="s">
        <v>17</v>
      </c>
      <c r="H190" s="8" t="s">
        <v>5038</v>
      </c>
      <c r="I190" s="8" t="s">
        <v>5039</v>
      </c>
      <c r="J190" s="8" t="s">
        <v>17</v>
      </c>
      <c r="K190" s="8" t="s">
        <v>5040</v>
      </c>
      <c r="L190" s="8" t="s">
        <v>17</v>
      </c>
      <c r="M190" s="8" t="s">
        <v>5041</v>
      </c>
      <c r="N190" s="8"/>
    </row>
    <row r="191" spans="1:14" s="73" customFormat="1" ht="409.6">
      <c r="A191" s="75">
        <v>190</v>
      </c>
      <c r="B191" s="74" t="s">
        <v>961</v>
      </c>
      <c r="C191" s="75" t="s">
        <v>976</v>
      </c>
      <c r="D191" s="8" t="s">
        <v>977</v>
      </c>
      <c r="E191" s="8" t="s">
        <v>5042</v>
      </c>
      <c r="F191" s="8" t="s">
        <v>29</v>
      </c>
      <c r="G191" s="8" t="s">
        <v>5043</v>
      </c>
      <c r="H191" s="8" t="s">
        <v>5044</v>
      </c>
      <c r="I191" s="8" t="s">
        <v>4961</v>
      </c>
      <c r="J191" s="8" t="s">
        <v>17</v>
      </c>
      <c r="K191" s="8" t="s">
        <v>5045</v>
      </c>
      <c r="L191" s="8" t="s">
        <v>17</v>
      </c>
      <c r="M191" s="8" t="s">
        <v>5046</v>
      </c>
      <c r="N191" s="8"/>
    </row>
    <row r="192" spans="1:14" s="73" customFormat="1" ht="409.6">
      <c r="A192" s="75">
        <v>191</v>
      </c>
      <c r="B192" s="74" t="s">
        <v>1189</v>
      </c>
      <c r="C192" s="75" t="s">
        <v>1397</v>
      </c>
      <c r="D192" s="8" t="s">
        <v>1339</v>
      </c>
      <c r="E192" s="8" t="s">
        <v>1398</v>
      </c>
      <c r="F192" s="8" t="s">
        <v>29</v>
      </c>
      <c r="G192" s="8" t="s">
        <v>17</v>
      </c>
      <c r="H192" s="8" t="s">
        <v>5047</v>
      </c>
      <c r="I192" s="8" t="s">
        <v>4152</v>
      </c>
      <c r="J192" s="8" t="s">
        <v>161</v>
      </c>
      <c r="K192" s="8" t="s">
        <v>5048</v>
      </c>
      <c r="L192" s="8" t="s">
        <v>5049</v>
      </c>
      <c r="M192" s="8" t="s">
        <v>5050</v>
      </c>
      <c r="N192" s="8" t="s">
        <v>5051</v>
      </c>
    </row>
    <row r="193" spans="1:14" s="73" customFormat="1" ht="409.6">
      <c r="A193" s="75">
        <v>192</v>
      </c>
      <c r="B193" s="74" t="s">
        <v>1189</v>
      </c>
      <c r="C193" s="75" t="s">
        <v>1338</v>
      </c>
      <c r="D193" s="8" t="s">
        <v>1339</v>
      </c>
      <c r="E193" s="8" t="s">
        <v>1340</v>
      </c>
      <c r="F193" s="8" t="s">
        <v>29</v>
      </c>
      <c r="G193" s="8" t="s">
        <v>5052</v>
      </c>
      <c r="H193" s="8" t="s">
        <v>5053</v>
      </c>
      <c r="I193" s="8" t="s">
        <v>5054</v>
      </c>
      <c r="J193" s="8" t="s">
        <v>323</v>
      </c>
      <c r="K193" s="8" t="s">
        <v>17</v>
      </c>
      <c r="L193" s="8" t="s">
        <v>5055</v>
      </c>
      <c r="M193" s="8" t="s">
        <v>5056</v>
      </c>
      <c r="N193" s="8"/>
    </row>
    <row r="194" spans="1:14" s="73" customFormat="1" ht="409.6">
      <c r="A194" s="75">
        <v>193</v>
      </c>
      <c r="B194" s="74" t="s">
        <v>435</v>
      </c>
      <c r="C194" s="75" t="s">
        <v>693</v>
      </c>
      <c r="D194" s="8" t="s">
        <v>52</v>
      </c>
      <c r="E194" s="8" t="s">
        <v>17</v>
      </c>
      <c r="F194" s="8" t="s">
        <v>29</v>
      </c>
      <c r="G194" s="8" t="s">
        <v>5057</v>
      </c>
      <c r="H194" s="8" t="s">
        <v>5058</v>
      </c>
      <c r="I194" s="8" t="s">
        <v>5059</v>
      </c>
      <c r="J194" s="8" t="s">
        <v>17</v>
      </c>
      <c r="K194" s="8" t="s">
        <v>17</v>
      </c>
      <c r="L194" s="8" t="s">
        <v>5060</v>
      </c>
      <c r="M194" s="8" t="s">
        <v>5061</v>
      </c>
      <c r="N194" s="81" t="s">
        <v>5062</v>
      </c>
    </row>
    <row r="195" spans="1:14" s="73" customFormat="1" ht="409.6">
      <c r="A195" s="75">
        <v>194</v>
      </c>
      <c r="B195" s="74" t="s">
        <v>435</v>
      </c>
      <c r="C195" s="75" t="s">
        <v>563</v>
      </c>
      <c r="D195" s="8" t="s">
        <v>564</v>
      </c>
      <c r="E195" s="8" t="s">
        <v>565</v>
      </c>
      <c r="F195" s="8" t="s">
        <v>29</v>
      </c>
      <c r="G195" s="8" t="s">
        <v>5063</v>
      </c>
      <c r="H195" s="8" t="s">
        <v>5064</v>
      </c>
      <c r="I195" s="8" t="s">
        <v>5065</v>
      </c>
      <c r="J195" s="8" t="s">
        <v>5066</v>
      </c>
      <c r="K195" s="8" t="s">
        <v>5067</v>
      </c>
      <c r="L195" s="8" t="s">
        <v>5068</v>
      </c>
      <c r="M195" s="8" t="s">
        <v>5069</v>
      </c>
      <c r="N195" s="8"/>
    </row>
    <row r="196" spans="1:14" s="73" customFormat="1" ht="409.6">
      <c r="A196" s="75">
        <v>195</v>
      </c>
      <c r="B196" s="74" t="s">
        <v>589</v>
      </c>
      <c r="C196" s="75" t="s">
        <v>785</v>
      </c>
      <c r="D196" s="8" t="s">
        <v>36</v>
      </c>
      <c r="E196" s="8" t="s">
        <v>17</v>
      </c>
      <c r="F196" s="8" t="s">
        <v>720</v>
      </c>
      <c r="G196" s="8" t="s">
        <v>17</v>
      </c>
      <c r="H196" s="8" t="s">
        <v>5070</v>
      </c>
      <c r="I196" s="8" t="s">
        <v>17</v>
      </c>
      <c r="J196" s="8" t="s">
        <v>209</v>
      </c>
      <c r="K196" s="8" t="s">
        <v>5071</v>
      </c>
      <c r="L196" s="8" t="s">
        <v>5072</v>
      </c>
      <c r="M196" s="8" t="s">
        <v>17</v>
      </c>
      <c r="N196" s="8"/>
    </row>
    <row r="197" spans="1:14" s="73" customFormat="1" ht="298.3">
      <c r="A197" s="75">
        <v>196</v>
      </c>
      <c r="B197" s="74" t="s">
        <v>1226</v>
      </c>
      <c r="C197" s="75" t="s">
        <v>5073</v>
      </c>
      <c r="D197" s="8" t="s">
        <v>5074</v>
      </c>
      <c r="E197" s="8" t="s">
        <v>1229</v>
      </c>
      <c r="F197" s="8" t="s">
        <v>29</v>
      </c>
      <c r="G197" s="8" t="s">
        <v>1231</v>
      </c>
      <c r="H197" s="8" t="s">
        <v>5075</v>
      </c>
      <c r="I197" s="8" t="s">
        <v>5076</v>
      </c>
      <c r="J197" s="8" t="s">
        <v>5077</v>
      </c>
      <c r="K197" s="8" t="s">
        <v>5078</v>
      </c>
      <c r="L197" s="8" t="s">
        <v>17</v>
      </c>
      <c r="M197" s="8" t="s">
        <v>5079</v>
      </c>
      <c r="N197" s="8"/>
    </row>
    <row r="198" spans="1:14" s="73" customFormat="1" ht="409.6">
      <c r="A198" s="75">
        <v>197</v>
      </c>
      <c r="B198" s="74" t="s">
        <v>455</v>
      </c>
      <c r="C198" s="75" t="s">
        <v>554</v>
      </c>
      <c r="D198" s="8" t="s">
        <v>5080</v>
      </c>
      <c r="E198" s="8" t="s">
        <v>5081</v>
      </c>
      <c r="F198" s="8" t="s">
        <v>29</v>
      </c>
      <c r="G198" s="8" t="s">
        <v>5082</v>
      </c>
      <c r="H198" s="8" t="s">
        <v>5083</v>
      </c>
      <c r="I198" s="8" t="s">
        <v>5084</v>
      </c>
      <c r="J198" s="8" t="s">
        <v>63</v>
      </c>
      <c r="K198" s="8" t="s">
        <v>5085</v>
      </c>
      <c r="L198" s="8" t="s">
        <v>5086</v>
      </c>
      <c r="M198" s="8" t="s">
        <v>5087</v>
      </c>
      <c r="N198" s="8" t="s">
        <v>5088</v>
      </c>
    </row>
    <row r="199" spans="1:14" s="73" customFormat="1" ht="223.75">
      <c r="A199" s="75">
        <v>198</v>
      </c>
      <c r="B199" s="74" t="s">
        <v>287</v>
      </c>
      <c r="C199" s="75" t="s">
        <v>1119</v>
      </c>
      <c r="D199" s="8" t="s">
        <v>5089</v>
      </c>
      <c r="E199" s="8" t="s">
        <v>5090</v>
      </c>
      <c r="F199" s="8" t="s">
        <v>29</v>
      </c>
      <c r="G199" s="8" t="s">
        <v>5091</v>
      </c>
      <c r="H199" s="8" t="s">
        <v>5092</v>
      </c>
      <c r="I199" s="8" t="s">
        <v>5093</v>
      </c>
      <c r="J199" s="8" t="s">
        <v>17</v>
      </c>
      <c r="K199" s="8" t="s">
        <v>17</v>
      </c>
      <c r="L199" s="8" t="s">
        <v>3939</v>
      </c>
      <c r="M199" s="8" t="s">
        <v>1124</v>
      </c>
      <c r="N199" s="8" t="s">
        <v>5094</v>
      </c>
    </row>
    <row r="200" spans="1:14" s="73" customFormat="1" ht="372.9">
      <c r="A200" s="75">
        <v>199</v>
      </c>
      <c r="B200" s="74" t="s">
        <v>589</v>
      </c>
      <c r="C200" s="75" t="s">
        <v>833</v>
      </c>
      <c r="D200" s="8" t="s">
        <v>36</v>
      </c>
      <c r="E200" s="8" t="s">
        <v>60</v>
      </c>
      <c r="F200" s="8" t="s">
        <v>88</v>
      </c>
      <c r="G200" s="8" t="s">
        <v>17</v>
      </c>
      <c r="H200" s="8" t="s">
        <v>5095</v>
      </c>
      <c r="I200" s="8" t="s">
        <v>4148</v>
      </c>
      <c r="J200" s="8" t="s">
        <v>209</v>
      </c>
      <c r="K200" s="8" t="s">
        <v>5096</v>
      </c>
      <c r="L200" s="8" t="s">
        <v>5097</v>
      </c>
      <c r="M200" s="8" t="s">
        <v>17</v>
      </c>
      <c r="N200" s="8"/>
    </row>
    <row r="201" spans="1:14" s="73" customFormat="1" ht="335.6">
      <c r="A201" s="75">
        <v>200</v>
      </c>
      <c r="B201" s="74" t="s">
        <v>589</v>
      </c>
      <c r="C201" s="75" t="s">
        <v>836</v>
      </c>
      <c r="D201" s="8" t="s">
        <v>36</v>
      </c>
      <c r="E201" s="8" t="s">
        <v>60</v>
      </c>
      <c r="F201" s="8" t="s">
        <v>88</v>
      </c>
      <c r="G201" s="8" t="s">
        <v>837</v>
      </c>
      <c r="H201" s="8" t="s">
        <v>5098</v>
      </c>
      <c r="I201" s="8" t="s">
        <v>17</v>
      </c>
      <c r="J201" s="8" t="s">
        <v>209</v>
      </c>
      <c r="K201" s="8" t="s">
        <v>5099</v>
      </c>
      <c r="L201" s="8" t="s">
        <v>17</v>
      </c>
      <c r="M201" s="8" t="s">
        <v>17</v>
      </c>
      <c r="N201" s="8"/>
    </row>
    <row r="202" spans="1:14" s="73" customFormat="1" ht="409.6">
      <c r="A202" s="75">
        <v>201</v>
      </c>
      <c r="B202" s="74" t="s">
        <v>1189</v>
      </c>
      <c r="C202" s="75" t="s">
        <v>1450</v>
      </c>
      <c r="D202" s="8" t="s">
        <v>1339</v>
      </c>
      <c r="E202" s="8" t="s">
        <v>1398</v>
      </c>
      <c r="F202" s="8" t="s">
        <v>29</v>
      </c>
      <c r="G202" s="8" t="s">
        <v>5100</v>
      </c>
      <c r="H202" s="8" t="s">
        <v>5101</v>
      </c>
      <c r="I202" s="8" t="s">
        <v>17</v>
      </c>
      <c r="J202" s="8" t="s">
        <v>323</v>
      </c>
      <c r="K202" s="8" t="s">
        <v>5102</v>
      </c>
      <c r="L202" s="8" t="s">
        <v>5103</v>
      </c>
      <c r="M202" s="8" t="s">
        <v>5104</v>
      </c>
      <c r="N202" s="8" t="s">
        <v>1456</v>
      </c>
    </row>
    <row r="203" spans="1:14" s="73" customFormat="1" ht="409.6">
      <c r="A203" s="75">
        <v>202</v>
      </c>
      <c r="B203" s="74" t="s">
        <v>589</v>
      </c>
      <c r="C203" s="75" t="s">
        <v>1089</v>
      </c>
      <c r="D203" s="8" t="s">
        <v>36</v>
      </c>
      <c r="E203" s="8" t="s">
        <v>60</v>
      </c>
      <c r="F203" s="8" t="s">
        <v>720</v>
      </c>
      <c r="G203" s="8" t="s">
        <v>17</v>
      </c>
      <c r="H203" s="8" t="s">
        <v>5105</v>
      </c>
      <c r="I203" s="8" t="s">
        <v>17</v>
      </c>
      <c r="J203" s="8" t="s">
        <v>2077</v>
      </c>
      <c r="K203" s="8" t="s">
        <v>5106</v>
      </c>
      <c r="L203" s="8" t="s">
        <v>17</v>
      </c>
      <c r="M203" s="8" t="s">
        <v>17</v>
      </c>
      <c r="N203" s="8" t="s">
        <v>5107</v>
      </c>
    </row>
    <row r="204" spans="1:14" s="73" customFormat="1" ht="409.6">
      <c r="A204" s="75">
        <v>203</v>
      </c>
      <c r="B204" s="74" t="s">
        <v>50</v>
      </c>
      <c r="C204" s="75" t="s">
        <v>824</v>
      </c>
      <c r="D204" s="8" t="s">
        <v>5108</v>
      </c>
      <c r="E204" s="8" t="s">
        <v>5109</v>
      </c>
      <c r="F204" s="8" t="s">
        <v>29</v>
      </c>
      <c r="G204" s="8" t="s">
        <v>5110</v>
      </c>
      <c r="H204" s="8" t="s">
        <v>5111</v>
      </c>
      <c r="I204" s="8" t="s">
        <v>5112</v>
      </c>
      <c r="J204" s="8" t="s">
        <v>174</v>
      </c>
      <c r="K204" s="8" t="s">
        <v>5113</v>
      </c>
      <c r="L204" s="8" t="s">
        <v>17</v>
      </c>
      <c r="M204" s="8" t="s">
        <v>17</v>
      </c>
      <c r="N204" s="8"/>
    </row>
    <row r="205" spans="1:14" s="73" customFormat="1" ht="372.9">
      <c r="A205" s="75">
        <v>204</v>
      </c>
      <c r="B205" s="74" t="s">
        <v>58</v>
      </c>
      <c r="C205" s="84" t="s">
        <v>5114</v>
      </c>
      <c r="D205" s="85" t="s">
        <v>36</v>
      </c>
      <c r="E205" s="8" t="s">
        <v>60</v>
      </c>
      <c r="F205" s="85" t="s">
        <v>17</v>
      </c>
      <c r="G205" s="85" t="s">
        <v>17</v>
      </c>
      <c r="H205" s="85" t="s">
        <v>5115</v>
      </c>
      <c r="I205" s="85" t="s">
        <v>17</v>
      </c>
      <c r="J205" s="85" t="s">
        <v>17</v>
      </c>
      <c r="K205" s="8" t="s">
        <v>5116</v>
      </c>
      <c r="L205" s="85" t="s">
        <v>17</v>
      </c>
      <c r="M205" s="85" t="s">
        <v>17</v>
      </c>
      <c r="N205" s="86" t="s">
        <v>5117</v>
      </c>
    </row>
    <row r="206" spans="1:14" s="73" customFormat="1" ht="409.6">
      <c r="A206" s="75">
        <v>205</v>
      </c>
      <c r="B206" s="74" t="s">
        <v>789</v>
      </c>
      <c r="C206" s="75" t="s">
        <v>1083</v>
      </c>
      <c r="D206" s="8" t="s">
        <v>1084</v>
      </c>
      <c r="E206" s="8" t="s">
        <v>1085</v>
      </c>
      <c r="F206" s="8" t="s">
        <v>720</v>
      </c>
      <c r="G206" s="8" t="s">
        <v>5118</v>
      </c>
      <c r="H206" s="8" t="s">
        <v>5119</v>
      </c>
      <c r="I206" s="8" t="s">
        <v>4148</v>
      </c>
      <c r="J206" s="8" t="s">
        <v>675</v>
      </c>
      <c r="K206" s="8" t="s">
        <v>1088</v>
      </c>
      <c r="L206" s="8" t="s">
        <v>5120</v>
      </c>
      <c r="M206" s="8" t="s">
        <v>5121</v>
      </c>
      <c r="N206" s="8" t="s">
        <v>5122</v>
      </c>
    </row>
    <row r="207" spans="1:14" s="73" customFormat="1" ht="223.75">
      <c r="A207" s="75">
        <v>206</v>
      </c>
      <c r="B207" s="74" t="s">
        <v>371</v>
      </c>
      <c r="C207" s="75" t="s">
        <v>390</v>
      </c>
      <c r="D207" s="8" t="s">
        <v>17</v>
      </c>
      <c r="E207" s="8" t="s">
        <v>5123</v>
      </c>
      <c r="F207" s="8" t="s">
        <v>88</v>
      </c>
      <c r="G207" s="8" t="s">
        <v>5124</v>
      </c>
      <c r="H207" s="8" t="s">
        <v>5125</v>
      </c>
      <c r="I207" s="8" t="s">
        <v>4140</v>
      </c>
      <c r="J207" s="8" t="s">
        <v>17</v>
      </c>
      <c r="K207" s="8" t="s">
        <v>5126</v>
      </c>
      <c r="L207" s="8" t="s">
        <v>17</v>
      </c>
      <c r="M207" s="8" t="s">
        <v>17</v>
      </c>
      <c r="N207" s="8" t="s">
        <v>5127</v>
      </c>
    </row>
    <row r="208" spans="1:14" s="73" customFormat="1" ht="38.6">
      <c r="A208" s="75">
        <v>207</v>
      </c>
      <c r="B208" s="74" t="s">
        <v>50</v>
      </c>
      <c r="C208" s="75" t="s">
        <v>864</v>
      </c>
      <c r="D208" s="8" t="s">
        <v>865</v>
      </c>
      <c r="E208" s="8" t="s">
        <v>60</v>
      </c>
      <c r="F208" s="8" t="s">
        <v>17</v>
      </c>
      <c r="G208" s="8" t="s">
        <v>17</v>
      </c>
      <c r="H208" s="8" t="s">
        <v>4300</v>
      </c>
      <c r="I208" s="8" t="s">
        <v>4570</v>
      </c>
      <c r="J208" s="8" t="s">
        <v>17</v>
      </c>
      <c r="K208" s="8" t="s">
        <v>17</v>
      </c>
      <c r="L208" s="8" t="s">
        <v>17</v>
      </c>
      <c r="M208" s="8" t="s">
        <v>17</v>
      </c>
      <c r="N208" s="8" t="s">
        <v>5128</v>
      </c>
    </row>
    <row r="209" spans="1:14" s="73" customFormat="1" ht="409.6">
      <c r="A209" s="75">
        <v>208</v>
      </c>
      <c r="B209" s="74" t="s">
        <v>333</v>
      </c>
      <c r="C209" s="75" t="s">
        <v>1407</v>
      </c>
      <c r="D209" s="8" t="s">
        <v>1408</v>
      </c>
      <c r="E209" s="8" t="s">
        <v>17</v>
      </c>
      <c r="F209" s="8" t="s">
        <v>29</v>
      </c>
      <c r="G209" s="8" t="s">
        <v>17</v>
      </c>
      <c r="H209" s="8" t="s">
        <v>5129</v>
      </c>
      <c r="I209" s="8" t="s">
        <v>5130</v>
      </c>
      <c r="J209" s="8" t="s">
        <v>5131</v>
      </c>
      <c r="K209" s="8" t="s">
        <v>5132</v>
      </c>
      <c r="L209" s="8" t="s">
        <v>5133</v>
      </c>
      <c r="M209" s="8" t="s">
        <v>17</v>
      </c>
      <c r="N209" s="8"/>
    </row>
    <row r="210" spans="1:14" s="73" customFormat="1" ht="409.6">
      <c r="A210" s="75">
        <v>209</v>
      </c>
      <c r="B210" s="74" t="s">
        <v>789</v>
      </c>
      <c r="C210" s="75" t="s">
        <v>890</v>
      </c>
      <c r="D210" s="8" t="s">
        <v>891</v>
      </c>
      <c r="E210" s="8" t="s">
        <v>5134</v>
      </c>
      <c r="F210" s="8" t="s">
        <v>720</v>
      </c>
      <c r="G210" s="8" t="s">
        <v>5135</v>
      </c>
      <c r="H210" s="8" t="s">
        <v>5136</v>
      </c>
      <c r="I210" s="8" t="s">
        <v>5137</v>
      </c>
      <c r="J210" s="8" t="s">
        <v>796</v>
      </c>
      <c r="K210" s="8" t="s">
        <v>5138</v>
      </c>
      <c r="L210" s="8" t="s">
        <v>17</v>
      </c>
      <c r="M210" s="8" t="s">
        <v>5139</v>
      </c>
      <c r="N210" s="8"/>
    </row>
    <row r="211" spans="1:14" s="73" customFormat="1" ht="409.6">
      <c r="A211" s="75">
        <v>210</v>
      </c>
      <c r="B211" s="74" t="s">
        <v>789</v>
      </c>
      <c r="C211" s="75" t="s">
        <v>59</v>
      </c>
      <c r="D211" s="8" t="s">
        <v>1105</v>
      </c>
      <c r="E211" s="8" t="s">
        <v>1106</v>
      </c>
      <c r="F211" s="8" t="s">
        <v>88</v>
      </c>
      <c r="G211" s="8" t="s">
        <v>5140</v>
      </c>
      <c r="H211" s="8" t="s">
        <v>5141</v>
      </c>
      <c r="I211" s="8" t="s">
        <v>5142</v>
      </c>
      <c r="J211" s="8" t="s">
        <v>512</v>
      </c>
      <c r="K211" s="8" t="s">
        <v>1110</v>
      </c>
      <c r="L211" s="8" t="s">
        <v>17</v>
      </c>
      <c r="M211" s="8" t="s">
        <v>5139</v>
      </c>
      <c r="N211" s="8"/>
    </row>
    <row r="212" spans="1:14" s="73" customFormat="1" ht="409.6">
      <c r="A212" s="75">
        <v>211</v>
      </c>
      <c r="B212" s="74" t="s">
        <v>455</v>
      </c>
      <c r="C212" s="75" t="s">
        <v>727</v>
      </c>
      <c r="D212" s="8" t="s">
        <v>5143</v>
      </c>
      <c r="E212" s="8" t="s">
        <v>729</v>
      </c>
      <c r="F212" s="8" t="s">
        <v>29</v>
      </c>
      <c r="G212" s="8" t="s">
        <v>5144</v>
      </c>
      <c r="H212" s="8" t="s">
        <v>5145</v>
      </c>
      <c r="I212" s="8" t="s">
        <v>5146</v>
      </c>
      <c r="J212" s="8" t="s">
        <v>161</v>
      </c>
      <c r="K212" s="8" t="s">
        <v>5147</v>
      </c>
      <c r="L212" s="8" t="s">
        <v>5148</v>
      </c>
      <c r="M212" s="8" t="s">
        <v>734</v>
      </c>
      <c r="N212" s="8"/>
    </row>
    <row r="213" spans="1:14" s="73" customFormat="1" ht="372.9">
      <c r="A213" s="75">
        <v>212</v>
      </c>
      <c r="B213" s="74" t="s">
        <v>1015</v>
      </c>
      <c r="C213" s="75" t="s">
        <v>1527</v>
      </c>
      <c r="D213" s="8" t="s">
        <v>1528</v>
      </c>
      <c r="E213" s="8" t="s">
        <v>1529</v>
      </c>
      <c r="F213" s="8" t="s">
        <v>29</v>
      </c>
      <c r="G213" s="8" t="s">
        <v>5149</v>
      </c>
      <c r="H213" s="8" t="s">
        <v>5150</v>
      </c>
      <c r="I213" s="8" t="s">
        <v>4148</v>
      </c>
      <c r="J213" s="8" t="s">
        <v>209</v>
      </c>
      <c r="K213" s="8" t="s">
        <v>5151</v>
      </c>
      <c r="L213" s="8" t="s">
        <v>5152</v>
      </c>
      <c r="M213" s="8" t="s">
        <v>5153</v>
      </c>
      <c r="N213" s="8"/>
    </row>
    <row r="214" spans="1:14" s="73" customFormat="1" ht="409.6">
      <c r="A214" s="75">
        <v>213</v>
      </c>
      <c r="B214" s="74" t="s">
        <v>455</v>
      </c>
      <c r="C214" s="75" t="s">
        <v>686</v>
      </c>
      <c r="D214" s="8" t="s">
        <v>5154</v>
      </c>
      <c r="E214" s="8" t="s">
        <v>5155</v>
      </c>
      <c r="F214" s="8" t="s">
        <v>29</v>
      </c>
      <c r="G214" s="8" t="s">
        <v>5156</v>
      </c>
      <c r="H214" s="8" t="s">
        <v>5157</v>
      </c>
      <c r="I214" s="8" t="s">
        <v>4276</v>
      </c>
      <c r="J214" s="8" t="s">
        <v>56</v>
      </c>
      <c r="K214" s="8" t="s">
        <v>5158</v>
      </c>
      <c r="L214" s="8" t="s">
        <v>5159</v>
      </c>
      <c r="M214" s="8" t="s">
        <v>692</v>
      </c>
      <c r="N214" s="8"/>
    </row>
    <row r="215" spans="1:14" s="73" customFormat="1" ht="409.6">
      <c r="A215" s="75">
        <v>214</v>
      </c>
      <c r="B215" s="74" t="s">
        <v>1390</v>
      </c>
      <c r="C215" s="75" t="s">
        <v>5160</v>
      </c>
      <c r="D215" s="8" t="s">
        <v>5161</v>
      </c>
      <c r="E215" s="8" t="s">
        <v>5162</v>
      </c>
      <c r="F215" s="8" t="s">
        <v>29</v>
      </c>
      <c r="G215" s="8" t="s">
        <v>5163</v>
      </c>
      <c r="H215" s="8" t="s">
        <v>5164</v>
      </c>
      <c r="I215" s="8" t="s">
        <v>4841</v>
      </c>
      <c r="J215" s="8" t="s">
        <v>323</v>
      </c>
      <c r="K215" s="8" t="s">
        <v>17</v>
      </c>
      <c r="L215" s="8" t="s">
        <v>17</v>
      </c>
      <c r="M215" s="8" t="s">
        <v>5165</v>
      </c>
      <c r="N215" s="8" t="s">
        <v>5166</v>
      </c>
    </row>
    <row r="216" spans="1:14" s="73" customFormat="1" ht="186.45">
      <c r="A216" s="75">
        <v>215</v>
      </c>
      <c r="B216" s="74" t="s">
        <v>455</v>
      </c>
      <c r="C216" s="75" t="s">
        <v>456</v>
      </c>
      <c r="D216" s="8" t="s">
        <v>5167</v>
      </c>
      <c r="E216" s="8" t="s">
        <v>458</v>
      </c>
      <c r="F216" s="8" t="s">
        <v>17</v>
      </c>
      <c r="G216" s="8" t="s">
        <v>5168</v>
      </c>
      <c r="H216" s="8" t="s">
        <v>5169</v>
      </c>
      <c r="I216" s="8" t="s">
        <v>5170</v>
      </c>
      <c r="J216" s="8" t="s">
        <v>209</v>
      </c>
      <c r="K216" s="8" t="s">
        <v>5171</v>
      </c>
      <c r="L216" s="8" t="s">
        <v>17</v>
      </c>
      <c r="M216" s="8" t="s">
        <v>462</v>
      </c>
      <c r="N216" s="8"/>
    </row>
    <row r="217" spans="1:14" s="73" customFormat="1" ht="409.6">
      <c r="A217" s="75">
        <v>216</v>
      </c>
      <c r="B217" s="83" t="s">
        <v>333</v>
      </c>
      <c r="C217" s="84" t="s">
        <v>5172</v>
      </c>
      <c r="D217" s="85" t="s">
        <v>75</v>
      </c>
      <c r="E217" s="85" t="s">
        <v>430</v>
      </c>
      <c r="F217" s="85" t="s">
        <v>29</v>
      </c>
      <c r="G217" s="86" t="s">
        <v>5173</v>
      </c>
      <c r="H217" s="85" t="s">
        <v>5174</v>
      </c>
      <c r="I217" s="85" t="s">
        <v>5174</v>
      </c>
      <c r="J217" s="85" t="s">
        <v>625</v>
      </c>
      <c r="K217" s="8" t="s">
        <v>5175</v>
      </c>
      <c r="L217" s="85" t="s">
        <v>5176</v>
      </c>
      <c r="M217" s="85" t="s">
        <v>17</v>
      </c>
      <c r="N217" s="85"/>
    </row>
    <row r="218" spans="1:14" s="73" customFormat="1" ht="74.599999999999994">
      <c r="A218" s="75">
        <v>217</v>
      </c>
      <c r="B218" s="74" t="s">
        <v>50</v>
      </c>
      <c r="C218" s="75" t="s">
        <v>873</v>
      </c>
      <c r="D218" s="8" t="s">
        <v>36</v>
      </c>
      <c r="E218" s="8" t="s">
        <v>5177</v>
      </c>
      <c r="F218" s="8" t="s">
        <v>720</v>
      </c>
      <c r="G218" s="8" t="s">
        <v>17</v>
      </c>
      <c r="H218" s="8" t="s">
        <v>5178</v>
      </c>
      <c r="I218" s="8" t="s">
        <v>4140</v>
      </c>
      <c r="J218" s="8" t="s">
        <v>17</v>
      </c>
      <c r="K218" s="8" t="s">
        <v>17</v>
      </c>
      <c r="L218" s="8" t="s">
        <v>17</v>
      </c>
      <c r="M218" s="8" t="s">
        <v>17</v>
      </c>
      <c r="N218" s="8"/>
    </row>
    <row r="219" spans="1:14" s="73" customFormat="1" ht="149.15">
      <c r="A219" s="75">
        <v>218</v>
      </c>
      <c r="B219" s="74" t="s">
        <v>1617</v>
      </c>
      <c r="C219" s="75" t="s">
        <v>1618</v>
      </c>
      <c r="D219" s="8" t="s">
        <v>17</v>
      </c>
      <c r="E219" s="8" t="s">
        <v>17</v>
      </c>
      <c r="F219" s="8" t="s">
        <v>88</v>
      </c>
      <c r="G219" s="8" t="s">
        <v>5179</v>
      </c>
      <c r="H219" s="81" t="s">
        <v>5180</v>
      </c>
      <c r="I219" s="8" t="s">
        <v>5181</v>
      </c>
      <c r="J219" s="8" t="s">
        <v>17</v>
      </c>
      <c r="K219" s="8" t="s">
        <v>17</v>
      </c>
      <c r="L219" s="8" t="s">
        <v>17</v>
      </c>
      <c r="M219" s="8" t="s">
        <v>5182</v>
      </c>
      <c r="N219" s="8" t="s">
        <v>2386</v>
      </c>
    </row>
    <row r="220" spans="1:14" s="73" customFormat="1" ht="409.6">
      <c r="A220" s="75">
        <v>219</v>
      </c>
      <c r="B220" s="74" t="s">
        <v>333</v>
      </c>
      <c r="C220" s="75" t="s">
        <v>1332</v>
      </c>
      <c r="D220" s="8" t="s">
        <v>5183</v>
      </c>
      <c r="E220" s="8" t="s">
        <v>1334</v>
      </c>
      <c r="F220" s="8" t="s">
        <v>29</v>
      </c>
      <c r="G220" s="8" t="s">
        <v>17</v>
      </c>
      <c r="H220" s="8" t="s">
        <v>5184</v>
      </c>
      <c r="I220" s="8" t="s">
        <v>5185</v>
      </c>
      <c r="J220" s="8" t="s">
        <v>323</v>
      </c>
      <c r="K220" s="8" t="s">
        <v>5186</v>
      </c>
      <c r="L220" s="8" t="s">
        <v>5187</v>
      </c>
      <c r="M220" s="8" t="s">
        <v>17</v>
      </c>
      <c r="N220" s="8"/>
    </row>
    <row r="221" spans="1:14" s="73" customFormat="1" ht="409.6">
      <c r="A221" s="75">
        <v>220</v>
      </c>
      <c r="B221" s="74" t="s">
        <v>789</v>
      </c>
      <c r="C221" s="84" t="s">
        <v>5188</v>
      </c>
      <c r="D221" s="85" t="s">
        <v>5189</v>
      </c>
      <c r="E221" s="86" t="s">
        <v>5190</v>
      </c>
      <c r="F221" s="81" t="s">
        <v>720</v>
      </c>
      <c r="G221" s="86" t="s">
        <v>5191</v>
      </c>
      <c r="H221" s="85" t="s">
        <v>5192</v>
      </c>
      <c r="I221" s="85" t="s">
        <v>5093</v>
      </c>
      <c r="J221" s="85" t="s">
        <v>323</v>
      </c>
      <c r="K221" s="8" t="s">
        <v>5193</v>
      </c>
      <c r="L221" s="86" t="s">
        <v>5194</v>
      </c>
      <c r="M221" s="86" t="s">
        <v>5195</v>
      </c>
      <c r="N221" s="85"/>
    </row>
    <row r="222" spans="1:14" s="73" customFormat="1" ht="409.6">
      <c r="A222" s="75">
        <v>221</v>
      </c>
      <c r="B222" s="74" t="s">
        <v>2864</v>
      </c>
      <c r="C222" s="75" t="s">
        <v>654</v>
      </c>
      <c r="D222" s="8" t="s">
        <v>5196</v>
      </c>
      <c r="E222" s="8" t="s">
        <v>17</v>
      </c>
      <c r="F222" s="8" t="s">
        <v>29</v>
      </c>
      <c r="G222" s="8" t="s">
        <v>5197</v>
      </c>
      <c r="H222" s="8" t="s">
        <v>5198</v>
      </c>
      <c r="I222" s="8" t="s">
        <v>4215</v>
      </c>
      <c r="J222" s="8" t="s">
        <v>17</v>
      </c>
      <c r="K222" s="8" t="s">
        <v>5199</v>
      </c>
      <c r="L222" s="8" t="s">
        <v>5200</v>
      </c>
      <c r="M222" s="8" t="s">
        <v>17</v>
      </c>
      <c r="N222" s="8" t="s">
        <v>5201</v>
      </c>
    </row>
    <row r="223" spans="1:14" s="73" customFormat="1" ht="335.6">
      <c r="A223" s="75">
        <v>222</v>
      </c>
      <c r="B223" s="74" t="s">
        <v>589</v>
      </c>
      <c r="C223" s="75" t="s">
        <v>59</v>
      </c>
      <c r="D223" s="8" t="s">
        <v>36</v>
      </c>
      <c r="E223" s="8" t="s">
        <v>590</v>
      </c>
      <c r="F223" s="8" t="s">
        <v>29</v>
      </c>
      <c r="G223" s="8" t="s">
        <v>17</v>
      </c>
      <c r="H223" s="8" t="s">
        <v>5202</v>
      </c>
      <c r="I223" s="8" t="s">
        <v>5029</v>
      </c>
      <c r="J223" s="8" t="s">
        <v>2077</v>
      </c>
      <c r="K223" s="8" t="s">
        <v>594</v>
      </c>
      <c r="L223" s="8" t="s">
        <v>17</v>
      </c>
      <c r="M223" s="8" t="s">
        <v>17</v>
      </c>
      <c r="N223" s="8" t="s">
        <v>5203</v>
      </c>
    </row>
    <row r="224" spans="1:14" s="73" customFormat="1" ht="223.75">
      <c r="A224" s="75">
        <v>223</v>
      </c>
      <c r="B224" s="74" t="s">
        <v>5204</v>
      </c>
      <c r="C224" s="75" t="s">
        <v>43</v>
      </c>
      <c r="D224" s="8" t="s">
        <v>5205</v>
      </c>
      <c r="E224" s="8" t="s">
        <v>5206</v>
      </c>
      <c r="F224" s="8" t="s">
        <v>29</v>
      </c>
      <c r="G224" s="8" t="s">
        <v>17</v>
      </c>
      <c r="H224" s="8" t="s">
        <v>5207</v>
      </c>
      <c r="I224" s="8" t="s">
        <v>5208</v>
      </c>
      <c r="J224" s="8" t="s">
        <v>323</v>
      </c>
      <c r="K224" s="8" t="s">
        <v>5209</v>
      </c>
      <c r="L224" s="8" t="s">
        <v>5210</v>
      </c>
      <c r="M224" s="8" t="s">
        <v>17</v>
      </c>
      <c r="N224" s="8"/>
    </row>
    <row r="225" spans="1:14" s="73" customFormat="1" ht="409.6">
      <c r="A225" s="75">
        <v>224</v>
      </c>
      <c r="B225" s="74" t="s">
        <v>1015</v>
      </c>
      <c r="C225" s="75" t="s">
        <v>5211</v>
      </c>
      <c r="D225" s="8" t="s">
        <v>5212</v>
      </c>
      <c r="E225" s="85" t="s">
        <v>5213</v>
      </c>
      <c r="F225" s="85" t="s">
        <v>29</v>
      </c>
      <c r="G225" s="85" t="s">
        <v>17</v>
      </c>
      <c r="H225" s="85" t="s">
        <v>5214</v>
      </c>
      <c r="I225" s="85" t="s">
        <v>4306</v>
      </c>
      <c r="J225" s="85" t="s">
        <v>1795</v>
      </c>
      <c r="K225" s="8" t="s">
        <v>5215</v>
      </c>
      <c r="L225" s="85" t="s">
        <v>5216</v>
      </c>
      <c r="M225" s="85" t="s">
        <v>5217</v>
      </c>
      <c r="N225" s="85"/>
    </row>
    <row r="226" spans="1:14" s="73" customFormat="1" ht="409.6">
      <c r="A226" s="75">
        <v>225</v>
      </c>
      <c r="B226" s="74" t="s">
        <v>1038</v>
      </c>
      <c r="C226" s="75" t="s">
        <v>654</v>
      </c>
      <c r="D226" s="8" t="s">
        <v>1040</v>
      </c>
      <c r="E226" s="8" t="s">
        <v>1041</v>
      </c>
      <c r="F226" s="8" t="s">
        <v>29</v>
      </c>
      <c r="G226" s="8" t="s">
        <v>1042</v>
      </c>
      <c r="H226" s="8" t="s">
        <v>5218</v>
      </c>
      <c r="I226" s="8" t="s">
        <v>5219</v>
      </c>
      <c r="J226" s="8" t="s">
        <v>17</v>
      </c>
      <c r="K226" s="8" t="s">
        <v>5220</v>
      </c>
      <c r="L226" s="8" t="s">
        <v>5221</v>
      </c>
      <c r="M226" s="8" t="s">
        <v>1046</v>
      </c>
      <c r="N226" s="8"/>
    </row>
    <row r="227" spans="1:14" s="73" customFormat="1" ht="409.6">
      <c r="A227" s="75">
        <v>226</v>
      </c>
      <c r="B227" s="74" t="s">
        <v>789</v>
      </c>
      <c r="C227" s="75" t="s">
        <v>116</v>
      </c>
      <c r="D227" s="8" t="s">
        <v>5222</v>
      </c>
      <c r="E227" s="8" t="s">
        <v>5223</v>
      </c>
      <c r="F227" s="8" t="s">
        <v>29</v>
      </c>
      <c r="G227" s="8" t="s">
        <v>17</v>
      </c>
      <c r="H227" s="8" t="s">
        <v>5224</v>
      </c>
      <c r="I227" s="8" t="s">
        <v>5225</v>
      </c>
      <c r="J227" s="8"/>
      <c r="K227" s="8" t="s">
        <v>5226</v>
      </c>
      <c r="L227" s="8" t="s">
        <v>17</v>
      </c>
      <c r="M227" s="8" t="s">
        <v>5227</v>
      </c>
      <c r="N227" s="8"/>
    </row>
    <row r="228" spans="1:14" s="73" customFormat="1" ht="409.6">
      <c r="A228" s="75">
        <v>227</v>
      </c>
      <c r="B228" s="74" t="s">
        <v>287</v>
      </c>
      <c r="C228" s="75" t="s">
        <v>59</v>
      </c>
      <c r="D228" s="8" t="s">
        <v>52</v>
      </c>
      <c r="E228" s="8" t="s">
        <v>2390</v>
      </c>
      <c r="F228" s="8" t="s">
        <v>29</v>
      </c>
      <c r="G228" s="8" t="s">
        <v>5228</v>
      </c>
      <c r="H228" s="8" t="s">
        <v>5229</v>
      </c>
      <c r="I228" s="8" t="s">
        <v>5230</v>
      </c>
      <c r="J228" s="8" t="s">
        <v>17</v>
      </c>
      <c r="K228" s="8" t="s">
        <v>5231</v>
      </c>
      <c r="L228" s="8" t="s">
        <v>17</v>
      </c>
      <c r="M228" s="8" t="s">
        <v>885</v>
      </c>
      <c r="N228" s="8"/>
    </row>
    <row r="229" spans="1:14" s="73" customFormat="1" ht="149.15">
      <c r="A229" s="75">
        <v>228</v>
      </c>
      <c r="B229" s="74" t="s">
        <v>287</v>
      </c>
      <c r="C229" s="75" t="s">
        <v>74</v>
      </c>
      <c r="D229" s="8" t="s">
        <v>17</v>
      </c>
      <c r="E229" s="8" t="s">
        <v>17</v>
      </c>
      <c r="F229" s="8" t="s">
        <v>17</v>
      </c>
      <c r="G229" s="8" t="s">
        <v>17</v>
      </c>
      <c r="H229" s="8" t="s">
        <v>17</v>
      </c>
      <c r="I229" s="8" t="s">
        <v>17</v>
      </c>
      <c r="J229" s="8" t="s">
        <v>17</v>
      </c>
      <c r="K229" s="8" t="s">
        <v>17</v>
      </c>
      <c r="L229" s="8" t="s">
        <v>17</v>
      </c>
      <c r="M229" s="8" t="s">
        <v>17</v>
      </c>
      <c r="N229" s="8" t="s">
        <v>5232</v>
      </c>
    </row>
    <row r="230" spans="1:14" s="73" customFormat="1" ht="38.6">
      <c r="A230" s="75">
        <v>229</v>
      </c>
      <c r="B230" s="74" t="s">
        <v>50</v>
      </c>
      <c r="C230" s="75" t="s">
        <v>5233</v>
      </c>
      <c r="D230" s="8" t="s">
        <v>17</v>
      </c>
      <c r="E230" s="8" t="s">
        <v>17</v>
      </c>
      <c r="F230" s="8" t="s">
        <v>4112</v>
      </c>
      <c r="G230" s="8" t="s">
        <v>5234</v>
      </c>
      <c r="H230" s="8" t="s">
        <v>5235</v>
      </c>
      <c r="I230" s="8" t="s">
        <v>5236</v>
      </c>
      <c r="J230" s="8" t="s">
        <v>17</v>
      </c>
      <c r="K230" s="8" t="s">
        <v>17</v>
      </c>
      <c r="L230" s="8" t="s">
        <v>17</v>
      </c>
      <c r="M230" s="8" t="s">
        <v>17</v>
      </c>
      <c r="N230" s="8"/>
    </row>
    <row r="231" spans="1:14" s="73" customFormat="1" ht="372.9">
      <c r="A231" s="75">
        <v>230</v>
      </c>
      <c r="B231" s="74" t="s">
        <v>287</v>
      </c>
      <c r="C231" s="75" t="s">
        <v>5237</v>
      </c>
      <c r="D231" s="85" t="s">
        <v>52</v>
      </c>
      <c r="E231" s="85" t="s">
        <v>5238</v>
      </c>
      <c r="F231" s="85" t="s">
        <v>29</v>
      </c>
      <c r="G231" s="85" t="s">
        <v>5239</v>
      </c>
      <c r="H231" s="85" t="s">
        <v>17</v>
      </c>
      <c r="I231" s="85" t="s">
        <v>5240</v>
      </c>
      <c r="J231" s="85" t="s">
        <v>17</v>
      </c>
      <c r="K231" s="8" t="s">
        <v>5241</v>
      </c>
      <c r="L231" s="85" t="s">
        <v>17</v>
      </c>
      <c r="M231" s="8" t="s">
        <v>5242</v>
      </c>
      <c r="N231" s="85"/>
    </row>
    <row r="232" spans="1:14" s="73" customFormat="1" ht="409.6">
      <c r="A232" s="75">
        <v>231</v>
      </c>
      <c r="B232" s="74" t="s">
        <v>1226</v>
      </c>
      <c r="C232" s="75" t="s">
        <v>5243</v>
      </c>
      <c r="D232" s="8" t="s">
        <v>17</v>
      </c>
      <c r="E232" s="8" t="s">
        <v>17</v>
      </c>
      <c r="F232" s="8" t="s">
        <v>29</v>
      </c>
      <c r="G232" s="8" t="s">
        <v>5244</v>
      </c>
      <c r="H232" s="8" t="s">
        <v>5245</v>
      </c>
      <c r="I232" s="8" t="s">
        <v>5246</v>
      </c>
      <c r="J232" s="8" t="s">
        <v>17</v>
      </c>
      <c r="K232" s="8" t="s">
        <v>5247</v>
      </c>
      <c r="L232" s="8" t="s">
        <v>17</v>
      </c>
      <c r="M232" s="8" t="s">
        <v>17</v>
      </c>
      <c r="N232" s="8"/>
    </row>
    <row r="233" spans="1:14" s="73" customFormat="1" ht="409.6">
      <c r="A233" s="75">
        <v>232</v>
      </c>
      <c r="B233" s="74" t="s">
        <v>287</v>
      </c>
      <c r="C233" s="75" t="s">
        <v>1463</v>
      </c>
      <c r="D233" s="8" t="s">
        <v>36</v>
      </c>
      <c r="E233" s="8" t="s">
        <v>5248</v>
      </c>
      <c r="F233" s="8" t="s">
        <v>29</v>
      </c>
      <c r="G233" s="8" t="s">
        <v>17</v>
      </c>
      <c r="H233" s="8" t="s">
        <v>5249</v>
      </c>
      <c r="I233" s="8" t="s">
        <v>5246</v>
      </c>
      <c r="J233" s="8" t="s">
        <v>17</v>
      </c>
      <c r="K233" s="8" t="s">
        <v>17</v>
      </c>
      <c r="L233" s="8" t="s">
        <v>5250</v>
      </c>
      <c r="M233" s="8" t="s">
        <v>1468</v>
      </c>
      <c r="N233" s="8"/>
    </row>
    <row r="234" spans="1:14" s="73" customFormat="1" ht="409.6">
      <c r="A234" s="75">
        <v>233</v>
      </c>
      <c r="B234" s="74" t="s">
        <v>287</v>
      </c>
      <c r="C234" s="75" t="s">
        <v>1413</v>
      </c>
      <c r="D234" s="8" t="s">
        <v>52</v>
      </c>
      <c r="E234" s="8" t="s">
        <v>1414</v>
      </c>
      <c r="F234" s="8" t="s">
        <v>29</v>
      </c>
      <c r="G234" s="8" t="s">
        <v>17</v>
      </c>
      <c r="H234" s="8" t="s">
        <v>5251</v>
      </c>
      <c r="I234" s="8" t="s">
        <v>5252</v>
      </c>
      <c r="J234" s="8" t="s">
        <v>17</v>
      </c>
      <c r="K234" s="8" t="s">
        <v>5253</v>
      </c>
      <c r="L234" s="8" t="s">
        <v>5254</v>
      </c>
      <c r="M234" s="8" t="s">
        <v>1419</v>
      </c>
      <c r="N234" s="8" t="s">
        <v>5255</v>
      </c>
    </row>
    <row r="235" spans="1:14" s="73" customFormat="1" ht="409.6">
      <c r="A235" s="75">
        <v>234</v>
      </c>
      <c r="B235" s="74" t="s">
        <v>287</v>
      </c>
      <c r="C235" s="75" t="s">
        <v>5256</v>
      </c>
      <c r="D235" s="85" t="s">
        <v>36</v>
      </c>
      <c r="E235" s="85" t="s">
        <v>5257</v>
      </c>
      <c r="F235" s="85" t="s">
        <v>29</v>
      </c>
      <c r="G235" s="85" t="s">
        <v>5258</v>
      </c>
      <c r="H235" s="85" t="s">
        <v>5259</v>
      </c>
      <c r="I235" s="85" t="s">
        <v>5260</v>
      </c>
      <c r="J235" s="85" t="s">
        <v>17</v>
      </c>
      <c r="K235" s="8" t="s">
        <v>17</v>
      </c>
      <c r="L235" s="86" t="s">
        <v>5261</v>
      </c>
      <c r="M235" s="86" t="s">
        <v>5262</v>
      </c>
      <c r="N235" s="85"/>
    </row>
    <row r="236" spans="1:14" s="73" customFormat="1" ht="409.6">
      <c r="A236" s="75">
        <v>235</v>
      </c>
      <c r="B236" s="74" t="s">
        <v>287</v>
      </c>
      <c r="C236" s="75" t="s">
        <v>191</v>
      </c>
      <c r="D236" s="85" t="s">
        <v>36</v>
      </c>
      <c r="E236" s="85" t="s">
        <v>5257</v>
      </c>
      <c r="F236" s="85" t="s">
        <v>88</v>
      </c>
      <c r="G236" s="86" t="s">
        <v>5263</v>
      </c>
      <c r="H236" s="85" t="s">
        <v>5264</v>
      </c>
      <c r="I236" s="85" t="s">
        <v>5265</v>
      </c>
      <c r="J236" s="85" t="s">
        <v>17</v>
      </c>
      <c r="K236" s="8" t="s">
        <v>5266</v>
      </c>
      <c r="L236" s="85" t="s">
        <v>17</v>
      </c>
      <c r="M236" s="86" t="s">
        <v>5267</v>
      </c>
      <c r="N236" s="85"/>
    </row>
    <row r="237" spans="1:14" s="73" customFormat="1" ht="409.6">
      <c r="A237" s="75">
        <v>236</v>
      </c>
      <c r="B237" s="74" t="s">
        <v>5268</v>
      </c>
      <c r="C237" s="75" t="s">
        <v>35</v>
      </c>
      <c r="D237" s="8" t="s">
        <v>36</v>
      </c>
      <c r="E237" s="8" t="s">
        <v>60</v>
      </c>
      <c r="F237" s="8" t="s">
        <v>29</v>
      </c>
      <c r="G237" s="8" t="s">
        <v>5269</v>
      </c>
      <c r="H237" s="8" t="s">
        <v>5270</v>
      </c>
      <c r="I237" s="8" t="s">
        <v>4925</v>
      </c>
      <c r="J237" s="8" t="s">
        <v>2077</v>
      </c>
      <c r="K237" s="8" t="s">
        <v>5271</v>
      </c>
      <c r="L237" s="8" t="s">
        <v>5272</v>
      </c>
      <c r="M237" s="8" t="s">
        <v>17</v>
      </c>
      <c r="N237" s="8" t="s">
        <v>5273</v>
      </c>
    </row>
    <row r="238" spans="1:14" s="73" customFormat="1" ht="409.6">
      <c r="A238" s="75">
        <v>237</v>
      </c>
      <c r="B238" s="74" t="s">
        <v>287</v>
      </c>
      <c r="C238" s="75" t="s">
        <v>478</v>
      </c>
      <c r="D238" s="85" t="s">
        <v>17</v>
      </c>
      <c r="E238" s="85" t="s">
        <v>5274</v>
      </c>
      <c r="F238" s="85" t="s">
        <v>29</v>
      </c>
      <c r="G238" s="86" t="s">
        <v>5275</v>
      </c>
      <c r="H238" s="85" t="s">
        <v>5276</v>
      </c>
      <c r="I238" s="85" t="s">
        <v>5277</v>
      </c>
      <c r="J238" s="85" t="s">
        <v>17</v>
      </c>
      <c r="K238" s="8" t="s">
        <v>5278</v>
      </c>
      <c r="L238" s="85" t="s">
        <v>17</v>
      </c>
      <c r="M238" s="86" t="s">
        <v>5279</v>
      </c>
      <c r="N238" s="86" t="s">
        <v>5280</v>
      </c>
    </row>
    <row r="239" spans="1:14" s="73" customFormat="1" ht="409.6">
      <c r="A239" s="75">
        <v>238</v>
      </c>
      <c r="B239" s="74" t="s">
        <v>333</v>
      </c>
      <c r="C239" s="75" t="s">
        <v>647</v>
      </c>
      <c r="D239" s="8" t="s">
        <v>648</v>
      </c>
      <c r="E239" s="8" t="s">
        <v>17</v>
      </c>
      <c r="F239" s="8" t="s">
        <v>29</v>
      </c>
      <c r="G239" s="8" t="s">
        <v>5281</v>
      </c>
      <c r="H239" s="8" t="s">
        <v>5282</v>
      </c>
      <c r="I239" s="8" t="s">
        <v>5283</v>
      </c>
      <c r="J239" s="8" t="s">
        <v>5284</v>
      </c>
      <c r="K239" s="8" t="s">
        <v>5285</v>
      </c>
      <c r="L239" s="8" t="s">
        <v>5286</v>
      </c>
      <c r="M239" s="8" t="s">
        <v>5287</v>
      </c>
      <c r="N239" s="8"/>
    </row>
    <row r="240" spans="1:14" s="73" customFormat="1" ht="372.9">
      <c r="A240" s="75">
        <v>239</v>
      </c>
      <c r="B240" s="74" t="s">
        <v>333</v>
      </c>
      <c r="C240" s="75" t="s">
        <v>1628</v>
      </c>
      <c r="D240" s="8" t="s">
        <v>5288</v>
      </c>
      <c r="E240" s="8" t="s">
        <v>1437</v>
      </c>
      <c r="F240" s="8" t="s">
        <v>17</v>
      </c>
      <c r="G240" s="8" t="s">
        <v>17</v>
      </c>
      <c r="H240" s="8" t="s">
        <v>4300</v>
      </c>
      <c r="I240" s="8" t="s">
        <v>5289</v>
      </c>
      <c r="J240" s="8" t="s">
        <v>17</v>
      </c>
      <c r="K240" s="8" t="s">
        <v>5290</v>
      </c>
      <c r="L240" s="8" t="s">
        <v>17</v>
      </c>
      <c r="M240" s="8" t="s">
        <v>17</v>
      </c>
      <c r="N240" s="8" t="s">
        <v>2669</v>
      </c>
    </row>
    <row r="241" spans="1:14" s="73" customFormat="1" ht="409.6">
      <c r="A241" s="75">
        <v>240</v>
      </c>
      <c r="B241" s="74" t="s">
        <v>333</v>
      </c>
      <c r="C241" s="75" t="s">
        <v>856</v>
      </c>
      <c r="D241" s="8" t="s">
        <v>5291</v>
      </c>
      <c r="E241" s="8" t="s">
        <v>858</v>
      </c>
      <c r="F241" s="8" t="s">
        <v>29</v>
      </c>
      <c r="G241" s="8" t="s">
        <v>5292</v>
      </c>
      <c r="H241" s="8" t="s">
        <v>4977</v>
      </c>
      <c r="I241" s="8" t="s">
        <v>5293</v>
      </c>
      <c r="J241" s="8" t="s">
        <v>323</v>
      </c>
      <c r="K241" s="8" t="s">
        <v>862</v>
      </c>
      <c r="L241" s="8" t="s">
        <v>5294</v>
      </c>
      <c r="M241" s="8" t="s">
        <v>5295</v>
      </c>
      <c r="N241" s="8"/>
    </row>
    <row r="242" spans="1:14" s="73" customFormat="1" ht="409.6">
      <c r="A242" s="75">
        <v>241</v>
      </c>
      <c r="B242" s="74" t="s">
        <v>530</v>
      </c>
      <c r="C242" s="75" t="s">
        <v>5296</v>
      </c>
      <c r="D242" s="8" t="s">
        <v>5297</v>
      </c>
      <c r="E242" s="8" t="s">
        <v>60</v>
      </c>
      <c r="F242" s="8" t="s">
        <v>88</v>
      </c>
      <c r="G242" s="8" t="s">
        <v>5298</v>
      </c>
      <c r="H242" s="8" t="s">
        <v>5224</v>
      </c>
      <c r="I242" s="8" t="s">
        <v>5299</v>
      </c>
      <c r="J242" s="8" t="s">
        <v>209</v>
      </c>
      <c r="K242" s="8" t="s">
        <v>5300</v>
      </c>
      <c r="L242" s="8" t="s">
        <v>17</v>
      </c>
      <c r="M242" s="8" t="s">
        <v>5301</v>
      </c>
      <c r="N242" s="8" t="s">
        <v>5302</v>
      </c>
    </row>
    <row r="243" spans="1:14" s="73" customFormat="1" ht="261">
      <c r="A243" s="75">
        <v>242</v>
      </c>
      <c r="B243" s="74" t="s">
        <v>1645</v>
      </c>
      <c r="C243" s="75" t="s">
        <v>1646</v>
      </c>
      <c r="D243" s="8" t="s">
        <v>5303</v>
      </c>
      <c r="E243" s="8" t="s">
        <v>60</v>
      </c>
      <c r="F243" s="8" t="s">
        <v>88</v>
      </c>
      <c r="G243" s="8" t="s">
        <v>17</v>
      </c>
      <c r="H243" s="8" t="s">
        <v>5304</v>
      </c>
      <c r="I243" s="8" t="s">
        <v>5305</v>
      </c>
      <c r="J243" s="8" t="s">
        <v>323</v>
      </c>
      <c r="K243" s="8" t="s">
        <v>5306</v>
      </c>
      <c r="L243" s="8" t="s">
        <v>17</v>
      </c>
      <c r="M243" s="8" t="s">
        <v>5307</v>
      </c>
      <c r="N243" s="8"/>
    </row>
    <row r="244" spans="1:14" s="73" customFormat="1" ht="409.6">
      <c r="A244" s="75">
        <v>243</v>
      </c>
      <c r="B244" s="74" t="s">
        <v>287</v>
      </c>
      <c r="C244" s="75" t="s">
        <v>5308</v>
      </c>
      <c r="D244" s="85" t="s">
        <v>17</v>
      </c>
      <c r="E244" s="85" t="s">
        <v>5274</v>
      </c>
      <c r="F244" s="85" t="s">
        <v>17</v>
      </c>
      <c r="G244" s="8" t="s">
        <v>5309</v>
      </c>
      <c r="H244" s="85" t="s">
        <v>5310</v>
      </c>
      <c r="I244" s="85" t="s">
        <v>5142</v>
      </c>
      <c r="J244" s="85" t="s">
        <v>17</v>
      </c>
      <c r="K244" s="8" t="s">
        <v>5311</v>
      </c>
      <c r="L244" s="8" t="s">
        <v>17</v>
      </c>
      <c r="M244" s="86" t="s">
        <v>5312</v>
      </c>
      <c r="N244" s="85"/>
    </row>
    <row r="245" spans="1:14" s="73" customFormat="1" ht="409.6">
      <c r="A245" s="75">
        <v>244</v>
      </c>
      <c r="B245" s="74" t="s">
        <v>789</v>
      </c>
      <c r="C245" s="75" t="s">
        <v>5313</v>
      </c>
      <c r="D245" s="85" t="s">
        <v>1076</v>
      </c>
      <c r="E245" s="85" t="s">
        <v>5314</v>
      </c>
      <c r="F245" s="85" t="s">
        <v>88</v>
      </c>
      <c r="G245" s="86" t="s">
        <v>5315</v>
      </c>
      <c r="H245" s="85" t="s">
        <v>5316</v>
      </c>
      <c r="I245" s="85" t="s">
        <v>5225</v>
      </c>
      <c r="J245" s="85" t="s">
        <v>17</v>
      </c>
      <c r="K245" s="8" t="s">
        <v>5317</v>
      </c>
      <c r="L245" s="85" t="s">
        <v>17</v>
      </c>
      <c r="M245" s="86" t="s">
        <v>5318</v>
      </c>
      <c r="N245" s="85"/>
    </row>
    <row r="246" spans="1:14" s="73" customFormat="1" ht="409.6">
      <c r="A246" s="75">
        <v>245</v>
      </c>
      <c r="B246" s="74" t="s">
        <v>789</v>
      </c>
      <c r="C246" s="75" t="s">
        <v>5319</v>
      </c>
      <c r="D246" s="8" t="s">
        <v>1076</v>
      </c>
      <c r="E246" s="8" t="s">
        <v>5320</v>
      </c>
      <c r="F246" s="8" t="s">
        <v>720</v>
      </c>
      <c r="G246" s="8" t="s">
        <v>5321</v>
      </c>
      <c r="H246" s="8" t="s">
        <v>5322</v>
      </c>
      <c r="I246" s="8" t="s">
        <v>5323</v>
      </c>
      <c r="J246" s="8" t="s">
        <v>5324</v>
      </c>
      <c r="K246" s="8" t="s">
        <v>5325</v>
      </c>
      <c r="L246" s="8" t="s">
        <v>5326</v>
      </c>
      <c r="M246" s="8" t="s">
        <v>5327</v>
      </c>
      <c r="N246" s="8"/>
    </row>
    <row r="247" spans="1:14" s="73" customFormat="1" ht="409.6">
      <c r="A247" s="75">
        <v>246</v>
      </c>
      <c r="B247" s="74" t="s">
        <v>789</v>
      </c>
      <c r="C247" s="75" t="s">
        <v>790</v>
      </c>
      <c r="D247" s="8" t="s">
        <v>1076</v>
      </c>
      <c r="E247" s="8" t="s">
        <v>792</v>
      </c>
      <c r="F247" s="8" t="s">
        <v>793</v>
      </c>
      <c r="G247" s="8" t="s">
        <v>5328</v>
      </c>
      <c r="H247" s="8" t="s">
        <v>5329</v>
      </c>
      <c r="I247" s="8" t="s">
        <v>5260</v>
      </c>
      <c r="J247" s="8" t="s">
        <v>5330</v>
      </c>
      <c r="K247" s="8" t="s">
        <v>5331</v>
      </c>
      <c r="L247" s="8" t="s">
        <v>5332</v>
      </c>
      <c r="M247" s="8" t="s">
        <v>5333</v>
      </c>
      <c r="N247" s="8" t="s">
        <v>5334</v>
      </c>
    </row>
    <row r="248" spans="1:14" s="73" customFormat="1" ht="409.6">
      <c r="A248" s="75">
        <v>247</v>
      </c>
      <c r="B248" s="74" t="s">
        <v>789</v>
      </c>
      <c r="C248" s="84" t="s">
        <v>191</v>
      </c>
      <c r="D248" s="85" t="s">
        <v>791</v>
      </c>
      <c r="E248" s="85" t="s">
        <v>5335</v>
      </c>
      <c r="F248" s="85" t="s">
        <v>29</v>
      </c>
      <c r="G248" s="8" t="s">
        <v>5336</v>
      </c>
      <c r="H248" s="85" t="s">
        <v>5337</v>
      </c>
      <c r="I248" s="85" t="s">
        <v>4152</v>
      </c>
      <c r="J248" s="85" t="s">
        <v>17</v>
      </c>
      <c r="K248" s="8" t="s">
        <v>5338</v>
      </c>
      <c r="L248" s="85" t="s">
        <v>17</v>
      </c>
      <c r="M248" s="86" t="s">
        <v>5339</v>
      </c>
      <c r="N248" s="85"/>
    </row>
    <row r="249" spans="1:14" s="73" customFormat="1" ht="409.6">
      <c r="A249" s="75">
        <v>248</v>
      </c>
      <c r="B249" s="74" t="s">
        <v>789</v>
      </c>
      <c r="C249" s="75" t="s">
        <v>478</v>
      </c>
      <c r="D249" s="8" t="s">
        <v>1076</v>
      </c>
      <c r="E249" s="8" t="s">
        <v>1125</v>
      </c>
      <c r="F249" s="8" t="s">
        <v>88</v>
      </c>
      <c r="G249" s="8" t="s">
        <v>5340</v>
      </c>
      <c r="H249" s="8" t="s">
        <v>5341</v>
      </c>
      <c r="I249" s="8" t="s">
        <v>4570</v>
      </c>
      <c r="J249" s="8" t="s">
        <v>17</v>
      </c>
      <c r="K249" s="8" t="s">
        <v>1128</v>
      </c>
      <c r="L249" s="8" t="s">
        <v>17</v>
      </c>
      <c r="M249" s="8" t="s">
        <v>5342</v>
      </c>
      <c r="N249" s="8"/>
    </row>
    <row r="250" spans="1:14" s="73" customFormat="1" ht="409.6">
      <c r="A250" s="75">
        <v>249</v>
      </c>
      <c r="B250" s="74" t="s">
        <v>287</v>
      </c>
      <c r="C250" s="75" t="s">
        <v>288</v>
      </c>
      <c r="D250" s="8" t="s">
        <v>17</v>
      </c>
      <c r="E250" s="8" t="s">
        <v>289</v>
      </c>
      <c r="F250" s="8" t="s">
        <v>29</v>
      </c>
      <c r="G250" s="8" t="s">
        <v>5343</v>
      </c>
      <c r="H250" s="8" t="s">
        <v>5344</v>
      </c>
      <c r="I250" s="8" t="s">
        <v>5345</v>
      </c>
      <c r="J250" s="8" t="s">
        <v>17</v>
      </c>
      <c r="K250" s="8" t="s">
        <v>5346</v>
      </c>
      <c r="L250" s="8" t="s">
        <v>17</v>
      </c>
      <c r="M250" s="8" t="s">
        <v>294</v>
      </c>
      <c r="N250" s="8"/>
    </row>
    <row r="251" spans="1:14" s="73" customFormat="1" ht="409.6">
      <c r="A251" s="75">
        <v>250</v>
      </c>
      <c r="B251" s="74" t="s">
        <v>1070</v>
      </c>
      <c r="C251" s="75" t="s">
        <v>1071</v>
      </c>
      <c r="D251" s="8" t="s">
        <v>52</v>
      </c>
      <c r="E251" s="8" t="s">
        <v>17</v>
      </c>
      <c r="F251" s="8" t="s">
        <v>29</v>
      </c>
      <c r="G251" s="8" t="s">
        <v>5347</v>
      </c>
      <c r="H251" s="8" t="s">
        <v>5348</v>
      </c>
      <c r="I251" s="8" t="s">
        <v>4440</v>
      </c>
      <c r="J251" s="8" t="s">
        <v>17</v>
      </c>
      <c r="K251" s="8" t="s">
        <v>17</v>
      </c>
      <c r="L251" s="8" t="s">
        <v>5349</v>
      </c>
      <c r="M251" s="8" t="s">
        <v>5350</v>
      </c>
      <c r="N251" s="8"/>
    </row>
    <row r="252" spans="1:14" s="73" customFormat="1" ht="409.6">
      <c r="A252" s="75">
        <v>251</v>
      </c>
      <c r="B252" s="74" t="s">
        <v>13</v>
      </c>
      <c r="C252" s="75" t="s">
        <v>5351</v>
      </c>
      <c r="D252" s="8" t="s">
        <v>5352</v>
      </c>
      <c r="E252" s="8" t="s">
        <v>5353</v>
      </c>
      <c r="F252" s="8" t="s">
        <v>29</v>
      </c>
      <c r="G252" s="8" t="s">
        <v>17</v>
      </c>
      <c r="H252" s="8" t="s">
        <v>5354</v>
      </c>
      <c r="I252" s="8" t="s">
        <v>4148</v>
      </c>
      <c r="J252" s="8" t="s">
        <v>17</v>
      </c>
      <c r="K252" s="8" t="s">
        <v>5355</v>
      </c>
      <c r="L252" s="8" t="s">
        <v>17</v>
      </c>
      <c r="M252" s="8" t="s">
        <v>17</v>
      </c>
      <c r="N252" s="8" t="s">
        <v>5356</v>
      </c>
    </row>
    <row r="253" spans="1:14" s="73" customFormat="1" ht="409.6">
      <c r="A253" s="75">
        <v>252</v>
      </c>
      <c r="B253" s="74" t="s">
        <v>50</v>
      </c>
      <c r="C253" s="75" t="s">
        <v>909</v>
      </c>
      <c r="D253" s="8" t="s">
        <v>5357</v>
      </c>
      <c r="E253" s="8" t="s">
        <v>5358</v>
      </c>
      <c r="F253" s="8" t="s">
        <v>720</v>
      </c>
      <c r="G253" s="8" t="s">
        <v>5359</v>
      </c>
      <c r="H253" s="8" t="s">
        <v>5360</v>
      </c>
      <c r="I253" s="8" t="s">
        <v>5361</v>
      </c>
      <c r="J253" s="8" t="s">
        <v>5362</v>
      </c>
      <c r="K253" s="8" t="s">
        <v>5363</v>
      </c>
      <c r="L253" s="8" t="s">
        <v>5364</v>
      </c>
      <c r="M253" s="8" t="s">
        <v>5365</v>
      </c>
      <c r="N253" s="8" t="s">
        <v>5366</v>
      </c>
    </row>
    <row r="254" spans="1:14" s="73" customFormat="1" ht="298.3">
      <c r="A254" s="75">
        <v>253</v>
      </c>
      <c r="B254" s="74" t="s">
        <v>371</v>
      </c>
      <c r="C254" s="75" t="s">
        <v>59</v>
      </c>
      <c r="D254" s="8" t="s">
        <v>36</v>
      </c>
      <c r="E254" s="8" t="s">
        <v>17</v>
      </c>
      <c r="F254" s="8" t="s">
        <v>29</v>
      </c>
      <c r="G254" s="8" t="s">
        <v>5367</v>
      </c>
      <c r="H254" s="8" t="s">
        <v>5115</v>
      </c>
      <c r="I254" s="8" t="s">
        <v>5368</v>
      </c>
      <c r="J254" s="8" t="s">
        <v>17</v>
      </c>
      <c r="K254" s="8" t="s">
        <v>5369</v>
      </c>
      <c r="L254" s="8" t="s">
        <v>17</v>
      </c>
      <c r="M254" s="8" t="s">
        <v>5370</v>
      </c>
      <c r="N254" s="8"/>
    </row>
    <row r="255" spans="1:14" s="73" customFormat="1" ht="409.6">
      <c r="A255" s="75">
        <v>254</v>
      </c>
      <c r="B255" s="74" t="s">
        <v>287</v>
      </c>
      <c r="C255" s="75" t="s">
        <v>5371</v>
      </c>
      <c r="D255" s="85" t="s">
        <v>52</v>
      </c>
      <c r="E255" s="85" t="s">
        <v>2390</v>
      </c>
      <c r="F255" s="85" t="s">
        <v>29</v>
      </c>
      <c r="G255" s="86" t="s">
        <v>5372</v>
      </c>
      <c r="H255" s="85" t="s">
        <v>5373</v>
      </c>
      <c r="I255" s="85" t="s">
        <v>5374</v>
      </c>
      <c r="J255" s="85" t="s">
        <v>17</v>
      </c>
      <c r="K255" s="8" t="s">
        <v>5375</v>
      </c>
      <c r="L255" s="8" t="s">
        <v>17</v>
      </c>
      <c r="M255" s="86" t="s">
        <v>5376</v>
      </c>
      <c r="N255" s="85"/>
    </row>
    <row r="256" spans="1:14" s="73" customFormat="1" ht="372.9">
      <c r="A256" s="75">
        <v>255</v>
      </c>
      <c r="B256" s="74" t="s">
        <v>1138</v>
      </c>
      <c r="C256" s="75" t="s">
        <v>1139</v>
      </c>
      <c r="D256" s="8" t="s">
        <v>5377</v>
      </c>
      <c r="E256" s="8" t="s">
        <v>5378</v>
      </c>
      <c r="F256" s="8" t="s">
        <v>29</v>
      </c>
      <c r="G256" s="8" t="s">
        <v>5379</v>
      </c>
      <c r="H256" s="8" t="s">
        <v>5380</v>
      </c>
      <c r="I256" s="8" t="s">
        <v>5381</v>
      </c>
      <c r="J256" s="8" t="s">
        <v>323</v>
      </c>
      <c r="K256" s="8" t="s">
        <v>5382</v>
      </c>
      <c r="L256" s="8" t="s">
        <v>5383</v>
      </c>
      <c r="M256" s="8" t="s">
        <v>5384</v>
      </c>
      <c r="N256" s="8"/>
    </row>
    <row r="257" spans="1:14" s="73" customFormat="1" ht="409.6">
      <c r="A257" s="75">
        <v>256</v>
      </c>
      <c r="B257" s="74" t="s">
        <v>333</v>
      </c>
      <c r="C257" s="75" t="s">
        <v>429</v>
      </c>
      <c r="D257" s="8" t="s">
        <v>75</v>
      </c>
      <c r="E257" s="8" t="s">
        <v>430</v>
      </c>
      <c r="F257" s="8" t="s">
        <v>29</v>
      </c>
      <c r="G257" s="8" t="s">
        <v>5385</v>
      </c>
      <c r="H257" s="8" t="s">
        <v>575</v>
      </c>
      <c r="I257" s="8" t="s">
        <v>4433</v>
      </c>
      <c r="J257" s="8" t="s">
        <v>17</v>
      </c>
      <c r="K257" s="8" t="s">
        <v>5386</v>
      </c>
      <c r="L257" s="8" t="s">
        <v>5387</v>
      </c>
      <c r="M257" s="8" t="s">
        <v>17</v>
      </c>
      <c r="N257" s="8"/>
    </row>
    <row r="258" spans="1:14" s="73" customFormat="1" ht="409.6">
      <c r="A258" s="75">
        <v>257</v>
      </c>
      <c r="B258" s="74" t="s">
        <v>333</v>
      </c>
      <c r="C258" s="75" t="s">
        <v>1291</v>
      </c>
      <c r="D258" s="8" t="s">
        <v>1292</v>
      </c>
      <c r="E258" s="8" t="s">
        <v>509</v>
      </c>
      <c r="F258" s="8" t="s">
        <v>29</v>
      </c>
      <c r="G258" s="8" t="s">
        <v>5388</v>
      </c>
      <c r="H258" s="8" t="s">
        <v>5389</v>
      </c>
      <c r="I258" s="8" t="s">
        <v>5390</v>
      </c>
      <c r="J258" s="8" t="s">
        <v>17</v>
      </c>
      <c r="K258" s="8" t="s">
        <v>5391</v>
      </c>
      <c r="L258" s="8" t="s">
        <v>5392</v>
      </c>
      <c r="M258" s="8" t="s">
        <v>17</v>
      </c>
      <c r="N258" s="8" t="s">
        <v>1299</v>
      </c>
    </row>
    <row r="259" spans="1:14" s="73" customFormat="1" ht="409.6">
      <c r="A259" s="75">
        <v>258</v>
      </c>
      <c r="B259" s="74" t="s">
        <v>50</v>
      </c>
      <c r="C259" s="75" t="s">
        <v>1274</v>
      </c>
      <c r="D259" s="8" t="s">
        <v>5352</v>
      </c>
      <c r="E259" s="8" t="s">
        <v>5353</v>
      </c>
      <c r="F259" s="8" t="s">
        <v>17</v>
      </c>
      <c r="G259" s="8" t="s">
        <v>17</v>
      </c>
      <c r="H259" s="8" t="s">
        <v>5354</v>
      </c>
      <c r="I259" s="8" t="s">
        <v>4148</v>
      </c>
      <c r="J259" s="8" t="s">
        <v>17</v>
      </c>
      <c r="K259" s="8" t="s">
        <v>5355</v>
      </c>
      <c r="L259" s="8" t="s">
        <v>17</v>
      </c>
      <c r="M259" s="8" t="s">
        <v>17</v>
      </c>
      <c r="N259" s="8" t="s">
        <v>5393</v>
      </c>
    </row>
    <row r="260" spans="1:14" s="73" customFormat="1" ht="409.6">
      <c r="A260" s="75">
        <v>259</v>
      </c>
      <c r="B260" s="74" t="s">
        <v>760</v>
      </c>
      <c r="C260" s="75" t="s">
        <v>923</v>
      </c>
      <c r="D260" s="8" t="s">
        <v>924</v>
      </c>
      <c r="E260" s="8" t="s">
        <v>925</v>
      </c>
      <c r="F260" s="8" t="s">
        <v>29</v>
      </c>
      <c r="G260" s="8" t="s">
        <v>17</v>
      </c>
      <c r="H260" s="8" t="s">
        <v>5394</v>
      </c>
      <c r="I260" s="8" t="s">
        <v>927</v>
      </c>
      <c r="J260" s="8" t="s">
        <v>928</v>
      </c>
      <c r="K260" s="8" t="s">
        <v>5395</v>
      </c>
      <c r="L260" s="8" t="s">
        <v>930</v>
      </c>
      <c r="M260" s="8" t="s">
        <v>17</v>
      </c>
      <c r="N260" s="8"/>
    </row>
    <row r="261" spans="1:14" s="73" customFormat="1" ht="335.6">
      <c r="A261" s="75">
        <v>260</v>
      </c>
      <c r="B261" s="74" t="s">
        <v>371</v>
      </c>
      <c r="C261" s="75" t="s">
        <v>1383</v>
      </c>
      <c r="D261" s="8" t="s">
        <v>1521</v>
      </c>
      <c r="E261" s="8" t="s">
        <v>5396</v>
      </c>
      <c r="F261" s="8" t="s">
        <v>29</v>
      </c>
      <c r="G261" s="8" t="s">
        <v>5397</v>
      </c>
      <c r="H261" s="8" t="s">
        <v>5398</v>
      </c>
      <c r="I261" s="8" t="s">
        <v>5399</v>
      </c>
      <c r="J261" s="8" t="s">
        <v>17</v>
      </c>
      <c r="K261" s="8" t="s">
        <v>5400</v>
      </c>
      <c r="L261" s="8" t="s">
        <v>5401</v>
      </c>
      <c r="M261" s="8" t="s">
        <v>5402</v>
      </c>
      <c r="N261" s="8" t="s">
        <v>5403</v>
      </c>
    </row>
    <row r="262" spans="1:14" s="73" customFormat="1" ht="409.6">
      <c r="A262" s="75">
        <v>261</v>
      </c>
      <c r="B262" s="74" t="s">
        <v>1015</v>
      </c>
      <c r="C262" s="75" t="s">
        <v>1237</v>
      </c>
      <c r="D262" s="85" t="s">
        <v>5404</v>
      </c>
      <c r="E262" s="8" t="s">
        <v>5405</v>
      </c>
      <c r="F262" s="85" t="s">
        <v>29</v>
      </c>
      <c r="G262" s="85" t="s">
        <v>17</v>
      </c>
      <c r="H262" s="85" t="s">
        <v>5115</v>
      </c>
      <c r="I262" s="85" t="s">
        <v>5406</v>
      </c>
      <c r="J262" s="85" t="s">
        <v>2077</v>
      </c>
      <c r="K262" s="8" t="s">
        <v>5407</v>
      </c>
      <c r="L262" s="85" t="s">
        <v>17</v>
      </c>
      <c r="M262" s="85" t="s">
        <v>5217</v>
      </c>
      <c r="N262" s="85"/>
    </row>
    <row r="263" spans="1:14" s="73" customFormat="1" ht="409.6">
      <c r="A263" s="75">
        <v>262</v>
      </c>
      <c r="B263" s="74" t="s">
        <v>1015</v>
      </c>
      <c r="C263" s="75" t="s">
        <v>5408</v>
      </c>
      <c r="D263" s="85" t="s">
        <v>5409</v>
      </c>
      <c r="E263" s="8" t="s">
        <v>5405</v>
      </c>
      <c r="F263" s="85" t="s">
        <v>29</v>
      </c>
      <c r="G263" s="86" t="s">
        <v>5410</v>
      </c>
      <c r="H263" s="85" t="s">
        <v>5115</v>
      </c>
      <c r="I263" s="85" t="s">
        <v>5411</v>
      </c>
      <c r="J263" s="85" t="s">
        <v>323</v>
      </c>
      <c r="K263" s="8" t="s">
        <v>5412</v>
      </c>
      <c r="L263" s="86" t="s">
        <v>5152</v>
      </c>
      <c r="M263" s="85" t="s">
        <v>5413</v>
      </c>
      <c r="N263" s="85"/>
    </row>
    <row r="264" spans="1:14" s="73" customFormat="1" ht="335.6">
      <c r="A264" s="75">
        <v>263</v>
      </c>
      <c r="B264" s="74" t="s">
        <v>1015</v>
      </c>
      <c r="C264" s="75" t="s">
        <v>1559</v>
      </c>
      <c r="D264" s="8" t="s">
        <v>1560</v>
      </c>
      <c r="E264" s="8" t="s">
        <v>5414</v>
      </c>
      <c r="F264" s="8" t="s">
        <v>29</v>
      </c>
      <c r="G264" s="8" t="s">
        <v>5415</v>
      </c>
      <c r="H264" s="8" t="s">
        <v>5416</v>
      </c>
      <c r="I264" s="8" t="s">
        <v>5417</v>
      </c>
      <c r="J264" s="8" t="s">
        <v>209</v>
      </c>
      <c r="K264" s="8" t="s">
        <v>5418</v>
      </c>
      <c r="L264" s="8" t="s">
        <v>5419</v>
      </c>
      <c r="M264" s="8" t="s">
        <v>5420</v>
      </c>
      <c r="N264" s="8" t="s">
        <v>5421</v>
      </c>
    </row>
    <row r="265" spans="1:14" s="73" customFormat="1" ht="186.45">
      <c r="A265" s="75">
        <v>264</v>
      </c>
      <c r="B265" s="74" t="s">
        <v>455</v>
      </c>
      <c r="C265" s="75" t="s">
        <v>5422</v>
      </c>
      <c r="D265" s="8" t="s">
        <v>5423</v>
      </c>
      <c r="E265" s="85" t="s">
        <v>17</v>
      </c>
      <c r="F265" s="85" t="s">
        <v>29</v>
      </c>
      <c r="G265" s="8" t="s">
        <v>5424</v>
      </c>
      <c r="H265" s="85" t="s">
        <v>5416</v>
      </c>
      <c r="I265" s="85" t="s">
        <v>4925</v>
      </c>
      <c r="J265" s="85" t="s">
        <v>17</v>
      </c>
      <c r="K265" s="8" t="s">
        <v>5425</v>
      </c>
      <c r="L265" s="85" t="s">
        <v>17</v>
      </c>
      <c r="M265" s="8" t="s">
        <v>5426</v>
      </c>
      <c r="N265" s="86" t="s">
        <v>5427</v>
      </c>
    </row>
    <row r="266" spans="1:14" s="73" customFormat="1" ht="409.6">
      <c r="A266" s="75">
        <v>265</v>
      </c>
      <c r="B266" s="74" t="s">
        <v>789</v>
      </c>
      <c r="C266" s="75" t="s">
        <v>1075</v>
      </c>
      <c r="D266" s="8" t="s">
        <v>1076</v>
      </c>
      <c r="E266" s="8" t="s">
        <v>1077</v>
      </c>
      <c r="F266" s="8" t="s">
        <v>720</v>
      </c>
      <c r="G266" s="8" t="s">
        <v>5428</v>
      </c>
      <c r="H266" s="8" t="s">
        <v>5429</v>
      </c>
      <c r="I266" s="8" t="s">
        <v>5430</v>
      </c>
      <c r="J266" s="8" t="s">
        <v>2077</v>
      </c>
      <c r="K266" s="8" t="s">
        <v>5431</v>
      </c>
      <c r="L266" s="8" t="s">
        <v>5432</v>
      </c>
      <c r="M266" s="8" t="s">
        <v>5318</v>
      </c>
      <c r="N266" s="8"/>
    </row>
    <row r="267" spans="1:14" s="73" customFormat="1" ht="409.6">
      <c r="A267" s="75">
        <v>266</v>
      </c>
      <c r="B267" s="74" t="s">
        <v>789</v>
      </c>
      <c r="C267" s="75" t="s">
        <v>1492</v>
      </c>
      <c r="D267" s="8" t="s">
        <v>5433</v>
      </c>
      <c r="E267" s="8" t="s">
        <v>5434</v>
      </c>
      <c r="F267" s="8" t="s">
        <v>29</v>
      </c>
      <c r="G267" s="8" t="s">
        <v>5435</v>
      </c>
      <c r="H267" s="8" t="s">
        <v>5322</v>
      </c>
      <c r="I267" s="8" t="s">
        <v>5093</v>
      </c>
      <c r="J267" s="8" t="s">
        <v>2077</v>
      </c>
      <c r="K267" s="8" t="s">
        <v>5436</v>
      </c>
      <c r="L267" s="8" t="s">
        <v>5437</v>
      </c>
      <c r="M267" s="8" t="s">
        <v>5438</v>
      </c>
      <c r="N267" s="8" t="s">
        <v>5439</v>
      </c>
    </row>
    <row r="268" spans="1:14" s="73" customFormat="1" ht="409.6">
      <c r="A268" s="75">
        <v>267</v>
      </c>
      <c r="B268" s="74" t="s">
        <v>1148</v>
      </c>
      <c r="C268" s="75" t="s">
        <v>1346</v>
      </c>
      <c r="D268" s="8" t="s">
        <v>5440</v>
      </c>
      <c r="E268" s="8" t="s">
        <v>17</v>
      </c>
      <c r="F268" s="8" t="s">
        <v>29</v>
      </c>
      <c r="G268" s="8" t="s">
        <v>5441</v>
      </c>
      <c r="H268" s="8" t="s">
        <v>5442</v>
      </c>
      <c r="I268" s="8" t="s">
        <v>5443</v>
      </c>
      <c r="J268" s="8" t="s">
        <v>2077</v>
      </c>
      <c r="K268" s="8" t="s">
        <v>5444</v>
      </c>
      <c r="L268" s="8" t="s">
        <v>5445</v>
      </c>
      <c r="M268" s="8" t="s">
        <v>17</v>
      </c>
      <c r="N268" s="8"/>
    </row>
    <row r="269" spans="1:14" s="73" customFormat="1" ht="186.45">
      <c r="A269" s="75">
        <v>268</v>
      </c>
      <c r="B269" s="74" t="s">
        <v>1226</v>
      </c>
      <c r="C269" s="75" t="s">
        <v>1227</v>
      </c>
      <c r="D269" s="8" t="s">
        <v>1228</v>
      </c>
      <c r="E269" s="8" t="s">
        <v>1229</v>
      </c>
      <c r="F269" s="8" t="s">
        <v>29</v>
      </c>
      <c r="G269" s="8" t="s">
        <v>5446</v>
      </c>
      <c r="H269" s="8" t="s">
        <v>5447</v>
      </c>
      <c r="I269" s="8" t="s">
        <v>4223</v>
      </c>
      <c r="J269" s="8" t="s">
        <v>5077</v>
      </c>
      <c r="K269" s="8" t="s">
        <v>1235</v>
      </c>
      <c r="L269" s="8" t="s">
        <v>17</v>
      </c>
      <c r="M269" s="8" t="s">
        <v>1236</v>
      </c>
      <c r="N269" s="8"/>
    </row>
    <row r="270" spans="1:14" s="73" customFormat="1" ht="409.6">
      <c r="A270" s="75">
        <v>269</v>
      </c>
      <c r="B270" s="74" t="s">
        <v>1226</v>
      </c>
      <c r="C270" s="75" t="s">
        <v>1248</v>
      </c>
      <c r="D270" s="8" t="s">
        <v>5448</v>
      </c>
      <c r="E270" s="8" t="s">
        <v>5449</v>
      </c>
      <c r="F270" s="8" t="s">
        <v>88</v>
      </c>
      <c r="G270" s="8" t="s">
        <v>5450</v>
      </c>
      <c r="H270" s="8" t="s">
        <v>5451</v>
      </c>
      <c r="I270" s="8" t="s">
        <v>4140</v>
      </c>
      <c r="J270" s="8" t="s">
        <v>1254</v>
      </c>
      <c r="K270" s="8" t="s">
        <v>5452</v>
      </c>
      <c r="L270" s="8" t="s">
        <v>17</v>
      </c>
      <c r="M270" s="8" t="s">
        <v>5453</v>
      </c>
      <c r="N270" s="8"/>
    </row>
    <row r="271" spans="1:14" s="73" customFormat="1" ht="409.6">
      <c r="A271" s="75">
        <v>270</v>
      </c>
      <c r="B271" s="74" t="s">
        <v>463</v>
      </c>
      <c r="C271" s="75" t="s">
        <v>497</v>
      </c>
      <c r="D271" s="8" t="s">
        <v>36</v>
      </c>
      <c r="E271" s="8" t="s">
        <v>17</v>
      </c>
      <c r="F271" s="8" t="s">
        <v>29</v>
      </c>
      <c r="G271" s="8" t="s">
        <v>17</v>
      </c>
      <c r="H271" s="8" t="s">
        <v>17</v>
      </c>
      <c r="I271" s="8" t="s">
        <v>4140</v>
      </c>
      <c r="J271" s="8" t="s">
        <v>209</v>
      </c>
      <c r="K271" s="8" t="s">
        <v>5454</v>
      </c>
      <c r="L271" s="8" t="s">
        <v>5455</v>
      </c>
      <c r="M271" s="8" t="s">
        <v>17</v>
      </c>
      <c r="N271" s="8"/>
    </row>
    <row r="272" spans="1:14" s="73" customFormat="1" ht="409.6">
      <c r="A272" s="75">
        <v>271</v>
      </c>
      <c r="B272" s="74" t="s">
        <v>789</v>
      </c>
      <c r="C272" s="75" t="s">
        <v>1321</v>
      </c>
      <c r="D272" s="8" t="s">
        <v>1322</v>
      </c>
      <c r="E272" s="8" t="s">
        <v>1323</v>
      </c>
      <c r="F272" s="8" t="s">
        <v>29</v>
      </c>
      <c r="G272" s="8" t="s">
        <v>5456</v>
      </c>
      <c r="H272" s="8" t="s">
        <v>5457</v>
      </c>
      <c r="I272" s="8" t="s">
        <v>4223</v>
      </c>
      <c r="J272" s="8" t="s">
        <v>5458</v>
      </c>
      <c r="K272" s="8" t="s">
        <v>5459</v>
      </c>
      <c r="L272" s="8" t="s">
        <v>5460</v>
      </c>
      <c r="M272" s="8" t="s">
        <v>5461</v>
      </c>
      <c r="N272" s="8" t="s">
        <v>5462</v>
      </c>
    </row>
    <row r="273" spans="1:14" s="73" customFormat="1" ht="409.6">
      <c r="A273" s="75">
        <v>272</v>
      </c>
      <c r="B273" s="74" t="s">
        <v>789</v>
      </c>
      <c r="C273" s="75" t="s">
        <v>1639</v>
      </c>
      <c r="D273" s="8" t="s">
        <v>1076</v>
      </c>
      <c r="E273" s="8" t="s">
        <v>5463</v>
      </c>
      <c r="F273" s="8" t="s">
        <v>29</v>
      </c>
      <c r="G273" s="8" t="s">
        <v>5464</v>
      </c>
      <c r="H273" s="8" t="s">
        <v>5465</v>
      </c>
      <c r="I273" s="8" t="s">
        <v>5093</v>
      </c>
      <c r="J273" s="8" t="s">
        <v>17</v>
      </c>
      <c r="K273" s="8" t="s">
        <v>5466</v>
      </c>
      <c r="L273" s="8" t="s">
        <v>5467</v>
      </c>
      <c r="M273" s="8" t="s">
        <v>5461</v>
      </c>
      <c r="N273" s="8" t="s">
        <v>4194</v>
      </c>
    </row>
    <row r="274" spans="1:14" s="73" customFormat="1" ht="335.6">
      <c r="A274" s="75">
        <v>273</v>
      </c>
      <c r="B274" s="74" t="s">
        <v>760</v>
      </c>
      <c r="C274" s="75" t="s">
        <v>1588</v>
      </c>
      <c r="D274" s="8" t="s">
        <v>1589</v>
      </c>
      <c r="E274" s="8" t="s">
        <v>5468</v>
      </c>
      <c r="F274" s="8" t="s">
        <v>29</v>
      </c>
      <c r="G274" s="8" t="s">
        <v>1591</v>
      </c>
      <c r="H274" s="8" t="s">
        <v>5469</v>
      </c>
      <c r="I274" s="8" t="s">
        <v>5470</v>
      </c>
      <c r="J274" s="8" t="s">
        <v>796</v>
      </c>
      <c r="K274" s="8" t="s">
        <v>5471</v>
      </c>
      <c r="L274" s="8" t="s">
        <v>5472</v>
      </c>
      <c r="M274" s="8" t="s">
        <v>5473</v>
      </c>
      <c r="N274" s="81"/>
    </row>
    <row r="275" spans="1:14" s="73" customFormat="1" ht="409.6">
      <c r="A275" s="75">
        <v>274</v>
      </c>
      <c r="B275" s="74" t="s">
        <v>1390</v>
      </c>
      <c r="C275" s="75" t="s">
        <v>390</v>
      </c>
      <c r="D275" s="85" t="s">
        <v>5474</v>
      </c>
      <c r="E275" s="85" t="s">
        <v>5475</v>
      </c>
      <c r="F275" s="85" t="s">
        <v>29</v>
      </c>
      <c r="G275" s="85" t="s">
        <v>5476</v>
      </c>
      <c r="H275" s="85" t="s">
        <v>5477</v>
      </c>
      <c r="I275" s="85" t="s">
        <v>17</v>
      </c>
      <c r="J275" s="85" t="s">
        <v>607</v>
      </c>
      <c r="K275" s="8" t="s">
        <v>5478</v>
      </c>
      <c r="L275" s="85"/>
      <c r="M275" s="85"/>
      <c r="N275" s="8" t="s">
        <v>5479</v>
      </c>
    </row>
    <row r="276" spans="1:14" s="73" customFormat="1" ht="261">
      <c r="A276" s="75">
        <v>275</v>
      </c>
      <c r="B276" s="74" t="s">
        <v>50</v>
      </c>
      <c r="C276" s="75" t="s">
        <v>1218</v>
      </c>
      <c r="D276" s="86" t="s">
        <v>5480</v>
      </c>
      <c r="E276" s="85" t="s">
        <v>5481</v>
      </c>
      <c r="F276" s="81" t="s">
        <v>720</v>
      </c>
      <c r="G276" s="8" t="s">
        <v>5482</v>
      </c>
      <c r="H276" s="85" t="s">
        <v>5483</v>
      </c>
      <c r="I276" s="85" t="s">
        <v>5484</v>
      </c>
      <c r="J276" s="85" t="s">
        <v>5485</v>
      </c>
      <c r="K276" s="8" t="s">
        <v>5486</v>
      </c>
      <c r="L276" s="86" t="s">
        <v>5487</v>
      </c>
      <c r="M276" s="85" t="s">
        <v>17</v>
      </c>
      <c r="N276" s="8"/>
    </row>
    <row r="277" spans="1:14" s="73" customFormat="1" ht="186.45">
      <c r="A277" s="75">
        <v>276</v>
      </c>
      <c r="B277" s="74" t="s">
        <v>13</v>
      </c>
      <c r="C277" s="75" t="s">
        <v>390</v>
      </c>
      <c r="D277" s="8" t="s">
        <v>791</v>
      </c>
      <c r="E277" s="8" t="s">
        <v>839</v>
      </c>
      <c r="F277" s="8" t="s">
        <v>88</v>
      </c>
      <c r="G277" s="8" t="s">
        <v>840</v>
      </c>
      <c r="H277" s="8" t="s">
        <v>5488</v>
      </c>
      <c r="I277" s="8" t="s">
        <v>5489</v>
      </c>
      <c r="J277" s="8" t="s">
        <v>17</v>
      </c>
      <c r="K277" s="8" t="s">
        <v>5490</v>
      </c>
      <c r="L277" s="8" t="s">
        <v>5491</v>
      </c>
      <c r="M277" s="8" t="s">
        <v>17</v>
      </c>
      <c r="N277" s="8"/>
    </row>
    <row r="278" spans="1:14" s="73" customFormat="1" ht="372.9">
      <c r="A278" s="75">
        <v>277</v>
      </c>
      <c r="B278" s="74" t="s">
        <v>760</v>
      </c>
      <c r="C278" s="75" t="s">
        <v>1596</v>
      </c>
      <c r="D278" s="8" t="s">
        <v>5492</v>
      </c>
      <c r="E278" s="8" t="s">
        <v>5493</v>
      </c>
      <c r="F278" s="8" t="s">
        <v>29</v>
      </c>
      <c r="G278" s="8" t="s">
        <v>5494</v>
      </c>
      <c r="H278" s="8" t="s">
        <v>5495</v>
      </c>
      <c r="I278" s="8" t="s">
        <v>5496</v>
      </c>
      <c r="J278" s="8" t="s">
        <v>5497</v>
      </c>
      <c r="K278" s="8" t="s">
        <v>5498</v>
      </c>
      <c r="L278" s="8" t="s">
        <v>5499</v>
      </c>
      <c r="M278" s="8" t="s">
        <v>5500</v>
      </c>
      <c r="N278" s="8" t="s">
        <v>5501</v>
      </c>
    </row>
    <row r="279" spans="1:14" s="73" customFormat="1" ht="409.6">
      <c r="A279" s="75">
        <v>278</v>
      </c>
      <c r="B279" s="74" t="s">
        <v>50</v>
      </c>
      <c r="C279" s="75" t="s">
        <v>1243</v>
      </c>
      <c r="D279" s="8" t="s">
        <v>1244</v>
      </c>
      <c r="E279" s="8" t="s">
        <v>17</v>
      </c>
      <c r="F279" s="8" t="s">
        <v>88</v>
      </c>
      <c r="G279" s="8" t="s">
        <v>1245</v>
      </c>
      <c r="H279" s="8" t="s">
        <v>5502</v>
      </c>
      <c r="I279" s="8" t="s">
        <v>4140</v>
      </c>
      <c r="J279" s="8" t="s">
        <v>17</v>
      </c>
      <c r="K279" s="8" t="s">
        <v>1247</v>
      </c>
      <c r="L279" s="8" t="s">
        <v>17</v>
      </c>
      <c r="M279" s="8" t="s">
        <v>17</v>
      </c>
      <c r="N279" s="8" t="s">
        <v>5503</v>
      </c>
    </row>
    <row r="280" spans="1:14" s="73" customFormat="1" ht="409.6">
      <c r="A280" s="75">
        <v>279</v>
      </c>
      <c r="B280" s="74" t="s">
        <v>1148</v>
      </c>
      <c r="C280" s="75" t="s">
        <v>295</v>
      </c>
      <c r="D280" s="8" t="s">
        <v>17</v>
      </c>
      <c r="E280" s="8" t="s">
        <v>17</v>
      </c>
      <c r="F280" s="8" t="s">
        <v>29</v>
      </c>
      <c r="G280" s="8" t="s">
        <v>5504</v>
      </c>
      <c r="H280" s="8" t="s">
        <v>5505</v>
      </c>
      <c r="I280" s="8" t="s">
        <v>5506</v>
      </c>
      <c r="J280" s="8" t="s">
        <v>17</v>
      </c>
      <c r="K280" s="8" t="s">
        <v>5507</v>
      </c>
      <c r="L280" s="8" t="s">
        <v>17</v>
      </c>
      <c r="M280" s="8" t="s">
        <v>17</v>
      </c>
      <c r="N280" s="8"/>
    </row>
    <row r="281" spans="1:14" s="73" customFormat="1" ht="335.6">
      <c r="A281" s="75">
        <v>280</v>
      </c>
      <c r="B281" s="74" t="s">
        <v>1226</v>
      </c>
      <c r="C281" s="75" t="s">
        <v>1237</v>
      </c>
      <c r="D281" s="8" t="s">
        <v>1238</v>
      </c>
      <c r="E281" s="8" t="s">
        <v>17</v>
      </c>
      <c r="F281" s="8" t="s">
        <v>5508</v>
      </c>
      <c r="G281" s="8" t="s">
        <v>5509</v>
      </c>
      <c r="H281" s="8" t="s">
        <v>5510</v>
      </c>
      <c r="I281" s="8" t="s">
        <v>5511</v>
      </c>
      <c r="J281" s="8" t="s">
        <v>17</v>
      </c>
      <c r="K281" s="8" t="s">
        <v>1242</v>
      </c>
      <c r="L281" s="8" t="s">
        <v>17</v>
      </c>
      <c r="M281" s="8" t="s">
        <v>5512</v>
      </c>
      <c r="N281" s="8"/>
    </row>
    <row r="282" spans="1:14" s="73" customFormat="1" ht="409.6">
      <c r="A282" s="75">
        <v>281</v>
      </c>
      <c r="B282" s="74" t="s">
        <v>1636</v>
      </c>
      <c r="C282" s="75" t="s">
        <v>43</v>
      </c>
      <c r="D282" s="8" t="s">
        <v>5513</v>
      </c>
      <c r="E282" s="8" t="s">
        <v>5514</v>
      </c>
      <c r="F282" s="8" t="s">
        <v>29</v>
      </c>
      <c r="G282" s="8" t="s">
        <v>17</v>
      </c>
      <c r="H282" s="8" t="s">
        <v>17</v>
      </c>
      <c r="I282" s="8" t="s">
        <v>5515</v>
      </c>
      <c r="J282" s="8" t="s">
        <v>17</v>
      </c>
      <c r="K282" s="8" t="s">
        <v>5516</v>
      </c>
      <c r="L282" s="8" t="s">
        <v>5517</v>
      </c>
      <c r="M282" s="8" t="s">
        <v>5518</v>
      </c>
      <c r="N282" s="8" t="s">
        <v>5519</v>
      </c>
    </row>
    <row r="283" spans="1:14" s="73" customFormat="1" ht="409.6">
      <c r="A283" s="75">
        <v>282</v>
      </c>
      <c r="B283" s="74" t="s">
        <v>1257</v>
      </c>
      <c r="C283" s="84" t="s">
        <v>74</v>
      </c>
      <c r="D283" s="85" t="s">
        <v>5520</v>
      </c>
      <c r="E283" s="85" t="s">
        <v>5521</v>
      </c>
      <c r="F283" s="85" t="s">
        <v>29</v>
      </c>
      <c r="G283" s="85" t="s">
        <v>5522</v>
      </c>
      <c r="H283" s="85" t="s">
        <v>5523</v>
      </c>
      <c r="I283" s="85" t="s">
        <v>5524</v>
      </c>
      <c r="J283" s="85" t="s">
        <v>17</v>
      </c>
      <c r="K283" s="8" t="s">
        <v>5525</v>
      </c>
      <c r="L283" s="85" t="s">
        <v>5526</v>
      </c>
      <c r="M283" s="8" t="s">
        <v>17</v>
      </c>
      <c r="N283" s="85"/>
    </row>
    <row r="284" spans="1:14" s="73" customFormat="1" ht="409.6">
      <c r="A284" s="75">
        <v>283</v>
      </c>
      <c r="B284" s="74" t="s">
        <v>789</v>
      </c>
      <c r="C284" s="75" t="s">
        <v>5527</v>
      </c>
      <c r="D284" s="8" t="s">
        <v>1076</v>
      </c>
      <c r="E284" s="8" t="s">
        <v>892</v>
      </c>
      <c r="F284" s="8" t="s">
        <v>29</v>
      </c>
      <c r="G284" s="8" t="s">
        <v>5528</v>
      </c>
      <c r="H284" s="8" t="s">
        <v>5529</v>
      </c>
      <c r="I284" s="8" t="s">
        <v>5530</v>
      </c>
      <c r="J284" s="8" t="s">
        <v>17</v>
      </c>
      <c r="K284" s="8" t="s">
        <v>5531</v>
      </c>
      <c r="L284" s="8" t="s">
        <v>5532</v>
      </c>
      <c r="M284" s="8" t="s">
        <v>5533</v>
      </c>
      <c r="N284" s="8"/>
    </row>
    <row r="285" spans="1:14" s="73" customFormat="1" ht="409.6">
      <c r="A285" s="75">
        <v>284</v>
      </c>
      <c r="B285" s="74" t="s">
        <v>789</v>
      </c>
      <c r="C285" s="75" t="s">
        <v>1315</v>
      </c>
      <c r="D285" s="85" t="s">
        <v>1076</v>
      </c>
      <c r="E285" s="85" t="s">
        <v>892</v>
      </c>
      <c r="F285" s="85" t="s">
        <v>29</v>
      </c>
      <c r="G285" s="85" t="s">
        <v>5534</v>
      </c>
      <c r="H285" s="85" t="s">
        <v>5535</v>
      </c>
      <c r="I285" s="85" t="s">
        <v>5535</v>
      </c>
      <c r="J285" s="85" t="s">
        <v>5536</v>
      </c>
      <c r="K285" s="8" t="s">
        <v>5537</v>
      </c>
      <c r="L285" s="86" t="s">
        <v>5538</v>
      </c>
      <c r="M285" s="86" t="s">
        <v>5539</v>
      </c>
      <c r="N285" s="85"/>
    </row>
    <row r="286" spans="1:14" s="73" customFormat="1" ht="335.6">
      <c r="A286" s="75">
        <v>285</v>
      </c>
      <c r="B286" s="74" t="s">
        <v>1390</v>
      </c>
      <c r="C286" s="75" t="s">
        <v>5073</v>
      </c>
      <c r="D286" s="8" t="s">
        <v>572</v>
      </c>
      <c r="E286" s="8" t="s">
        <v>5540</v>
      </c>
      <c r="F286" s="8" t="s">
        <v>29</v>
      </c>
      <c r="G286" s="8" t="s">
        <v>5541</v>
      </c>
      <c r="H286" s="8" t="s">
        <v>5542</v>
      </c>
      <c r="I286" s="8" t="s">
        <v>5543</v>
      </c>
      <c r="J286" s="8" t="s">
        <v>5544</v>
      </c>
      <c r="K286" s="8" t="s">
        <v>5545</v>
      </c>
      <c r="L286" s="8" t="s">
        <v>17</v>
      </c>
      <c r="M286" s="8" t="s">
        <v>5546</v>
      </c>
      <c r="N286" s="8"/>
    </row>
    <row r="287" spans="1:14" s="73" customFormat="1" ht="409.6">
      <c r="A287" s="75">
        <v>286</v>
      </c>
      <c r="B287" s="74" t="s">
        <v>760</v>
      </c>
      <c r="C287" s="84" t="s">
        <v>799</v>
      </c>
      <c r="D287" s="85" t="s">
        <v>36</v>
      </c>
      <c r="E287" s="85" t="s">
        <v>60</v>
      </c>
      <c r="F287" s="85" t="s">
        <v>88</v>
      </c>
      <c r="G287" s="85" t="s">
        <v>5547</v>
      </c>
      <c r="H287" s="85" t="s">
        <v>5548</v>
      </c>
      <c r="I287" s="85" t="s">
        <v>5549</v>
      </c>
      <c r="J287" s="85" t="s">
        <v>5550</v>
      </c>
      <c r="K287" s="8" t="s">
        <v>5551</v>
      </c>
      <c r="L287" s="85" t="s">
        <v>17</v>
      </c>
      <c r="M287" s="8" t="s">
        <v>5552</v>
      </c>
      <c r="N287" s="85" t="s">
        <v>5553</v>
      </c>
    </row>
    <row r="288" spans="1:14" s="73" customFormat="1" ht="409.6">
      <c r="A288" s="75">
        <v>287</v>
      </c>
      <c r="B288" s="74" t="s">
        <v>789</v>
      </c>
      <c r="C288" s="84" t="s">
        <v>5554</v>
      </c>
      <c r="D288" s="85" t="s">
        <v>5433</v>
      </c>
      <c r="E288" s="85" t="s">
        <v>5555</v>
      </c>
      <c r="F288" s="85" t="s">
        <v>29</v>
      </c>
      <c r="G288" s="86" t="s">
        <v>5556</v>
      </c>
      <c r="H288" s="85" t="s">
        <v>5557</v>
      </c>
      <c r="I288" s="85" t="s">
        <v>5543</v>
      </c>
      <c r="J288" s="85" t="s">
        <v>17</v>
      </c>
      <c r="K288" s="8" t="s">
        <v>5558</v>
      </c>
      <c r="L288" s="86" t="s">
        <v>5559</v>
      </c>
      <c r="M288" s="86" t="s">
        <v>5560</v>
      </c>
      <c r="N288" s="85"/>
    </row>
    <row r="289" spans="1:14" s="73" customFormat="1" ht="409.6">
      <c r="A289" s="75">
        <v>288</v>
      </c>
      <c r="B289" s="74" t="s">
        <v>789</v>
      </c>
      <c r="C289" s="75" t="s">
        <v>5561</v>
      </c>
      <c r="D289" s="8" t="s">
        <v>5562</v>
      </c>
      <c r="E289" s="8" t="s">
        <v>5563</v>
      </c>
      <c r="F289" s="8" t="s">
        <v>5564</v>
      </c>
      <c r="G289" s="8" t="s">
        <v>17</v>
      </c>
      <c r="H289" s="8" t="s">
        <v>5565</v>
      </c>
      <c r="I289" s="8" t="s">
        <v>5566</v>
      </c>
      <c r="J289" s="8" t="s">
        <v>17</v>
      </c>
      <c r="K289" s="8" t="s">
        <v>5567</v>
      </c>
      <c r="L289" s="8" t="s">
        <v>5568</v>
      </c>
      <c r="M289" s="8" t="s">
        <v>5569</v>
      </c>
      <c r="N289" s="8"/>
    </row>
    <row r="290" spans="1:14" s="73" customFormat="1" ht="409.6">
      <c r="A290" s="75">
        <v>289</v>
      </c>
      <c r="B290" s="74" t="s">
        <v>1619</v>
      </c>
      <c r="C290" s="75" t="s">
        <v>1651</v>
      </c>
      <c r="D290" s="85" t="s">
        <v>5570</v>
      </c>
      <c r="E290" s="85" t="s">
        <v>5571</v>
      </c>
      <c r="F290" s="85" t="s">
        <v>29</v>
      </c>
      <c r="G290" s="85" t="s">
        <v>5572</v>
      </c>
      <c r="H290" s="85" t="s">
        <v>5573</v>
      </c>
      <c r="I290" s="85" t="s">
        <v>5574</v>
      </c>
      <c r="J290" s="85" t="s">
        <v>5573</v>
      </c>
      <c r="K290" s="8" t="s">
        <v>5575</v>
      </c>
      <c r="L290" s="8" t="s">
        <v>5576</v>
      </c>
      <c r="M290" s="8" t="s">
        <v>5577</v>
      </c>
      <c r="N290" s="85"/>
    </row>
    <row r="291" spans="1:14" s="73" customFormat="1" ht="77.150000000000006">
      <c r="A291" s="75">
        <v>290</v>
      </c>
      <c r="B291" s="74" t="s">
        <v>50</v>
      </c>
      <c r="C291" s="75" t="s">
        <v>5578</v>
      </c>
      <c r="D291" s="85" t="s">
        <v>17</v>
      </c>
      <c r="E291" s="85" t="s">
        <v>17</v>
      </c>
      <c r="F291" s="85" t="s">
        <v>17</v>
      </c>
      <c r="G291" s="85" t="s">
        <v>17</v>
      </c>
      <c r="H291" s="85" t="s">
        <v>5579</v>
      </c>
      <c r="I291" s="85" t="s">
        <v>17</v>
      </c>
      <c r="J291" s="85" t="s">
        <v>17</v>
      </c>
      <c r="K291" s="8" t="s">
        <v>17</v>
      </c>
      <c r="L291" s="8" t="s">
        <v>17</v>
      </c>
      <c r="M291" s="8" t="s">
        <v>17</v>
      </c>
      <c r="N291" s="85"/>
    </row>
    <row r="292" spans="1:14" s="73" customFormat="1" ht="149.15">
      <c r="A292" s="75">
        <v>291</v>
      </c>
      <c r="B292" s="74" t="s">
        <v>1671</v>
      </c>
      <c r="C292" s="75" t="s">
        <v>5580</v>
      </c>
      <c r="D292" s="8" t="s">
        <v>17</v>
      </c>
      <c r="E292" s="8" t="s">
        <v>17</v>
      </c>
      <c r="F292" s="8" t="s">
        <v>29</v>
      </c>
      <c r="G292" s="8" t="s">
        <v>17</v>
      </c>
      <c r="H292" s="8" t="s">
        <v>5581</v>
      </c>
      <c r="I292" s="8" t="s">
        <v>5582</v>
      </c>
      <c r="J292" s="8" t="s">
        <v>5583</v>
      </c>
      <c r="K292" s="8" t="s">
        <v>17</v>
      </c>
      <c r="L292" s="8" t="s">
        <v>5584</v>
      </c>
      <c r="M292" s="8" t="s">
        <v>17</v>
      </c>
      <c r="N292" s="8"/>
    </row>
    <row r="293" spans="1:14" s="73" customFormat="1" ht="38.6">
      <c r="A293" s="75">
        <v>292</v>
      </c>
      <c r="B293" s="74" t="s">
        <v>5585</v>
      </c>
      <c r="C293" s="75" t="s">
        <v>5586</v>
      </c>
      <c r="D293" s="85" t="s">
        <v>5587</v>
      </c>
      <c r="E293" s="85" t="s">
        <v>5588</v>
      </c>
      <c r="F293" s="85" t="s">
        <v>88</v>
      </c>
      <c r="G293" s="85" t="s">
        <v>17</v>
      </c>
      <c r="H293" s="85" t="s">
        <v>5589</v>
      </c>
      <c r="I293" s="85" t="s">
        <v>5590</v>
      </c>
      <c r="J293" s="85" t="s">
        <v>5591</v>
      </c>
      <c r="K293" s="8" t="s">
        <v>17</v>
      </c>
      <c r="L293" s="85" t="s">
        <v>17</v>
      </c>
      <c r="M293" s="85" t="s">
        <v>17</v>
      </c>
      <c r="N293" s="85"/>
    </row>
    <row r="294" spans="1:14" s="73" customFormat="1" ht="409.6">
      <c r="A294" s="75">
        <v>293</v>
      </c>
      <c r="B294" s="74" t="s">
        <v>789</v>
      </c>
      <c r="C294" s="75" t="s">
        <v>5592</v>
      </c>
      <c r="D294" s="85" t="s">
        <v>5593</v>
      </c>
      <c r="E294" s="85" t="s">
        <v>5594</v>
      </c>
      <c r="F294" s="85" t="s">
        <v>5564</v>
      </c>
      <c r="G294" s="85" t="s">
        <v>5595</v>
      </c>
      <c r="H294" s="85" t="s">
        <v>5596</v>
      </c>
      <c r="I294" s="85" t="s">
        <v>5597</v>
      </c>
      <c r="J294" s="85" t="s">
        <v>5598</v>
      </c>
      <c r="K294" s="8" t="s">
        <v>5599</v>
      </c>
      <c r="L294" s="86" t="s">
        <v>5600</v>
      </c>
      <c r="M294" s="86" t="s">
        <v>5601</v>
      </c>
      <c r="N294" s="85"/>
    </row>
    <row r="295" spans="1:14" s="73" customFormat="1" ht="409.6">
      <c r="A295" s="75">
        <v>294</v>
      </c>
      <c r="B295" s="74" t="s">
        <v>287</v>
      </c>
      <c r="C295" s="84" t="s">
        <v>390</v>
      </c>
      <c r="D295" s="85" t="s">
        <v>5602</v>
      </c>
      <c r="E295" s="85" t="s">
        <v>5603</v>
      </c>
      <c r="F295" s="85" t="s">
        <v>29</v>
      </c>
      <c r="G295" s="85" t="s">
        <v>5604</v>
      </c>
      <c r="H295" s="85" t="s">
        <v>5603</v>
      </c>
      <c r="I295" s="85" t="s">
        <v>5605</v>
      </c>
      <c r="J295" s="85" t="s">
        <v>5606</v>
      </c>
      <c r="K295" s="8" t="s">
        <v>5607</v>
      </c>
      <c r="L295" s="86" t="s">
        <v>5608</v>
      </c>
      <c r="M295" s="85" t="s">
        <v>17</v>
      </c>
      <c r="N295" s="85"/>
    </row>
    <row r="296" spans="1:14" s="73" customFormat="1" ht="409.6">
      <c r="A296" s="75">
        <v>295</v>
      </c>
      <c r="B296" s="74" t="s">
        <v>789</v>
      </c>
      <c r="C296" s="75" t="s">
        <v>5609</v>
      </c>
      <c r="D296" s="85" t="s">
        <v>5610</v>
      </c>
      <c r="E296" s="85" t="s">
        <v>5611</v>
      </c>
      <c r="F296" s="85" t="s">
        <v>29</v>
      </c>
      <c r="G296" s="85" t="s">
        <v>5612</v>
      </c>
      <c r="H296" s="85" t="s">
        <v>5613</v>
      </c>
      <c r="I296" s="85" t="s">
        <v>5614</v>
      </c>
      <c r="J296" s="85" t="s">
        <v>17</v>
      </c>
      <c r="K296" s="8" t="s">
        <v>5615</v>
      </c>
      <c r="L296" s="85" t="s">
        <v>5120</v>
      </c>
      <c r="M296" s="86" t="s">
        <v>5616</v>
      </c>
      <c r="N296" s="85"/>
    </row>
    <row r="297" spans="1:14" s="73" customFormat="1" ht="409.6">
      <c r="A297" s="75">
        <v>296</v>
      </c>
      <c r="B297" s="74" t="s">
        <v>789</v>
      </c>
      <c r="C297" s="75" t="s">
        <v>5617</v>
      </c>
      <c r="D297" s="8" t="s">
        <v>1076</v>
      </c>
      <c r="E297" s="8" t="s">
        <v>5618</v>
      </c>
      <c r="F297" s="8" t="s">
        <v>29</v>
      </c>
      <c r="G297" s="8" t="s">
        <v>5619</v>
      </c>
      <c r="H297" s="8" t="s">
        <v>5620</v>
      </c>
      <c r="I297" s="8" t="s">
        <v>5620</v>
      </c>
      <c r="J297" s="8" t="s">
        <v>5621</v>
      </c>
      <c r="K297" s="8" t="s">
        <v>5622</v>
      </c>
      <c r="L297" s="8" t="s">
        <v>5623</v>
      </c>
      <c r="M297" s="8" t="s">
        <v>5624</v>
      </c>
      <c r="N297" s="8"/>
    </row>
    <row r="298" spans="1:14" s="73" customFormat="1" ht="409.6">
      <c r="A298" s="75">
        <v>297</v>
      </c>
      <c r="B298" s="74" t="s">
        <v>1671</v>
      </c>
      <c r="C298" s="75" t="s">
        <v>43</v>
      </c>
      <c r="D298" s="85" t="s">
        <v>5625</v>
      </c>
      <c r="E298" s="85" t="s">
        <v>5626</v>
      </c>
      <c r="F298" s="85" t="s">
        <v>29</v>
      </c>
      <c r="G298" s="85" t="s">
        <v>5627</v>
      </c>
      <c r="H298" s="85" t="s">
        <v>5628</v>
      </c>
      <c r="I298" s="85" t="s">
        <v>5629</v>
      </c>
      <c r="J298" s="85" t="s">
        <v>17</v>
      </c>
      <c r="K298" s="8" t="s">
        <v>5630</v>
      </c>
      <c r="L298" s="8" t="s">
        <v>5631</v>
      </c>
      <c r="M298" s="85" t="s">
        <v>17</v>
      </c>
      <c r="N298" s="85"/>
    </row>
    <row r="299" spans="1:14" s="73" customFormat="1" ht="261">
      <c r="A299" s="75">
        <v>298</v>
      </c>
      <c r="B299" s="74" t="s">
        <v>2659</v>
      </c>
      <c r="C299" s="75" t="s">
        <v>5632</v>
      </c>
      <c r="D299" s="8" t="s">
        <v>5633</v>
      </c>
      <c r="E299" s="8" t="s">
        <v>17</v>
      </c>
      <c r="F299" s="8" t="s">
        <v>29</v>
      </c>
      <c r="G299" s="8" t="s">
        <v>17</v>
      </c>
      <c r="H299" s="8" t="s">
        <v>5634</v>
      </c>
      <c r="I299" s="8" t="s">
        <v>5635</v>
      </c>
      <c r="J299" s="8" t="s">
        <v>17</v>
      </c>
      <c r="K299" s="8" t="s">
        <v>17</v>
      </c>
      <c r="L299" s="85" t="s">
        <v>17</v>
      </c>
      <c r="M299" s="85" t="s">
        <v>17</v>
      </c>
      <c r="N299" s="8"/>
    </row>
    <row r="300" spans="1:14" s="73" customFormat="1" ht="261">
      <c r="A300" s="75">
        <v>299</v>
      </c>
      <c r="B300" s="74" t="s">
        <v>2659</v>
      </c>
      <c r="C300" s="75" t="s">
        <v>5636</v>
      </c>
      <c r="D300" s="8" t="s">
        <v>5637</v>
      </c>
      <c r="E300" s="8" t="s">
        <v>17</v>
      </c>
      <c r="F300" s="8" t="s">
        <v>29</v>
      </c>
      <c r="G300" s="8" t="s">
        <v>17</v>
      </c>
      <c r="H300" s="8" t="s">
        <v>5638</v>
      </c>
      <c r="I300" s="8" t="s">
        <v>5639</v>
      </c>
      <c r="J300" s="8" t="s">
        <v>5640</v>
      </c>
      <c r="K300" s="8" t="s">
        <v>17</v>
      </c>
      <c r="L300" s="85" t="s">
        <v>17</v>
      </c>
      <c r="M300" s="85" t="s">
        <v>17</v>
      </c>
      <c r="N300" s="8"/>
    </row>
    <row r="301" spans="1:14" s="73" customFormat="1" ht="149.15">
      <c r="A301" s="75">
        <v>300</v>
      </c>
      <c r="B301" s="74" t="s">
        <v>1326</v>
      </c>
      <c r="C301" s="75" t="s">
        <v>43</v>
      </c>
      <c r="D301" s="85" t="s">
        <v>5641</v>
      </c>
      <c r="E301" s="85" t="s">
        <v>5642</v>
      </c>
      <c r="F301" s="85" t="s">
        <v>29</v>
      </c>
      <c r="G301" s="85" t="s">
        <v>17</v>
      </c>
      <c r="H301" s="85" t="s">
        <v>5643</v>
      </c>
      <c r="I301" s="85" t="s">
        <v>5644</v>
      </c>
      <c r="J301" s="85" t="s">
        <v>5645</v>
      </c>
      <c r="K301" s="8" t="s">
        <v>5646</v>
      </c>
      <c r="L301" s="85" t="s">
        <v>17</v>
      </c>
      <c r="M301" s="85" t="s">
        <v>17</v>
      </c>
      <c r="N301" s="85"/>
    </row>
    <row r="302" spans="1:14" s="73" customFormat="1" ht="409.6">
      <c r="A302" s="75">
        <v>301</v>
      </c>
      <c r="B302" s="74" t="s">
        <v>1388</v>
      </c>
      <c r="C302" s="75" t="s">
        <v>43</v>
      </c>
      <c r="D302" s="8" t="s">
        <v>17</v>
      </c>
      <c r="E302" s="8" t="s">
        <v>17</v>
      </c>
      <c r="F302" s="8" t="s">
        <v>5647</v>
      </c>
      <c r="G302" s="8" t="s">
        <v>17</v>
      </c>
      <c r="H302" s="8" t="s">
        <v>5648</v>
      </c>
      <c r="I302" s="8" t="s">
        <v>5649</v>
      </c>
      <c r="J302" s="8" t="s">
        <v>17</v>
      </c>
      <c r="K302" s="8" t="s">
        <v>17</v>
      </c>
      <c r="L302" s="85" t="s">
        <v>17</v>
      </c>
      <c r="M302" s="85" t="s">
        <v>17</v>
      </c>
      <c r="N302" s="8"/>
    </row>
    <row r="303" spans="1:14" s="73" customFormat="1" ht="372.9">
      <c r="A303" s="75">
        <v>302</v>
      </c>
      <c r="B303" s="74" t="s">
        <v>2659</v>
      </c>
      <c r="C303" s="75" t="s">
        <v>5650</v>
      </c>
      <c r="D303" s="8" t="s">
        <v>5651</v>
      </c>
      <c r="E303" s="8" t="s">
        <v>17</v>
      </c>
      <c r="F303" s="8" t="s">
        <v>29</v>
      </c>
      <c r="G303" s="8" t="s">
        <v>17</v>
      </c>
      <c r="H303" s="8" t="s">
        <v>5652</v>
      </c>
      <c r="I303" s="8" t="s">
        <v>5653</v>
      </c>
      <c r="J303" s="8" t="s">
        <v>5654</v>
      </c>
      <c r="K303" s="8" t="s">
        <v>17</v>
      </c>
      <c r="L303" s="85" t="s">
        <v>17</v>
      </c>
      <c r="M303" s="85" t="s">
        <v>17</v>
      </c>
      <c r="N303" s="8"/>
    </row>
    <row r="304" spans="1:14" s="73" customFormat="1" ht="409.6">
      <c r="A304" s="75">
        <v>303</v>
      </c>
      <c r="B304" s="74" t="s">
        <v>789</v>
      </c>
      <c r="C304" s="75" t="s">
        <v>1174</v>
      </c>
      <c r="D304" s="85" t="s">
        <v>791</v>
      </c>
      <c r="E304" s="85" t="s">
        <v>1175</v>
      </c>
      <c r="F304" s="85" t="s">
        <v>5564</v>
      </c>
      <c r="G304" s="85" t="s">
        <v>5655</v>
      </c>
      <c r="H304" s="85" t="s">
        <v>5656</v>
      </c>
      <c r="I304" s="85" t="s">
        <v>5657</v>
      </c>
      <c r="J304" s="85" t="s">
        <v>5658</v>
      </c>
      <c r="K304" s="8" t="s">
        <v>5659</v>
      </c>
      <c r="L304" s="85" t="s">
        <v>17</v>
      </c>
      <c r="M304" s="86" t="s">
        <v>5660</v>
      </c>
      <c r="N304" s="85"/>
    </row>
    <row r="305" spans="1:14" s="73" customFormat="1" ht="409.6">
      <c r="A305" s="75">
        <v>304</v>
      </c>
      <c r="B305" s="74" t="s">
        <v>1388</v>
      </c>
      <c r="C305" s="75" t="s">
        <v>1475</v>
      </c>
      <c r="D305" s="85" t="s">
        <v>5661</v>
      </c>
      <c r="E305" s="85" t="s">
        <v>5662</v>
      </c>
      <c r="F305" s="85" t="s">
        <v>88</v>
      </c>
      <c r="G305" s="85" t="s">
        <v>5663</v>
      </c>
      <c r="H305" s="85" t="s">
        <v>5664</v>
      </c>
      <c r="I305" s="85" t="s">
        <v>5665</v>
      </c>
      <c r="J305" s="85" t="s">
        <v>17</v>
      </c>
      <c r="K305" s="8" t="s">
        <v>5666</v>
      </c>
      <c r="L305" s="85" t="s">
        <v>17</v>
      </c>
      <c r="M305" s="85" t="s">
        <v>17</v>
      </c>
      <c r="N305" s="86" t="s">
        <v>5667</v>
      </c>
    </row>
    <row r="306" spans="1:14" s="73" customFormat="1" ht="409.6">
      <c r="A306" s="75">
        <v>305</v>
      </c>
      <c r="B306" s="74" t="s">
        <v>2659</v>
      </c>
      <c r="C306" s="75" t="s">
        <v>5668</v>
      </c>
      <c r="D306" s="8" t="s">
        <v>5669</v>
      </c>
      <c r="E306" s="8" t="s">
        <v>17</v>
      </c>
      <c r="F306" s="8" t="s">
        <v>29</v>
      </c>
      <c r="G306" s="8" t="s">
        <v>17</v>
      </c>
      <c r="H306" s="8" t="s">
        <v>17</v>
      </c>
      <c r="I306" s="8" t="s">
        <v>17</v>
      </c>
      <c r="J306" s="8" t="s">
        <v>17</v>
      </c>
      <c r="K306" s="8" t="s">
        <v>5670</v>
      </c>
      <c r="L306" s="85" t="s">
        <v>17</v>
      </c>
      <c r="M306" s="85" t="s">
        <v>17</v>
      </c>
      <c r="N306" s="8"/>
    </row>
    <row r="307" spans="1:14" s="73" customFormat="1" ht="223.75">
      <c r="A307" s="75">
        <v>306</v>
      </c>
      <c r="B307" s="74" t="s">
        <v>2659</v>
      </c>
      <c r="C307" s="75" t="s">
        <v>5671</v>
      </c>
      <c r="D307" s="8" t="s">
        <v>5672</v>
      </c>
      <c r="E307" s="8" t="s">
        <v>17</v>
      </c>
      <c r="F307" s="8" t="s">
        <v>29</v>
      </c>
      <c r="G307" s="8" t="s">
        <v>17</v>
      </c>
      <c r="H307" s="8" t="s">
        <v>5673</v>
      </c>
      <c r="I307" s="8" t="s">
        <v>5674</v>
      </c>
      <c r="J307" s="8" t="s">
        <v>17</v>
      </c>
      <c r="K307" s="8" t="s">
        <v>5675</v>
      </c>
      <c r="L307" s="85" t="s">
        <v>17</v>
      </c>
      <c r="M307" s="85" t="s">
        <v>17</v>
      </c>
      <c r="N307" s="8"/>
    </row>
    <row r="308" spans="1:14" s="73" customFormat="1" ht="409.6">
      <c r="A308" s="75">
        <v>307</v>
      </c>
      <c r="B308" s="74" t="s">
        <v>333</v>
      </c>
      <c r="C308" s="75" t="s">
        <v>1435</v>
      </c>
      <c r="D308" s="8" t="s">
        <v>5676</v>
      </c>
      <c r="E308" s="8" t="s">
        <v>1437</v>
      </c>
      <c r="F308" s="8" t="s">
        <v>29</v>
      </c>
      <c r="G308" s="8" t="s">
        <v>5677</v>
      </c>
      <c r="H308" s="8" t="s">
        <v>5678</v>
      </c>
      <c r="I308" s="8" t="s">
        <v>5679</v>
      </c>
      <c r="J308" s="8" t="s">
        <v>5680</v>
      </c>
      <c r="K308" s="8" t="s">
        <v>5681</v>
      </c>
      <c r="L308" s="8" t="s">
        <v>5682</v>
      </c>
      <c r="M308" s="8" t="s">
        <v>17</v>
      </c>
      <c r="N308" s="8"/>
    </row>
    <row r="309" spans="1:14" s="73" customFormat="1" ht="409.6">
      <c r="A309" s="75">
        <v>308</v>
      </c>
      <c r="B309" s="74" t="s">
        <v>1357</v>
      </c>
      <c r="C309" s="75" t="s">
        <v>5683</v>
      </c>
      <c r="D309" s="8" t="s">
        <v>5684</v>
      </c>
      <c r="E309" s="8" t="s">
        <v>5685</v>
      </c>
      <c r="F309" s="8" t="s">
        <v>88</v>
      </c>
      <c r="G309" s="8" t="s">
        <v>5686</v>
      </c>
      <c r="H309" s="8" t="s">
        <v>5687</v>
      </c>
      <c r="I309" s="8" t="s">
        <v>5687</v>
      </c>
      <c r="J309" s="8" t="s">
        <v>17</v>
      </c>
      <c r="K309" s="8" t="s">
        <v>5686</v>
      </c>
      <c r="L309" s="8" t="s">
        <v>17</v>
      </c>
      <c r="M309" s="8" t="s">
        <v>5688</v>
      </c>
      <c r="N309" s="8"/>
    </row>
    <row r="310" spans="1:14" s="73" customFormat="1" ht="186.45">
      <c r="A310" s="75">
        <v>309</v>
      </c>
      <c r="B310" s="74" t="s">
        <v>5689</v>
      </c>
      <c r="C310" s="75" t="s">
        <v>5690</v>
      </c>
      <c r="D310" s="85" t="s">
        <v>5691</v>
      </c>
      <c r="E310" s="85" t="s">
        <v>1572</v>
      </c>
      <c r="F310" s="85" t="s">
        <v>88</v>
      </c>
      <c r="G310" s="85" t="s">
        <v>5692</v>
      </c>
      <c r="H310" s="85" t="s">
        <v>5693</v>
      </c>
      <c r="I310" s="85" t="s">
        <v>5694</v>
      </c>
      <c r="J310" s="85" t="s">
        <v>17</v>
      </c>
      <c r="K310" s="8" t="s">
        <v>5695</v>
      </c>
      <c r="L310" s="85" t="s">
        <v>17</v>
      </c>
      <c r="M310" s="85" t="s">
        <v>17</v>
      </c>
      <c r="N310" s="85"/>
    </row>
    <row r="311" spans="1:14" s="73" customFormat="1" ht="409.6">
      <c r="A311" s="75">
        <v>310</v>
      </c>
      <c r="B311" s="74" t="s">
        <v>1388</v>
      </c>
      <c r="C311" s="75" t="s">
        <v>1570</v>
      </c>
      <c r="D311" s="8" t="s">
        <v>5691</v>
      </c>
      <c r="E311" s="8" t="s">
        <v>1572</v>
      </c>
      <c r="F311" s="8" t="s">
        <v>88</v>
      </c>
      <c r="G311" s="8" t="s">
        <v>5696</v>
      </c>
      <c r="H311" s="8" t="s">
        <v>5697</v>
      </c>
      <c r="I311" s="8" t="s">
        <v>5698</v>
      </c>
      <c r="J311" s="8" t="s">
        <v>17</v>
      </c>
      <c r="K311" s="8" t="s">
        <v>5699</v>
      </c>
      <c r="L311" s="85" t="s">
        <v>17</v>
      </c>
      <c r="M311" s="85" t="s">
        <v>17</v>
      </c>
      <c r="N311" s="8"/>
    </row>
    <row r="312" spans="1:14" s="73" customFormat="1" ht="409.6">
      <c r="A312" s="75">
        <v>311</v>
      </c>
      <c r="B312" s="74" t="s">
        <v>1388</v>
      </c>
      <c r="C312" s="75" t="s">
        <v>5700</v>
      </c>
      <c r="D312" s="8" t="s">
        <v>1469</v>
      </c>
      <c r="E312" s="8" t="s">
        <v>5701</v>
      </c>
      <c r="F312" s="8" t="s">
        <v>29</v>
      </c>
      <c r="G312" s="8" t="s">
        <v>5702</v>
      </c>
      <c r="H312" s="8" t="s">
        <v>5703</v>
      </c>
      <c r="I312" s="8" t="s">
        <v>5704</v>
      </c>
      <c r="J312" s="8" t="s">
        <v>17</v>
      </c>
      <c r="K312" s="8" t="s">
        <v>5705</v>
      </c>
      <c r="L312" s="85" t="s">
        <v>17</v>
      </c>
      <c r="M312" s="85" t="s">
        <v>17</v>
      </c>
      <c r="N312" s="8"/>
    </row>
    <row r="313" spans="1:14" s="73" customFormat="1" ht="409.6">
      <c r="A313" s="75">
        <v>312</v>
      </c>
      <c r="B313" s="74" t="s">
        <v>5706</v>
      </c>
      <c r="C313" s="75" t="s">
        <v>5707</v>
      </c>
      <c r="D313" s="8" t="s">
        <v>5708</v>
      </c>
      <c r="E313" s="8" t="s">
        <v>5709</v>
      </c>
      <c r="F313" s="8" t="s">
        <v>29</v>
      </c>
      <c r="G313" s="8" t="s">
        <v>5710</v>
      </c>
      <c r="H313" s="8" t="s">
        <v>5711</v>
      </c>
      <c r="I313" s="8" t="s">
        <v>5712</v>
      </c>
      <c r="J313" s="8" t="s">
        <v>5713</v>
      </c>
      <c r="K313" s="8" t="s">
        <v>5714</v>
      </c>
      <c r="L313" s="8" t="s">
        <v>5715</v>
      </c>
      <c r="M313" s="8" t="s">
        <v>17</v>
      </c>
      <c r="N313" s="8"/>
    </row>
    <row r="314" spans="1:14" s="73" customFormat="1" ht="186.45">
      <c r="A314" s="75">
        <v>313</v>
      </c>
      <c r="B314" s="74" t="s">
        <v>1326</v>
      </c>
      <c r="C314" s="75" t="s">
        <v>5716</v>
      </c>
      <c r="D314" s="8" t="s">
        <v>17</v>
      </c>
      <c r="E314" s="8" t="s">
        <v>17</v>
      </c>
      <c r="F314" s="8" t="s">
        <v>88</v>
      </c>
      <c r="G314" s="8" t="s">
        <v>5717</v>
      </c>
      <c r="H314" s="8" t="s">
        <v>17</v>
      </c>
      <c r="I314" s="8" t="s">
        <v>5718</v>
      </c>
      <c r="J314" s="8"/>
      <c r="K314" s="8"/>
      <c r="L314" s="8" t="s">
        <v>17</v>
      </c>
      <c r="M314" s="8" t="s">
        <v>17</v>
      </c>
      <c r="N314" s="8"/>
    </row>
    <row r="315" spans="1:14" s="73" customFormat="1" ht="409.6">
      <c r="A315" s="75">
        <v>314</v>
      </c>
      <c r="B315" s="74" t="s">
        <v>1619</v>
      </c>
      <c r="C315" s="75" t="s">
        <v>5719</v>
      </c>
      <c r="D315" s="8" t="s">
        <v>52</v>
      </c>
      <c r="E315" s="8" t="s">
        <v>5720</v>
      </c>
      <c r="F315" s="8" t="s">
        <v>29</v>
      </c>
      <c r="G315" s="8" t="s">
        <v>5721</v>
      </c>
      <c r="H315" s="8" t="s">
        <v>5722</v>
      </c>
      <c r="I315" s="8" t="s">
        <v>5723</v>
      </c>
      <c r="J315" s="8" t="s">
        <v>5724</v>
      </c>
      <c r="K315" s="8" t="s">
        <v>5725</v>
      </c>
      <c r="L315" s="8" t="s">
        <v>5726</v>
      </c>
      <c r="M315" s="8" t="s">
        <v>5727</v>
      </c>
      <c r="N315" s="8"/>
    </row>
    <row r="316" spans="1:14" s="73" customFormat="1" ht="409.6">
      <c r="A316" s="75">
        <v>315</v>
      </c>
      <c r="B316" s="74" t="s">
        <v>5728</v>
      </c>
      <c r="C316" s="75" t="s">
        <v>390</v>
      </c>
      <c r="D316" s="8" t="s">
        <v>5729</v>
      </c>
      <c r="E316" s="8" t="s">
        <v>5730</v>
      </c>
      <c r="F316" s="8" t="s">
        <v>29</v>
      </c>
      <c r="G316" s="8" t="s">
        <v>5731</v>
      </c>
      <c r="H316" s="8" t="s">
        <v>5732</v>
      </c>
      <c r="I316" s="8" t="s">
        <v>5733</v>
      </c>
      <c r="J316" s="8" t="s">
        <v>17</v>
      </c>
      <c r="K316" s="8" t="s">
        <v>5734</v>
      </c>
      <c r="L316" s="8" t="s">
        <v>5735</v>
      </c>
      <c r="M316" s="8" t="s">
        <v>17</v>
      </c>
      <c r="N316" s="8"/>
    </row>
    <row r="317" spans="1:14" s="73" customFormat="1" ht="372.9">
      <c r="A317" s="75">
        <v>316</v>
      </c>
      <c r="B317" s="74" t="s">
        <v>2190</v>
      </c>
      <c r="C317" s="75" t="s">
        <v>5736</v>
      </c>
      <c r="D317" s="85" t="s">
        <v>5737</v>
      </c>
      <c r="E317" s="85" t="s">
        <v>269</v>
      </c>
      <c r="F317" s="85" t="s">
        <v>29</v>
      </c>
      <c r="G317" s="85" t="s">
        <v>17</v>
      </c>
      <c r="H317" s="85" t="s">
        <v>5738</v>
      </c>
      <c r="I317" s="85" t="s">
        <v>17</v>
      </c>
      <c r="J317" s="85" t="s">
        <v>5739</v>
      </c>
      <c r="K317" s="8" t="s">
        <v>5740</v>
      </c>
      <c r="L317" s="8" t="s">
        <v>17</v>
      </c>
      <c r="M317" s="8" t="s">
        <v>17</v>
      </c>
      <c r="N317" s="85"/>
    </row>
    <row r="318" spans="1:14" s="73" customFormat="1" ht="409.6">
      <c r="A318" s="75">
        <v>317</v>
      </c>
      <c r="B318" s="74" t="s">
        <v>677</v>
      </c>
      <c r="C318" s="75" t="s">
        <v>5741</v>
      </c>
      <c r="D318" s="85" t="s">
        <v>5742</v>
      </c>
      <c r="E318" s="85" t="s">
        <v>5743</v>
      </c>
      <c r="F318" s="85" t="s">
        <v>5744</v>
      </c>
      <c r="G318" s="85" t="s">
        <v>5745</v>
      </c>
      <c r="H318" s="85" t="s">
        <v>5746</v>
      </c>
      <c r="I318" s="85" t="s">
        <v>17</v>
      </c>
      <c r="J318" s="85" t="s">
        <v>5747</v>
      </c>
      <c r="K318" s="8" t="s">
        <v>5748</v>
      </c>
      <c r="L318" s="8" t="s">
        <v>17</v>
      </c>
      <c r="M318" s="8" t="s">
        <v>4849</v>
      </c>
      <c r="N318" s="85"/>
    </row>
    <row r="319" spans="1:14" s="73" customFormat="1" ht="409.6">
      <c r="A319" s="75">
        <v>318</v>
      </c>
      <c r="B319" s="74" t="s">
        <v>5749</v>
      </c>
      <c r="C319" s="75" t="s">
        <v>1484</v>
      </c>
      <c r="D319" s="8" t="s">
        <v>5750</v>
      </c>
      <c r="E319" s="8" t="s">
        <v>5751</v>
      </c>
      <c r="F319" s="8" t="s">
        <v>5752</v>
      </c>
      <c r="G319" s="8" t="s">
        <v>5753</v>
      </c>
      <c r="H319" s="8" t="s">
        <v>5754</v>
      </c>
      <c r="I319" s="8" t="s">
        <v>17</v>
      </c>
      <c r="J319" s="8" t="s">
        <v>1489</v>
      </c>
      <c r="K319" s="8" t="s">
        <v>5755</v>
      </c>
      <c r="L319" s="8" t="s">
        <v>17</v>
      </c>
      <c r="M319" s="8" t="s">
        <v>4849</v>
      </c>
      <c r="N319" s="8"/>
    </row>
    <row r="320" spans="1:14" s="73" customFormat="1" ht="409.6">
      <c r="A320" s="75">
        <v>319</v>
      </c>
      <c r="B320" s="74" t="s">
        <v>5756</v>
      </c>
      <c r="C320" s="75" t="s">
        <v>5757</v>
      </c>
      <c r="D320" s="8" t="s">
        <v>52</v>
      </c>
      <c r="E320" s="8" t="s">
        <v>5758</v>
      </c>
      <c r="F320" s="8" t="s">
        <v>29</v>
      </c>
      <c r="G320" s="8" t="s">
        <v>5759</v>
      </c>
      <c r="H320" s="8" t="s">
        <v>5760</v>
      </c>
      <c r="I320" s="8" t="s">
        <v>5761</v>
      </c>
      <c r="J320" s="8" t="s">
        <v>17</v>
      </c>
      <c r="K320" s="8" t="s">
        <v>17</v>
      </c>
      <c r="L320" s="8" t="s">
        <v>5762</v>
      </c>
      <c r="M320" s="8" t="s">
        <v>5763</v>
      </c>
      <c r="N320" s="8"/>
    </row>
    <row r="321" spans="1:14" s="73" customFormat="1" ht="409.6">
      <c r="A321" s="75">
        <v>320</v>
      </c>
      <c r="B321" s="74" t="s">
        <v>2659</v>
      </c>
      <c r="C321" s="75" t="s">
        <v>3311</v>
      </c>
      <c r="D321" s="8" t="s">
        <v>5764</v>
      </c>
      <c r="E321" s="8" t="s">
        <v>17</v>
      </c>
      <c r="F321" s="8" t="s">
        <v>29</v>
      </c>
      <c r="G321" s="8" t="s">
        <v>17</v>
      </c>
      <c r="H321" s="8" t="s">
        <v>5765</v>
      </c>
      <c r="I321" s="8" t="s">
        <v>5766</v>
      </c>
      <c r="J321" s="8" t="s">
        <v>17</v>
      </c>
      <c r="K321" s="8" t="s">
        <v>5767</v>
      </c>
      <c r="L321" s="8" t="s">
        <v>17</v>
      </c>
      <c r="M321" s="8" t="s">
        <v>17</v>
      </c>
      <c r="N321" s="8"/>
    </row>
    <row r="322" spans="1:14" s="73" customFormat="1" ht="409.6">
      <c r="A322" s="75">
        <v>321</v>
      </c>
      <c r="B322" s="74" t="s">
        <v>2659</v>
      </c>
      <c r="C322" s="75" t="s">
        <v>1648</v>
      </c>
      <c r="D322" s="8" t="s">
        <v>5768</v>
      </c>
      <c r="E322" s="8" t="s">
        <v>5769</v>
      </c>
      <c r="F322" s="8" t="s">
        <v>29</v>
      </c>
      <c r="G322" s="8" t="s">
        <v>5770</v>
      </c>
      <c r="H322" s="8" t="s">
        <v>5771</v>
      </c>
      <c r="I322" s="8" t="s">
        <v>5772</v>
      </c>
      <c r="J322" s="8" t="s">
        <v>5773</v>
      </c>
      <c r="K322" s="8" t="s">
        <v>5774</v>
      </c>
      <c r="L322" s="8" t="s">
        <v>17</v>
      </c>
      <c r="M322" s="8" t="s">
        <v>17</v>
      </c>
      <c r="N322" s="8"/>
    </row>
    <row r="323" spans="1:14" s="73" customFormat="1" ht="149.15">
      <c r="A323" s="75">
        <v>322</v>
      </c>
      <c r="B323" s="74" t="s">
        <v>287</v>
      </c>
      <c r="C323" s="75" t="s">
        <v>5775</v>
      </c>
      <c r="D323" s="8" t="s">
        <v>5776</v>
      </c>
      <c r="E323" s="8" t="s">
        <v>5776</v>
      </c>
      <c r="F323" s="8" t="s">
        <v>29</v>
      </c>
      <c r="G323" s="8" t="s">
        <v>5777</v>
      </c>
      <c r="H323" s="8" t="s">
        <v>5778</v>
      </c>
      <c r="I323" s="8" t="s">
        <v>5779</v>
      </c>
      <c r="J323" s="8" t="s">
        <v>17</v>
      </c>
      <c r="K323" s="8" t="s">
        <v>17</v>
      </c>
      <c r="L323" s="8" t="s">
        <v>17</v>
      </c>
      <c r="M323" s="8" t="s">
        <v>17</v>
      </c>
      <c r="N323" s="8"/>
    </row>
    <row r="324" spans="1:14" s="73" customFormat="1" ht="409.6">
      <c r="A324" s="75">
        <v>323</v>
      </c>
      <c r="B324" s="74" t="s">
        <v>1548</v>
      </c>
      <c r="C324" s="75" t="s">
        <v>390</v>
      </c>
      <c r="D324" s="8" t="s">
        <v>1550</v>
      </c>
      <c r="E324" s="8" t="s">
        <v>5780</v>
      </c>
      <c r="F324" s="8" t="s">
        <v>29</v>
      </c>
      <c r="G324" s="8" t="s">
        <v>5781</v>
      </c>
      <c r="H324" s="8" t="s">
        <v>5782</v>
      </c>
      <c r="I324" s="8" t="s">
        <v>5783</v>
      </c>
      <c r="J324" s="8" t="s">
        <v>17</v>
      </c>
      <c r="K324" s="8" t="s">
        <v>5784</v>
      </c>
      <c r="L324" s="8" t="s">
        <v>17</v>
      </c>
      <c r="M324" s="8" t="s">
        <v>17</v>
      </c>
      <c r="N324" s="8"/>
    </row>
    <row r="325" spans="1:14" s="73" customFormat="1" ht="372.9">
      <c r="A325" s="75">
        <v>324</v>
      </c>
      <c r="B325" s="74" t="s">
        <v>5706</v>
      </c>
      <c r="C325" s="84" t="s">
        <v>5785</v>
      </c>
      <c r="D325" s="8" t="s">
        <v>2026</v>
      </c>
      <c r="E325" s="8" t="s">
        <v>5786</v>
      </c>
      <c r="F325" s="8" t="s">
        <v>29</v>
      </c>
      <c r="G325" s="8" t="s">
        <v>5787</v>
      </c>
      <c r="H325" s="8" t="s">
        <v>5788</v>
      </c>
      <c r="I325" s="8" t="s">
        <v>5789</v>
      </c>
      <c r="J325" s="8" t="s">
        <v>5790</v>
      </c>
      <c r="K325" s="8" t="s">
        <v>5791</v>
      </c>
      <c r="L325" s="8" t="s">
        <v>5792</v>
      </c>
      <c r="M325" s="8" t="s">
        <v>17</v>
      </c>
      <c r="N325" s="8"/>
    </row>
    <row r="326" spans="1:14" s="73" customFormat="1" ht="298.3">
      <c r="A326" s="75">
        <v>325</v>
      </c>
      <c r="B326" s="74" t="s">
        <v>5793</v>
      </c>
      <c r="C326" s="75" t="s">
        <v>1668</v>
      </c>
      <c r="D326" s="8" t="s">
        <v>5794</v>
      </c>
      <c r="E326" s="8" t="s">
        <v>5795</v>
      </c>
      <c r="F326" s="8" t="s">
        <v>29</v>
      </c>
      <c r="G326" s="8" t="s">
        <v>5796</v>
      </c>
      <c r="H326" s="8" t="s">
        <v>5797</v>
      </c>
      <c r="I326" s="8" t="s">
        <v>5798</v>
      </c>
      <c r="J326" s="8" t="s">
        <v>17</v>
      </c>
      <c r="K326" s="8" t="s">
        <v>5799</v>
      </c>
      <c r="L326" s="8" t="s">
        <v>5800</v>
      </c>
      <c r="M326" s="8" t="s">
        <v>17</v>
      </c>
      <c r="N326" s="8"/>
    </row>
    <row r="327" spans="1:14" s="73" customFormat="1" ht="223.75">
      <c r="A327" s="75">
        <v>326</v>
      </c>
      <c r="B327" s="74" t="s">
        <v>1548</v>
      </c>
      <c r="C327" s="75" t="s">
        <v>5801</v>
      </c>
      <c r="D327" s="8" t="s">
        <v>1550</v>
      </c>
      <c r="E327" s="8" t="s">
        <v>5780</v>
      </c>
      <c r="F327" s="8" t="s">
        <v>29</v>
      </c>
      <c r="G327" s="8" t="s">
        <v>5802</v>
      </c>
      <c r="H327" s="8" t="s">
        <v>5803</v>
      </c>
      <c r="I327" s="8" t="s">
        <v>5804</v>
      </c>
      <c r="J327" s="8" t="s">
        <v>17</v>
      </c>
      <c r="K327" s="8" t="s">
        <v>5805</v>
      </c>
      <c r="L327" s="8" t="s">
        <v>17</v>
      </c>
      <c r="M327" s="8" t="s">
        <v>17</v>
      </c>
      <c r="N327" s="8"/>
    </row>
    <row r="328" spans="1:14" s="73" customFormat="1" ht="409.6">
      <c r="A328" s="75">
        <v>327</v>
      </c>
      <c r="B328" s="74" t="s">
        <v>1548</v>
      </c>
      <c r="C328" s="75" t="s">
        <v>5806</v>
      </c>
      <c r="D328" s="8" t="s">
        <v>1550</v>
      </c>
      <c r="E328" s="8" t="s">
        <v>5780</v>
      </c>
      <c r="F328" s="8" t="s">
        <v>5807</v>
      </c>
      <c r="G328" s="8" t="s">
        <v>5808</v>
      </c>
      <c r="H328" s="8" t="s">
        <v>5809</v>
      </c>
      <c r="I328" s="8" t="s">
        <v>5810</v>
      </c>
      <c r="J328" s="8" t="s">
        <v>17</v>
      </c>
      <c r="K328" s="8" t="s">
        <v>5811</v>
      </c>
      <c r="L328" s="8" t="s">
        <v>17</v>
      </c>
      <c r="M328" s="8" t="s">
        <v>17</v>
      </c>
      <c r="N328" s="8"/>
    </row>
    <row r="329" spans="1:14" s="73" customFormat="1" ht="409.6">
      <c r="A329" s="75">
        <v>328</v>
      </c>
      <c r="B329" s="74" t="s">
        <v>1548</v>
      </c>
      <c r="C329" s="75" t="s">
        <v>5812</v>
      </c>
      <c r="D329" s="8" t="s">
        <v>1550</v>
      </c>
      <c r="E329" s="8" t="s">
        <v>5780</v>
      </c>
      <c r="F329" s="8" t="s">
        <v>29</v>
      </c>
      <c r="G329" s="8" t="s">
        <v>5813</v>
      </c>
      <c r="H329" s="8" t="s">
        <v>5814</v>
      </c>
      <c r="I329" s="8" t="s">
        <v>5815</v>
      </c>
      <c r="J329" s="8" t="s">
        <v>17</v>
      </c>
      <c r="K329" s="8" t="s">
        <v>5816</v>
      </c>
      <c r="L329" s="8" t="s">
        <v>5817</v>
      </c>
      <c r="M329" s="8" t="s">
        <v>17</v>
      </c>
      <c r="N329" s="8"/>
    </row>
    <row r="330" spans="1:14" s="73" customFormat="1" ht="409.6">
      <c r="A330" s="75">
        <v>329</v>
      </c>
      <c r="B330" s="74" t="s">
        <v>5818</v>
      </c>
      <c r="C330" s="90" t="s">
        <v>43</v>
      </c>
      <c r="D330" s="8" t="s">
        <v>5819</v>
      </c>
      <c r="E330" s="8" t="s">
        <v>5820</v>
      </c>
      <c r="F330" s="8" t="s">
        <v>29</v>
      </c>
      <c r="G330" s="8" t="s">
        <v>5821</v>
      </c>
      <c r="H330" s="8" t="s">
        <v>5822</v>
      </c>
      <c r="I330" s="8" t="s">
        <v>5823</v>
      </c>
      <c r="J330" s="8" t="s">
        <v>17</v>
      </c>
      <c r="K330" s="8" t="s">
        <v>5824</v>
      </c>
      <c r="L330" s="8" t="s">
        <v>17</v>
      </c>
      <c r="M330" s="8" t="s">
        <v>17</v>
      </c>
      <c r="N330" s="8"/>
    </row>
    <row r="331" spans="1:14" s="73" customFormat="1" ht="409.6">
      <c r="A331" s="75">
        <v>330</v>
      </c>
      <c r="B331" s="74" t="s">
        <v>287</v>
      </c>
      <c r="C331" s="75" t="s">
        <v>5825</v>
      </c>
      <c r="D331" s="8" t="s">
        <v>36</v>
      </c>
      <c r="E331" s="8" t="s">
        <v>5826</v>
      </c>
      <c r="F331" s="8" t="s">
        <v>29</v>
      </c>
      <c r="G331" s="8" t="s">
        <v>5827</v>
      </c>
      <c r="H331" s="8" t="s">
        <v>5828</v>
      </c>
      <c r="I331" s="8" t="s">
        <v>5829</v>
      </c>
      <c r="J331" s="8" t="s">
        <v>5830</v>
      </c>
      <c r="K331" s="8" t="s">
        <v>5831</v>
      </c>
      <c r="L331" s="8" t="s">
        <v>17</v>
      </c>
      <c r="M331" s="8" t="s">
        <v>17</v>
      </c>
      <c r="N331" s="8" t="s">
        <v>5832</v>
      </c>
    </row>
    <row r="332" spans="1:14" s="73" customFormat="1" ht="409.6">
      <c r="A332" s="75">
        <v>331</v>
      </c>
      <c r="B332" s="74" t="s">
        <v>287</v>
      </c>
      <c r="C332" s="75" t="s">
        <v>5833</v>
      </c>
      <c r="D332" s="8" t="s">
        <v>36</v>
      </c>
      <c r="E332" s="8" t="s">
        <v>5834</v>
      </c>
      <c r="F332" s="8" t="s">
        <v>29</v>
      </c>
      <c r="G332" s="8" t="s">
        <v>5827</v>
      </c>
      <c r="H332" s="8" t="s">
        <v>5835</v>
      </c>
      <c r="I332" s="8" t="s">
        <v>5836</v>
      </c>
      <c r="J332" s="8" t="s">
        <v>5837</v>
      </c>
      <c r="K332" s="8" t="s">
        <v>17</v>
      </c>
      <c r="L332" s="8" t="s">
        <v>17</v>
      </c>
      <c r="M332" s="8" t="s">
        <v>17</v>
      </c>
      <c r="N332" s="8" t="s">
        <v>5838</v>
      </c>
    </row>
    <row r="333" spans="1:14" s="73" customFormat="1" ht="409.6">
      <c r="A333" s="75">
        <v>332</v>
      </c>
      <c r="B333" s="74" t="s">
        <v>287</v>
      </c>
      <c r="C333" s="75" t="s">
        <v>5839</v>
      </c>
      <c r="D333" s="8" t="s">
        <v>36</v>
      </c>
      <c r="E333" s="8" t="s">
        <v>5840</v>
      </c>
      <c r="F333" s="8" t="s">
        <v>29</v>
      </c>
      <c r="G333" s="8" t="s">
        <v>5827</v>
      </c>
      <c r="H333" s="8" t="s">
        <v>5841</v>
      </c>
      <c r="I333" s="8" t="s">
        <v>5842</v>
      </c>
      <c r="J333" s="8" t="s">
        <v>17</v>
      </c>
      <c r="K333" s="8" t="s">
        <v>17</v>
      </c>
      <c r="L333" s="8" t="s">
        <v>17</v>
      </c>
      <c r="M333" s="8" t="s">
        <v>17</v>
      </c>
      <c r="N333" s="8" t="s">
        <v>5838</v>
      </c>
    </row>
  </sheetData>
  <phoneticPr fontId="5"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1"/>
  <sheetViews>
    <sheetView zoomScale="28" zoomScaleNormal="28" workbookViewId="0">
      <pane ySplit="1" topLeftCell="A2" activePane="bottomLeft" state="frozen"/>
      <selection pane="bottomLeft" activeCell="D3" sqref="D3"/>
    </sheetView>
  </sheetViews>
  <sheetFormatPr defaultColWidth="100.6640625" defaultRowHeight="50.6"/>
  <cols>
    <col min="1" max="1" width="9.9296875" style="2" customWidth="1"/>
    <col min="2" max="2" width="29.59765625" style="15" customWidth="1"/>
    <col min="3" max="3" width="100.6640625" style="3" customWidth="1"/>
    <col min="4" max="4" width="100.46484375" style="3" customWidth="1"/>
    <col min="5" max="5" width="100.3984375" style="3" customWidth="1"/>
    <col min="6" max="6" width="100.6640625" style="3" customWidth="1"/>
    <col min="7" max="7" width="98.19921875" style="3" customWidth="1"/>
    <col min="8" max="8" width="66.6640625" style="3" customWidth="1"/>
    <col min="9" max="9" width="99.73046875" style="3" customWidth="1"/>
    <col min="10" max="10" width="100.6640625" style="3" customWidth="1"/>
    <col min="11" max="11" width="100.53125" style="3" customWidth="1"/>
    <col min="12" max="13" width="100.6640625" style="3" customWidth="1"/>
    <col min="14" max="16384" width="100.6640625" style="3"/>
  </cols>
  <sheetData>
    <row r="1" spans="1:18" s="1" customFormat="1" ht="154.30000000000001">
      <c r="A1" s="6" t="s">
        <v>0</v>
      </c>
      <c r="B1" s="12" t="s">
        <v>1</v>
      </c>
      <c r="C1" s="6" t="s">
        <v>2</v>
      </c>
      <c r="D1" s="6" t="s">
        <v>3</v>
      </c>
      <c r="E1" s="6" t="s">
        <v>4</v>
      </c>
      <c r="F1" s="6" t="s">
        <v>5</v>
      </c>
      <c r="G1" s="6" t="s">
        <v>6</v>
      </c>
      <c r="H1" s="6" t="s">
        <v>7</v>
      </c>
      <c r="I1" s="6" t="s">
        <v>8</v>
      </c>
      <c r="J1" s="6" t="s">
        <v>9</v>
      </c>
      <c r="K1" s="6" t="s">
        <v>10</v>
      </c>
      <c r="L1" s="6" t="s">
        <v>11</v>
      </c>
      <c r="M1" s="6" t="s">
        <v>12</v>
      </c>
      <c r="N1" s="4"/>
      <c r="O1" s="4"/>
      <c r="P1" s="4"/>
      <c r="Q1" s="4"/>
      <c r="R1" s="4"/>
    </row>
    <row r="2" spans="1:18" ht="409.6">
      <c r="A2" s="7" t="s">
        <v>13</v>
      </c>
      <c r="B2" s="13" t="s">
        <v>14</v>
      </c>
      <c r="C2" s="8" t="s">
        <v>15</v>
      </c>
      <c r="D2" s="8" t="s">
        <v>16</v>
      </c>
      <c r="E2" s="8" t="s">
        <v>17</v>
      </c>
      <c r="F2" s="8" t="s">
        <v>17</v>
      </c>
      <c r="G2" s="8" t="s">
        <v>18</v>
      </c>
      <c r="H2" s="8" t="s">
        <v>17</v>
      </c>
      <c r="I2" s="8" t="s">
        <v>17</v>
      </c>
      <c r="J2" s="8" t="s">
        <v>19</v>
      </c>
      <c r="K2" s="8" t="s">
        <v>17</v>
      </c>
      <c r="L2" s="8" t="s">
        <v>17</v>
      </c>
      <c r="M2" s="8"/>
      <c r="N2" s="5"/>
      <c r="O2" s="5"/>
      <c r="P2" s="5"/>
      <c r="Q2" s="5"/>
      <c r="R2" s="5"/>
    </row>
    <row r="3" spans="1:18" ht="298.3">
      <c r="A3" s="7" t="s">
        <v>20</v>
      </c>
      <c r="B3" s="13" t="s">
        <v>21</v>
      </c>
      <c r="C3" s="8" t="s">
        <v>17</v>
      </c>
      <c r="D3" s="8" t="s">
        <v>22</v>
      </c>
      <c r="E3" s="8" t="s">
        <v>17</v>
      </c>
      <c r="F3" s="8" t="s">
        <v>17</v>
      </c>
      <c r="G3" s="8" t="s">
        <v>23</v>
      </c>
      <c r="H3" s="8" t="s">
        <v>24</v>
      </c>
      <c r="I3" s="8" t="s">
        <v>17</v>
      </c>
      <c r="J3" s="8" t="s">
        <v>25</v>
      </c>
      <c r="K3" s="8" t="s">
        <v>17</v>
      </c>
      <c r="L3" s="8" t="s">
        <v>17</v>
      </c>
      <c r="M3" s="8"/>
      <c r="N3" s="5"/>
      <c r="O3" s="5"/>
      <c r="P3" s="5"/>
      <c r="Q3" s="5"/>
      <c r="R3" s="5"/>
    </row>
    <row r="4" spans="1:18" ht="409.6">
      <c r="A4" s="7" t="s">
        <v>26</v>
      </c>
      <c r="B4" s="13" t="s">
        <v>27</v>
      </c>
      <c r="C4" s="8" t="s">
        <v>28</v>
      </c>
      <c r="D4" s="8" t="s">
        <v>17</v>
      </c>
      <c r="E4" s="8" t="s">
        <v>29</v>
      </c>
      <c r="F4" s="8" t="s">
        <v>30</v>
      </c>
      <c r="G4" s="8" t="s">
        <v>31</v>
      </c>
      <c r="H4" s="9">
        <v>44743</v>
      </c>
      <c r="I4" s="8" t="s">
        <v>32</v>
      </c>
      <c r="J4" s="8" t="s">
        <v>33</v>
      </c>
      <c r="K4" s="8" t="s">
        <v>17</v>
      </c>
      <c r="L4" s="8" t="s">
        <v>34</v>
      </c>
      <c r="M4" s="8"/>
      <c r="N4" s="5"/>
      <c r="O4" s="5"/>
      <c r="P4" s="5"/>
      <c r="Q4" s="5"/>
      <c r="R4" s="5"/>
    </row>
    <row r="5" spans="1:18" ht="409.6">
      <c r="A5" s="7" t="s">
        <v>13</v>
      </c>
      <c r="B5" s="13" t="s">
        <v>35</v>
      </c>
      <c r="C5" s="8" t="s">
        <v>36</v>
      </c>
      <c r="D5" s="8" t="s">
        <v>37</v>
      </c>
      <c r="E5" s="8" t="s">
        <v>17</v>
      </c>
      <c r="F5" s="8" t="s">
        <v>17</v>
      </c>
      <c r="G5" s="8" t="s">
        <v>38</v>
      </c>
      <c r="H5" s="8" t="s">
        <v>39</v>
      </c>
      <c r="I5" s="8" t="s">
        <v>40</v>
      </c>
      <c r="J5" s="8" t="s">
        <v>41</v>
      </c>
      <c r="K5" s="8" t="s">
        <v>17</v>
      </c>
      <c r="L5" s="8" t="s">
        <v>17</v>
      </c>
      <c r="M5" s="8" t="s">
        <v>42</v>
      </c>
      <c r="N5" s="5"/>
      <c r="O5" s="5"/>
      <c r="P5" s="5"/>
      <c r="Q5" s="5"/>
      <c r="R5" s="5"/>
    </row>
    <row r="6" spans="1:18" ht="409.6">
      <c r="A6" s="7" t="s">
        <v>43</v>
      </c>
      <c r="B6" s="13" t="s">
        <v>44</v>
      </c>
      <c r="C6" s="8" t="s">
        <v>17</v>
      </c>
      <c r="D6" s="8" t="s">
        <v>17</v>
      </c>
      <c r="E6" s="8" t="s">
        <v>17</v>
      </c>
      <c r="F6" s="8" t="s">
        <v>45</v>
      </c>
      <c r="G6" s="8" t="s">
        <v>46</v>
      </c>
      <c r="H6" s="8" t="s">
        <v>47</v>
      </c>
      <c r="I6" s="8" t="s">
        <v>17</v>
      </c>
      <c r="J6" s="8" t="s">
        <v>48</v>
      </c>
      <c r="K6" s="8" t="s">
        <v>17</v>
      </c>
      <c r="L6" s="8" t="s">
        <v>17</v>
      </c>
      <c r="M6" s="8" t="s">
        <v>49</v>
      </c>
      <c r="N6" s="5"/>
      <c r="O6" s="5"/>
      <c r="P6" s="5"/>
      <c r="Q6" s="5"/>
      <c r="R6" s="5"/>
    </row>
    <row r="7" spans="1:18" ht="270">
      <c r="A7" s="7" t="s">
        <v>50</v>
      </c>
      <c r="B7" s="13" t="s">
        <v>51</v>
      </c>
      <c r="C7" s="8" t="s">
        <v>52</v>
      </c>
      <c r="D7" s="8" t="s">
        <v>17</v>
      </c>
      <c r="E7" s="8" t="s">
        <v>29</v>
      </c>
      <c r="F7" s="8" t="s">
        <v>53</v>
      </c>
      <c r="G7" s="8" t="s">
        <v>54</v>
      </c>
      <c r="H7" s="8" t="s">
        <v>55</v>
      </c>
      <c r="I7" s="8" t="s">
        <v>56</v>
      </c>
      <c r="J7" s="8" t="s">
        <v>57</v>
      </c>
      <c r="K7" s="8" t="s">
        <v>17</v>
      </c>
      <c r="L7" s="8" t="s">
        <v>17</v>
      </c>
      <c r="M7" s="8"/>
      <c r="N7" s="5"/>
      <c r="O7" s="5"/>
      <c r="P7" s="5"/>
      <c r="Q7" s="5"/>
      <c r="R7" s="5"/>
    </row>
    <row r="8" spans="1:18" ht="186.45">
      <c r="A8" s="7" t="s">
        <v>58</v>
      </c>
      <c r="B8" s="13" t="s">
        <v>59</v>
      </c>
      <c r="C8" s="8" t="s">
        <v>36</v>
      </c>
      <c r="D8" s="8" t="s">
        <v>60</v>
      </c>
      <c r="E8" s="8" t="s">
        <v>17</v>
      </c>
      <c r="F8" s="8" t="s">
        <v>17</v>
      </c>
      <c r="G8" s="8" t="s">
        <v>61</v>
      </c>
      <c r="H8" s="8" t="s">
        <v>62</v>
      </c>
      <c r="I8" s="8" t="s">
        <v>63</v>
      </c>
      <c r="J8" s="8" t="s">
        <v>64</v>
      </c>
      <c r="K8" s="8" t="s">
        <v>17</v>
      </c>
      <c r="L8" s="8" t="s">
        <v>17</v>
      </c>
      <c r="M8" s="8"/>
      <c r="N8" s="5"/>
      <c r="O8" s="5"/>
      <c r="P8" s="5"/>
      <c r="Q8" s="5"/>
      <c r="R8" s="5"/>
    </row>
    <row r="9" spans="1:18" ht="409.6">
      <c r="A9" s="7" t="s">
        <v>65</v>
      </c>
      <c r="B9" s="13" t="s">
        <v>43</v>
      </c>
      <c r="C9" s="8" t="s">
        <v>66</v>
      </c>
      <c r="D9" s="8" t="s">
        <v>67</v>
      </c>
      <c r="E9" s="8" t="s">
        <v>29</v>
      </c>
      <c r="F9" s="8" t="s">
        <v>68</v>
      </c>
      <c r="G9" s="8" t="s">
        <v>69</v>
      </c>
      <c r="H9" s="8" t="s">
        <v>62</v>
      </c>
      <c r="I9" s="8" t="s">
        <v>70</v>
      </c>
      <c r="J9" s="8" t="s">
        <v>71</v>
      </c>
      <c r="K9" s="8" t="s">
        <v>17</v>
      </c>
      <c r="L9" s="8" t="s">
        <v>72</v>
      </c>
      <c r="M9" s="8"/>
      <c r="N9" s="5"/>
      <c r="O9" s="5"/>
      <c r="P9" s="5"/>
      <c r="Q9" s="5"/>
      <c r="R9" s="5"/>
    </row>
    <row r="10" spans="1:18" ht="372.9">
      <c r="A10" s="7" t="s">
        <v>73</v>
      </c>
      <c r="B10" s="13" t="s">
        <v>74</v>
      </c>
      <c r="C10" s="8" t="s">
        <v>75</v>
      </c>
      <c r="D10" s="8" t="s">
        <v>60</v>
      </c>
      <c r="E10" s="8" t="s">
        <v>29</v>
      </c>
      <c r="F10" s="8" t="s">
        <v>76</v>
      </c>
      <c r="G10" s="8" t="s">
        <v>77</v>
      </c>
      <c r="H10" s="8" t="s">
        <v>78</v>
      </c>
      <c r="I10" s="8" t="s">
        <v>17</v>
      </c>
      <c r="J10" s="8" t="s">
        <v>79</v>
      </c>
      <c r="K10" s="8" t="s">
        <v>80</v>
      </c>
      <c r="L10" s="8" t="s">
        <v>17</v>
      </c>
      <c r="M10" s="8"/>
      <c r="N10" s="5"/>
      <c r="O10" s="5"/>
      <c r="P10" s="5"/>
      <c r="Q10" s="5"/>
      <c r="R10" s="5"/>
    </row>
    <row r="11" spans="1:18" ht="409.6">
      <c r="A11" s="7" t="s">
        <v>13</v>
      </c>
      <c r="B11" s="13" t="s">
        <v>81</v>
      </c>
      <c r="C11" s="8" t="s">
        <v>36</v>
      </c>
      <c r="D11" s="8" t="s">
        <v>82</v>
      </c>
      <c r="E11" s="8" t="s">
        <v>17</v>
      </c>
      <c r="F11" s="8" t="s">
        <v>17</v>
      </c>
      <c r="G11" s="8" t="s">
        <v>83</v>
      </c>
      <c r="H11" s="8" t="s">
        <v>39</v>
      </c>
      <c r="I11" s="8" t="s">
        <v>40</v>
      </c>
      <c r="J11" s="8" t="s">
        <v>84</v>
      </c>
      <c r="K11" s="8" t="s">
        <v>17</v>
      </c>
      <c r="L11" s="8" t="s">
        <v>17</v>
      </c>
      <c r="M11" s="8" t="s">
        <v>85</v>
      </c>
      <c r="N11" s="5"/>
      <c r="O11" s="5"/>
      <c r="P11" s="5"/>
      <c r="Q11" s="5"/>
      <c r="R11" s="5"/>
    </row>
    <row r="12" spans="1:18" ht="409.6">
      <c r="A12" s="10" t="s">
        <v>20</v>
      </c>
      <c r="B12" s="14" t="s">
        <v>86</v>
      </c>
      <c r="C12" s="8" t="s">
        <v>36</v>
      </c>
      <c r="D12" s="8" t="s">
        <v>87</v>
      </c>
      <c r="E12" s="8" t="s">
        <v>88</v>
      </c>
      <c r="F12" s="8" t="s">
        <v>17</v>
      </c>
      <c r="G12" s="8" t="s">
        <v>89</v>
      </c>
      <c r="H12" s="8" t="s">
        <v>90</v>
      </c>
      <c r="I12" s="8" t="s">
        <v>32</v>
      </c>
      <c r="J12" s="8" t="s">
        <v>91</v>
      </c>
      <c r="K12" s="8" t="s">
        <v>17</v>
      </c>
      <c r="L12" s="8" t="s">
        <v>17</v>
      </c>
      <c r="M12" s="8" t="s">
        <v>92</v>
      </c>
      <c r="N12" s="5"/>
      <c r="O12" s="5"/>
      <c r="P12" s="5"/>
      <c r="Q12" s="5"/>
      <c r="R12" s="5"/>
    </row>
    <row r="13" spans="1:18" ht="409.6">
      <c r="A13" s="7" t="s">
        <v>50</v>
      </c>
      <c r="B13" s="13" t="s">
        <v>93</v>
      </c>
      <c r="C13" s="8" t="s">
        <v>94</v>
      </c>
      <c r="D13" s="8" t="s">
        <v>95</v>
      </c>
      <c r="E13" s="8" t="s">
        <v>17</v>
      </c>
      <c r="F13" s="8" t="s">
        <v>96</v>
      </c>
      <c r="G13" s="8" t="s">
        <v>97</v>
      </c>
      <c r="H13" s="8" t="s">
        <v>98</v>
      </c>
      <c r="I13" s="8" t="s">
        <v>99</v>
      </c>
      <c r="J13" s="8" t="s">
        <v>100</v>
      </c>
      <c r="K13" s="8" t="s">
        <v>17</v>
      </c>
      <c r="L13" s="8" t="s">
        <v>17</v>
      </c>
      <c r="M13" s="8"/>
      <c r="N13" s="5"/>
      <c r="O13" s="5"/>
      <c r="P13" s="5"/>
      <c r="Q13" s="5"/>
      <c r="R13" s="5"/>
    </row>
    <row r="14" spans="1:18" ht="186.45">
      <c r="A14" s="11" t="s">
        <v>43</v>
      </c>
      <c r="B14" s="13" t="s">
        <v>101</v>
      </c>
      <c r="C14" s="8" t="s">
        <v>102</v>
      </c>
      <c r="D14" s="8" t="s">
        <v>103</v>
      </c>
      <c r="E14" s="8" t="s">
        <v>17</v>
      </c>
      <c r="F14" s="8" t="s">
        <v>104</v>
      </c>
      <c r="G14" s="8" t="s">
        <v>105</v>
      </c>
      <c r="H14" s="8" t="s">
        <v>106</v>
      </c>
      <c r="I14" s="8" t="s">
        <v>17</v>
      </c>
      <c r="J14" s="8" t="s">
        <v>17</v>
      </c>
      <c r="K14" s="8" t="s">
        <v>107</v>
      </c>
      <c r="L14" s="8" t="s">
        <v>17</v>
      </c>
      <c r="M14" s="8" t="s">
        <v>108</v>
      </c>
      <c r="N14" s="5"/>
      <c r="O14" s="5"/>
      <c r="P14" s="5"/>
      <c r="Q14" s="5"/>
      <c r="R14" s="5"/>
    </row>
    <row r="15" spans="1:18" ht="223.75">
      <c r="A15" s="7" t="s">
        <v>109</v>
      </c>
      <c r="B15" s="13" t="s">
        <v>110</v>
      </c>
      <c r="C15" s="8" t="s">
        <v>17</v>
      </c>
      <c r="D15" s="8" t="s">
        <v>17</v>
      </c>
      <c r="E15" s="8" t="s">
        <v>111</v>
      </c>
      <c r="F15" s="8" t="s">
        <v>112</v>
      </c>
      <c r="G15" s="8" t="s">
        <v>113</v>
      </c>
      <c r="H15" s="8" t="s">
        <v>114</v>
      </c>
      <c r="I15" s="8" t="s">
        <v>17</v>
      </c>
      <c r="J15" s="8" t="s">
        <v>115</v>
      </c>
      <c r="K15" s="8" t="s">
        <v>17</v>
      </c>
      <c r="L15" s="8" t="s">
        <v>17</v>
      </c>
      <c r="M15" s="8"/>
      <c r="N15" s="5"/>
      <c r="O15" s="5"/>
      <c r="P15" s="5"/>
      <c r="Q15" s="5"/>
      <c r="R15" s="5"/>
    </row>
    <row r="16" spans="1:18" ht="409.6">
      <c r="A16" s="7" t="s">
        <v>20</v>
      </c>
      <c r="B16" s="13" t="s">
        <v>116</v>
      </c>
      <c r="C16" s="8" t="s">
        <v>17</v>
      </c>
      <c r="D16" s="8" t="s">
        <v>17</v>
      </c>
      <c r="E16" s="8" t="s">
        <v>17</v>
      </c>
      <c r="F16" s="8" t="s">
        <v>117</v>
      </c>
      <c r="G16" s="8" t="s">
        <v>118</v>
      </c>
      <c r="H16" s="8" t="s">
        <v>17</v>
      </c>
      <c r="I16" s="8" t="s">
        <v>17</v>
      </c>
      <c r="J16" s="8" t="s">
        <v>119</v>
      </c>
      <c r="K16" s="8" t="s">
        <v>17</v>
      </c>
      <c r="L16" s="8" t="s">
        <v>17</v>
      </c>
      <c r="M16" s="8"/>
      <c r="N16" s="5"/>
      <c r="O16" s="5"/>
      <c r="P16" s="5"/>
      <c r="Q16" s="5"/>
      <c r="R16" s="5"/>
    </row>
    <row r="17" spans="1:18" ht="409.6">
      <c r="A17" s="7" t="s">
        <v>109</v>
      </c>
      <c r="B17" s="13" t="s">
        <v>120</v>
      </c>
      <c r="C17" s="8" t="s">
        <v>121</v>
      </c>
      <c r="D17" s="8" t="s">
        <v>122</v>
      </c>
      <c r="E17" s="8" t="s">
        <v>29</v>
      </c>
      <c r="F17" s="8" t="s">
        <v>17</v>
      </c>
      <c r="G17" s="8" t="s">
        <v>123</v>
      </c>
      <c r="H17" s="8" t="s">
        <v>124</v>
      </c>
      <c r="I17" s="8" t="s">
        <v>125</v>
      </c>
      <c r="J17" s="8" t="s">
        <v>126</v>
      </c>
      <c r="K17" s="8" t="s">
        <v>127</v>
      </c>
      <c r="L17" s="8" t="s">
        <v>128</v>
      </c>
      <c r="M17" s="8"/>
      <c r="N17" s="5"/>
      <c r="O17" s="5"/>
      <c r="P17" s="5"/>
      <c r="Q17" s="5"/>
      <c r="R17" s="5"/>
    </row>
    <row r="18" spans="1:18" ht="409.6">
      <c r="A18" s="7" t="s">
        <v>109</v>
      </c>
      <c r="B18" s="13" t="s">
        <v>129</v>
      </c>
      <c r="C18" s="8" t="s">
        <v>130</v>
      </c>
      <c r="D18" s="8" t="s">
        <v>17</v>
      </c>
      <c r="E18" s="8" t="s">
        <v>88</v>
      </c>
      <c r="F18" s="8" t="s">
        <v>17</v>
      </c>
      <c r="G18" s="8" t="s">
        <v>131</v>
      </c>
      <c r="H18" s="8">
        <v>44743</v>
      </c>
      <c r="I18" s="8" t="s">
        <v>17</v>
      </c>
      <c r="J18" s="8" t="s">
        <v>132</v>
      </c>
      <c r="K18" s="8" t="s">
        <v>17</v>
      </c>
      <c r="L18" s="8" t="s">
        <v>17</v>
      </c>
      <c r="M18" s="8"/>
      <c r="N18" s="5"/>
      <c r="O18" s="5"/>
      <c r="P18" s="5"/>
      <c r="Q18" s="5"/>
      <c r="R18" s="5"/>
    </row>
    <row r="19" spans="1:18" ht="409.6">
      <c r="A19" s="7" t="s">
        <v>133</v>
      </c>
      <c r="B19" s="13" t="s">
        <v>134</v>
      </c>
      <c r="C19" s="8" t="s">
        <v>135</v>
      </c>
      <c r="D19" s="8" t="s">
        <v>136</v>
      </c>
      <c r="E19" s="8" t="s">
        <v>29</v>
      </c>
      <c r="F19" s="8" t="s">
        <v>137</v>
      </c>
      <c r="G19" s="8">
        <v>44742</v>
      </c>
      <c r="H19" s="8" t="s">
        <v>138</v>
      </c>
      <c r="I19" s="8" t="s">
        <v>139</v>
      </c>
      <c r="J19" s="8" t="s">
        <v>140</v>
      </c>
      <c r="K19" s="8" t="s">
        <v>141</v>
      </c>
      <c r="L19" s="8" t="s">
        <v>17</v>
      </c>
      <c r="M19" s="8" t="s">
        <v>142</v>
      </c>
      <c r="N19" s="5"/>
      <c r="O19" s="5"/>
      <c r="P19" s="5"/>
      <c r="Q19" s="5"/>
      <c r="R19" s="5"/>
    </row>
    <row r="20" spans="1:18" ht="409.6">
      <c r="A20" s="7" t="s">
        <v>13</v>
      </c>
      <c r="B20" s="13" t="s">
        <v>143</v>
      </c>
      <c r="C20" s="8" t="s">
        <v>36</v>
      </c>
      <c r="D20" s="8" t="s">
        <v>60</v>
      </c>
      <c r="E20" s="8" t="s">
        <v>17</v>
      </c>
      <c r="F20" s="8" t="s">
        <v>17</v>
      </c>
      <c r="G20" s="8" t="s">
        <v>144</v>
      </c>
      <c r="H20" s="8" t="s">
        <v>145</v>
      </c>
      <c r="I20" s="8" t="s">
        <v>17</v>
      </c>
      <c r="J20" s="8" t="s">
        <v>146</v>
      </c>
      <c r="K20" s="8" t="s">
        <v>17</v>
      </c>
      <c r="L20" s="8" t="s">
        <v>17</v>
      </c>
      <c r="M20" s="8" t="s">
        <v>147</v>
      </c>
      <c r="N20" s="5"/>
      <c r="O20" s="5"/>
      <c r="P20" s="5"/>
      <c r="Q20" s="5"/>
      <c r="R20" s="5"/>
    </row>
    <row r="21" spans="1:18" ht="192.9">
      <c r="A21" s="7" t="s">
        <v>109</v>
      </c>
      <c r="B21" s="13" t="s">
        <v>148</v>
      </c>
      <c r="C21" s="8" t="s">
        <v>149</v>
      </c>
      <c r="D21" s="8" t="s">
        <v>150</v>
      </c>
      <c r="E21" s="8" t="s">
        <v>151</v>
      </c>
      <c r="F21" s="8" t="s">
        <v>17</v>
      </c>
      <c r="G21" s="8" t="s">
        <v>152</v>
      </c>
      <c r="H21" s="8" t="s">
        <v>153</v>
      </c>
      <c r="I21" s="8" t="s">
        <v>154</v>
      </c>
      <c r="J21" s="8" t="s">
        <v>17</v>
      </c>
      <c r="K21" s="8" t="s">
        <v>155</v>
      </c>
      <c r="L21" s="8" t="s">
        <v>17</v>
      </c>
      <c r="M21" s="8"/>
      <c r="N21" s="5"/>
      <c r="O21" s="5"/>
      <c r="P21" s="5"/>
      <c r="Q21" s="5"/>
      <c r="R21" s="5"/>
    </row>
    <row r="22" spans="1:18" ht="409.6">
      <c r="A22" s="7" t="s">
        <v>156</v>
      </c>
      <c r="B22" s="13" t="s">
        <v>157</v>
      </c>
      <c r="C22" s="8" t="s">
        <v>158</v>
      </c>
      <c r="D22" s="8" t="s">
        <v>60</v>
      </c>
      <c r="E22" s="8" t="s">
        <v>88</v>
      </c>
      <c r="F22" s="8" t="s">
        <v>17</v>
      </c>
      <c r="G22" s="8" t="s">
        <v>159</v>
      </c>
      <c r="H22" s="8" t="s">
        <v>160</v>
      </c>
      <c r="I22" s="8" t="s">
        <v>161</v>
      </c>
      <c r="J22" s="8" t="s">
        <v>162</v>
      </c>
      <c r="K22" s="8" t="s">
        <v>17</v>
      </c>
      <c r="L22" s="8" t="s">
        <v>163</v>
      </c>
      <c r="M22" s="8" t="s">
        <v>164</v>
      </c>
      <c r="N22" s="5"/>
      <c r="O22" s="5"/>
      <c r="P22" s="5"/>
      <c r="Q22" s="5"/>
      <c r="R22" s="5"/>
    </row>
    <row r="23" spans="1:18" ht="409.6">
      <c r="A23" s="7" t="s">
        <v>109</v>
      </c>
      <c r="B23" s="13" t="s">
        <v>165</v>
      </c>
      <c r="C23" s="8" t="s">
        <v>17</v>
      </c>
      <c r="D23" s="8" t="s">
        <v>17</v>
      </c>
      <c r="E23" s="8" t="s">
        <v>166</v>
      </c>
      <c r="F23" s="8" t="s">
        <v>17</v>
      </c>
      <c r="G23" s="8" t="s">
        <v>167</v>
      </c>
      <c r="H23" s="8" t="s">
        <v>168</v>
      </c>
      <c r="I23" s="8" t="s">
        <v>17</v>
      </c>
      <c r="J23" s="8" t="s">
        <v>169</v>
      </c>
      <c r="K23" s="8" t="s">
        <v>170</v>
      </c>
      <c r="L23" s="8" t="s">
        <v>17</v>
      </c>
      <c r="M23" s="8" t="s">
        <v>171</v>
      </c>
      <c r="N23" s="5"/>
      <c r="O23" s="5"/>
      <c r="P23" s="5"/>
      <c r="Q23" s="5"/>
      <c r="R23" s="5"/>
    </row>
    <row r="24" spans="1:18" ht="409.6">
      <c r="A24" s="7" t="s">
        <v>156</v>
      </c>
      <c r="B24" s="13" t="s">
        <v>172</v>
      </c>
      <c r="C24" s="8" t="s">
        <v>17</v>
      </c>
      <c r="D24" s="8" t="s">
        <v>16</v>
      </c>
      <c r="E24" s="8" t="s">
        <v>88</v>
      </c>
      <c r="F24" s="8" t="s">
        <v>17</v>
      </c>
      <c r="G24" s="8" t="s">
        <v>159</v>
      </c>
      <c r="H24" s="8" t="s">
        <v>173</v>
      </c>
      <c r="I24" s="8" t="s">
        <v>174</v>
      </c>
      <c r="J24" s="8" t="s">
        <v>175</v>
      </c>
      <c r="K24" s="8" t="s">
        <v>17</v>
      </c>
      <c r="L24" s="8" t="s">
        <v>17</v>
      </c>
      <c r="M24" s="8" t="s">
        <v>176</v>
      </c>
      <c r="N24" s="5"/>
      <c r="O24" s="5"/>
      <c r="P24" s="5"/>
      <c r="Q24" s="5"/>
      <c r="R24" s="5"/>
    </row>
    <row r="25" spans="1:18" ht="409.6">
      <c r="A25" s="7" t="s">
        <v>156</v>
      </c>
      <c r="B25" s="13" t="s">
        <v>177</v>
      </c>
      <c r="C25" s="8" t="s">
        <v>178</v>
      </c>
      <c r="D25" s="8" t="s">
        <v>17</v>
      </c>
      <c r="E25" s="8" t="s">
        <v>88</v>
      </c>
      <c r="F25" s="8" t="s">
        <v>17</v>
      </c>
      <c r="G25" s="8" t="s">
        <v>159</v>
      </c>
      <c r="H25" s="8" t="s">
        <v>179</v>
      </c>
      <c r="I25" s="8"/>
      <c r="J25" s="8" t="s">
        <v>161</v>
      </c>
      <c r="K25" s="8" t="s">
        <v>17</v>
      </c>
      <c r="L25" s="8" t="s">
        <v>17</v>
      </c>
      <c r="M25" s="8" t="s">
        <v>176</v>
      </c>
      <c r="N25" s="5"/>
      <c r="O25" s="5"/>
      <c r="P25" s="5"/>
      <c r="Q25" s="5"/>
      <c r="R25" s="5"/>
    </row>
    <row r="26" spans="1:18" ht="409.6">
      <c r="A26" s="7" t="s">
        <v>156</v>
      </c>
      <c r="B26" s="13" t="s">
        <v>180</v>
      </c>
      <c r="C26" s="8" t="s">
        <v>36</v>
      </c>
      <c r="D26" s="8" t="s">
        <v>60</v>
      </c>
      <c r="E26" s="8" t="s">
        <v>88</v>
      </c>
      <c r="F26" s="8" t="s">
        <v>17</v>
      </c>
      <c r="G26" s="8" t="s">
        <v>159</v>
      </c>
      <c r="H26" s="8" t="s">
        <v>114</v>
      </c>
      <c r="I26" s="8" t="s">
        <v>161</v>
      </c>
      <c r="J26" s="8" t="s">
        <v>181</v>
      </c>
      <c r="K26" s="8" t="s">
        <v>17</v>
      </c>
      <c r="L26" s="8" t="s">
        <v>17</v>
      </c>
      <c r="M26" s="8" t="s">
        <v>182</v>
      </c>
      <c r="N26" s="5"/>
      <c r="O26" s="5"/>
      <c r="P26" s="5"/>
      <c r="Q26" s="5"/>
      <c r="R26" s="5"/>
    </row>
    <row r="27" spans="1:18" ht="409.6">
      <c r="A27" s="7" t="s">
        <v>156</v>
      </c>
      <c r="B27" s="13" t="s">
        <v>183</v>
      </c>
      <c r="C27" s="8" t="s">
        <v>36</v>
      </c>
      <c r="D27" s="8" t="s">
        <v>184</v>
      </c>
      <c r="E27" s="8" t="s">
        <v>17</v>
      </c>
      <c r="F27" s="8" t="s">
        <v>17</v>
      </c>
      <c r="G27" s="8" t="s">
        <v>159</v>
      </c>
      <c r="H27" s="8" t="s">
        <v>17</v>
      </c>
      <c r="I27" s="8" t="s">
        <v>56</v>
      </c>
      <c r="J27" s="8" t="s">
        <v>185</v>
      </c>
      <c r="K27" s="8" t="s">
        <v>17</v>
      </c>
      <c r="L27" s="8" t="s">
        <v>17</v>
      </c>
      <c r="M27" s="8" t="s">
        <v>176</v>
      </c>
      <c r="N27" s="5"/>
      <c r="O27" s="5"/>
      <c r="P27" s="5"/>
      <c r="Q27" s="5"/>
      <c r="R27" s="5"/>
    </row>
    <row r="28" spans="1:18" ht="409.6">
      <c r="A28" s="7" t="s">
        <v>156</v>
      </c>
      <c r="B28" s="13" t="s">
        <v>59</v>
      </c>
      <c r="C28" s="8" t="s">
        <v>186</v>
      </c>
      <c r="D28" s="8" t="s">
        <v>60</v>
      </c>
      <c r="E28" s="8" t="s">
        <v>17</v>
      </c>
      <c r="F28" s="8" t="s">
        <v>17</v>
      </c>
      <c r="G28" s="8" t="s">
        <v>187</v>
      </c>
      <c r="H28" s="8" t="s">
        <v>188</v>
      </c>
      <c r="I28" s="8" t="s">
        <v>189</v>
      </c>
      <c r="J28" s="8" t="s">
        <v>190</v>
      </c>
      <c r="K28" s="8" t="s">
        <v>17</v>
      </c>
      <c r="L28" s="8" t="s">
        <v>17</v>
      </c>
      <c r="M28" s="8" t="s">
        <v>176</v>
      </c>
      <c r="N28" s="5"/>
      <c r="O28" s="5"/>
      <c r="P28" s="5"/>
      <c r="Q28" s="5"/>
      <c r="R28" s="5"/>
    </row>
    <row r="29" spans="1:18" ht="409.6">
      <c r="A29" s="7" t="s">
        <v>156</v>
      </c>
      <c r="B29" s="13" t="s">
        <v>191</v>
      </c>
      <c r="C29" s="8" t="s">
        <v>192</v>
      </c>
      <c r="D29" s="8" t="s">
        <v>60</v>
      </c>
      <c r="E29" s="8" t="s">
        <v>17</v>
      </c>
      <c r="F29" s="8" t="s">
        <v>17</v>
      </c>
      <c r="G29" s="8" t="s">
        <v>187</v>
      </c>
      <c r="H29" s="8" t="s">
        <v>193</v>
      </c>
      <c r="I29" s="8" t="s">
        <v>194</v>
      </c>
      <c r="J29" s="8" t="s">
        <v>195</v>
      </c>
      <c r="K29" s="8" t="s">
        <v>17</v>
      </c>
      <c r="L29" s="8" t="s">
        <v>17</v>
      </c>
      <c r="M29" s="8" t="s">
        <v>176</v>
      </c>
      <c r="N29" s="5"/>
      <c r="O29" s="5"/>
      <c r="P29" s="5"/>
      <c r="Q29" s="5"/>
      <c r="R29" s="5"/>
    </row>
    <row r="30" spans="1:18" ht="409.6">
      <c r="A30" s="7" t="s">
        <v>156</v>
      </c>
      <c r="B30" s="13" t="s">
        <v>116</v>
      </c>
      <c r="C30" s="8" t="s">
        <v>196</v>
      </c>
      <c r="D30" s="8" t="s">
        <v>197</v>
      </c>
      <c r="E30" s="8" t="s">
        <v>17</v>
      </c>
      <c r="F30" s="8" t="s">
        <v>17</v>
      </c>
      <c r="G30" s="8" t="s">
        <v>159</v>
      </c>
      <c r="H30" s="8"/>
      <c r="I30" s="8" t="s">
        <v>198</v>
      </c>
      <c r="J30" s="8" t="s">
        <v>199</v>
      </c>
      <c r="K30" s="8" t="s">
        <v>17</v>
      </c>
      <c r="L30" s="8" t="s">
        <v>17</v>
      </c>
      <c r="M30" s="8" t="s">
        <v>200</v>
      </c>
      <c r="N30" s="5"/>
      <c r="O30" s="5"/>
      <c r="P30" s="5"/>
      <c r="Q30" s="5"/>
      <c r="R30" s="5"/>
    </row>
    <row r="31" spans="1:18" ht="409.6">
      <c r="A31" s="7" t="s">
        <v>156</v>
      </c>
      <c r="B31" s="13" t="s">
        <v>201</v>
      </c>
      <c r="C31" s="8" t="s">
        <v>36</v>
      </c>
      <c r="D31" s="8" t="s">
        <v>202</v>
      </c>
      <c r="E31" s="8" t="s">
        <v>17</v>
      </c>
      <c r="F31" s="8" t="s">
        <v>17</v>
      </c>
      <c r="G31" s="8" t="s">
        <v>159</v>
      </c>
      <c r="H31" s="8" t="s">
        <v>203</v>
      </c>
      <c r="I31" s="8" t="s">
        <v>204</v>
      </c>
      <c r="J31" s="8" t="s">
        <v>205</v>
      </c>
      <c r="K31" s="8" t="s">
        <v>17</v>
      </c>
      <c r="L31" s="8" t="s">
        <v>17</v>
      </c>
      <c r="M31" s="8" t="s">
        <v>206</v>
      </c>
      <c r="N31" s="5"/>
      <c r="O31" s="5"/>
      <c r="P31" s="5"/>
      <c r="Q31" s="5"/>
      <c r="R31" s="5"/>
    </row>
    <row r="32" spans="1:18" ht="409.6">
      <c r="A32" s="7" t="s">
        <v>156</v>
      </c>
      <c r="B32" s="13" t="s">
        <v>207</v>
      </c>
      <c r="C32" s="8" t="s">
        <v>208</v>
      </c>
      <c r="D32" s="8" t="s">
        <v>60</v>
      </c>
      <c r="E32" s="8" t="s">
        <v>17</v>
      </c>
      <c r="F32" s="8" t="s">
        <v>17</v>
      </c>
      <c r="G32" s="8" t="s">
        <v>159</v>
      </c>
      <c r="H32" s="8" t="s">
        <v>17</v>
      </c>
      <c r="I32" s="8" t="s">
        <v>209</v>
      </c>
      <c r="J32" s="8" t="s">
        <v>210</v>
      </c>
      <c r="K32" s="8" t="s">
        <v>17</v>
      </c>
      <c r="L32" s="8" t="s">
        <v>17</v>
      </c>
      <c r="M32" s="8" t="s">
        <v>176</v>
      </c>
      <c r="N32" s="5"/>
      <c r="O32" s="5"/>
      <c r="P32" s="5"/>
      <c r="Q32" s="5"/>
      <c r="R32" s="5"/>
    </row>
    <row r="33" spans="1:18" ht="409.6">
      <c r="A33" s="7" t="s">
        <v>156</v>
      </c>
      <c r="B33" s="13" t="s">
        <v>211</v>
      </c>
      <c r="C33" s="8" t="s">
        <v>36</v>
      </c>
      <c r="D33" s="8" t="s">
        <v>60</v>
      </c>
      <c r="E33" s="8" t="s">
        <v>17</v>
      </c>
      <c r="F33" s="8" t="s">
        <v>17</v>
      </c>
      <c r="G33" s="8" t="s">
        <v>159</v>
      </c>
      <c r="H33" s="8" t="s">
        <v>114</v>
      </c>
      <c r="I33" s="8" t="s">
        <v>209</v>
      </c>
      <c r="J33" s="8" t="s">
        <v>212</v>
      </c>
      <c r="K33" s="8" t="s">
        <v>17</v>
      </c>
      <c r="L33" s="8" t="s">
        <v>17</v>
      </c>
      <c r="M33" s="8" t="s">
        <v>176</v>
      </c>
      <c r="N33" s="5"/>
      <c r="O33" s="5"/>
      <c r="P33" s="5"/>
      <c r="Q33" s="5"/>
      <c r="R33" s="5"/>
    </row>
    <row r="34" spans="1:18" ht="409.6">
      <c r="A34" s="7" t="s">
        <v>156</v>
      </c>
      <c r="B34" s="13" t="s">
        <v>213</v>
      </c>
      <c r="C34" s="8" t="s">
        <v>36</v>
      </c>
      <c r="D34" s="8" t="s">
        <v>60</v>
      </c>
      <c r="E34" s="8" t="s">
        <v>17</v>
      </c>
      <c r="F34" s="8" t="s">
        <v>17</v>
      </c>
      <c r="G34" s="8" t="s">
        <v>214</v>
      </c>
      <c r="H34" s="8" t="s">
        <v>17</v>
      </c>
      <c r="I34" s="8" t="s">
        <v>209</v>
      </c>
      <c r="J34" s="8" t="s">
        <v>215</v>
      </c>
      <c r="K34" s="8" t="s">
        <v>17</v>
      </c>
      <c r="L34" s="8" t="s">
        <v>17</v>
      </c>
      <c r="M34" s="8" t="s">
        <v>216</v>
      </c>
      <c r="N34" s="5"/>
      <c r="O34" s="5"/>
      <c r="P34" s="5"/>
      <c r="Q34" s="5"/>
      <c r="R34" s="5"/>
    </row>
    <row r="35" spans="1:18" ht="409.6">
      <c r="A35" s="7" t="s">
        <v>20</v>
      </c>
      <c r="B35" s="13" t="s">
        <v>217</v>
      </c>
      <c r="C35" s="8" t="s">
        <v>218</v>
      </c>
      <c r="D35" s="8" t="s">
        <v>17</v>
      </c>
      <c r="E35" s="8" t="s">
        <v>219</v>
      </c>
      <c r="F35" s="8" t="s">
        <v>220</v>
      </c>
      <c r="G35" s="8" t="s">
        <v>221</v>
      </c>
      <c r="H35" s="8" t="s">
        <v>222</v>
      </c>
      <c r="I35" s="8" t="s">
        <v>17</v>
      </c>
      <c r="J35" s="8" t="s">
        <v>223</v>
      </c>
      <c r="K35" s="8" t="s">
        <v>224</v>
      </c>
      <c r="L35" s="8" t="s">
        <v>17</v>
      </c>
      <c r="M35" s="8"/>
      <c r="N35" s="5"/>
      <c r="O35" s="5"/>
      <c r="P35" s="5"/>
      <c r="Q35" s="5"/>
      <c r="R35" s="5"/>
    </row>
    <row r="36" spans="1:18" ht="261">
      <c r="A36" s="7" t="s">
        <v>109</v>
      </c>
      <c r="B36" s="13" t="s">
        <v>225</v>
      </c>
      <c r="C36" s="8" t="s">
        <v>226</v>
      </c>
      <c r="D36" s="8" t="s">
        <v>227</v>
      </c>
      <c r="E36" s="8" t="s">
        <v>29</v>
      </c>
      <c r="F36" s="8" t="s">
        <v>228</v>
      </c>
      <c r="G36" s="8" t="s">
        <v>229</v>
      </c>
      <c r="H36" s="8" t="s">
        <v>230</v>
      </c>
      <c r="I36" s="8" t="s">
        <v>231</v>
      </c>
      <c r="J36" s="8" t="s">
        <v>232</v>
      </c>
      <c r="K36" s="8" t="s">
        <v>233</v>
      </c>
      <c r="L36" s="8" t="s">
        <v>17</v>
      </c>
      <c r="M36" s="8"/>
      <c r="N36" s="5"/>
      <c r="O36" s="5"/>
      <c r="P36" s="5"/>
      <c r="Q36" s="5"/>
      <c r="R36" s="5"/>
    </row>
    <row r="37" spans="1:18" ht="409.6">
      <c r="A37" s="7" t="s">
        <v>156</v>
      </c>
      <c r="B37" s="13" t="s">
        <v>234</v>
      </c>
      <c r="C37" s="8" t="s">
        <v>186</v>
      </c>
      <c r="D37" s="8" t="s">
        <v>60</v>
      </c>
      <c r="E37" s="8" t="s">
        <v>17</v>
      </c>
      <c r="F37" s="8" t="s">
        <v>17</v>
      </c>
      <c r="G37" s="8" t="s">
        <v>187</v>
      </c>
      <c r="H37" s="8" t="s">
        <v>17</v>
      </c>
      <c r="I37" s="8" t="s">
        <v>17</v>
      </c>
      <c r="J37" s="8" t="s">
        <v>190</v>
      </c>
      <c r="K37" s="8" t="s">
        <v>17</v>
      </c>
      <c r="L37" s="8" t="s">
        <v>17</v>
      </c>
      <c r="M37" s="8" t="s">
        <v>176</v>
      </c>
      <c r="N37" s="5"/>
      <c r="O37" s="5"/>
      <c r="P37" s="5"/>
      <c r="Q37" s="5"/>
      <c r="R37" s="5"/>
    </row>
    <row r="38" spans="1:18" ht="409.6">
      <c r="A38" s="7" t="s">
        <v>43</v>
      </c>
      <c r="B38" s="13" t="s">
        <v>235</v>
      </c>
      <c r="C38" s="8" t="s">
        <v>36</v>
      </c>
      <c r="D38" s="8" t="s">
        <v>82</v>
      </c>
      <c r="E38" s="8" t="s">
        <v>17</v>
      </c>
      <c r="F38" s="8" t="s">
        <v>17</v>
      </c>
      <c r="G38" s="8">
        <v>44705</v>
      </c>
      <c r="H38" s="8" t="s">
        <v>236</v>
      </c>
      <c r="I38" s="8" t="s">
        <v>237</v>
      </c>
      <c r="J38" s="8" t="s">
        <v>238</v>
      </c>
      <c r="K38" s="8" t="s">
        <v>17</v>
      </c>
      <c r="L38" s="8" t="s">
        <v>17</v>
      </c>
      <c r="M38" s="8"/>
      <c r="N38" s="5"/>
      <c r="O38" s="5"/>
      <c r="P38" s="5"/>
      <c r="Q38" s="5"/>
      <c r="R38" s="5"/>
    </row>
    <row r="39" spans="1:18" ht="409.6">
      <c r="A39" s="7" t="s">
        <v>239</v>
      </c>
      <c r="B39" s="13" t="s">
        <v>240</v>
      </c>
      <c r="C39" s="8" t="s">
        <v>17</v>
      </c>
      <c r="D39" s="8" t="s">
        <v>87</v>
      </c>
      <c r="E39" s="8" t="s">
        <v>17</v>
      </c>
      <c r="F39" s="8" t="s">
        <v>17</v>
      </c>
      <c r="G39" s="8" t="s">
        <v>241</v>
      </c>
      <c r="H39" s="8" t="s">
        <v>242</v>
      </c>
      <c r="I39" s="8" t="s">
        <v>17</v>
      </c>
      <c r="J39" s="8" t="s">
        <v>243</v>
      </c>
      <c r="K39" s="8" t="s">
        <v>17</v>
      </c>
      <c r="L39" s="8" t="s">
        <v>17</v>
      </c>
      <c r="M39" s="8" t="s">
        <v>244</v>
      </c>
      <c r="N39" s="5"/>
      <c r="O39" s="5"/>
      <c r="P39" s="5"/>
      <c r="Q39" s="5"/>
      <c r="R39" s="5"/>
    </row>
    <row r="40" spans="1:18" ht="409.6">
      <c r="A40" s="7" t="s">
        <v>245</v>
      </c>
      <c r="B40" s="13" t="s">
        <v>116</v>
      </c>
      <c r="C40" s="8" t="s">
        <v>75</v>
      </c>
      <c r="D40" s="8" t="s">
        <v>246</v>
      </c>
      <c r="E40" s="8" t="s">
        <v>17</v>
      </c>
      <c r="F40" s="8" t="s">
        <v>17</v>
      </c>
      <c r="G40" s="8" t="s">
        <v>247</v>
      </c>
      <c r="H40" s="8" t="s">
        <v>248</v>
      </c>
      <c r="I40" s="8" t="s">
        <v>17</v>
      </c>
      <c r="J40" s="8" t="s">
        <v>249</v>
      </c>
      <c r="K40" s="8" t="s">
        <v>250</v>
      </c>
      <c r="L40" s="8" t="s">
        <v>17</v>
      </c>
      <c r="M40" s="8" t="s">
        <v>251</v>
      </c>
      <c r="N40" s="5"/>
      <c r="O40" s="5"/>
      <c r="P40" s="5"/>
      <c r="Q40" s="5"/>
      <c r="R40" s="5"/>
    </row>
    <row r="41" spans="1:18" ht="409.6">
      <c r="A41" s="7" t="s">
        <v>109</v>
      </c>
      <c r="B41" s="13" t="s">
        <v>252</v>
      </c>
      <c r="C41" s="8" t="s">
        <v>253</v>
      </c>
      <c r="D41" s="8" t="s">
        <v>254</v>
      </c>
      <c r="E41" s="8" t="s">
        <v>29</v>
      </c>
      <c r="F41" s="8" t="s">
        <v>255</v>
      </c>
      <c r="G41" s="8" t="s">
        <v>256</v>
      </c>
      <c r="H41" s="8" t="s">
        <v>257</v>
      </c>
      <c r="I41" s="8" t="s">
        <v>258</v>
      </c>
      <c r="J41" s="8" t="s">
        <v>17</v>
      </c>
      <c r="K41" s="8" t="s">
        <v>259</v>
      </c>
      <c r="L41" s="8" t="s">
        <v>17</v>
      </c>
      <c r="M41" s="8" t="s">
        <v>260</v>
      </c>
      <c r="N41" s="5"/>
      <c r="O41" s="5"/>
      <c r="P41" s="5"/>
      <c r="Q41" s="5"/>
      <c r="R41" s="5"/>
    </row>
    <row r="42" spans="1:18" ht="372.9">
      <c r="A42" s="7" t="s">
        <v>73</v>
      </c>
      <c r="B42" s="13" t="s">
        <v>261</v>
      </c>
      <c r="C42" s="8" t="s">
        <v>262</v>
      </c>
      <c r="D42" s="8" t="s">
        <v>60</v>
      </c>
      <c r="E42" s="8" t="s">
        <v>29</v>
      </c>
      <c r="F42" s="8" t="s">
        <v>263</v>
      </c>
      <c r="G42" s="8" t="s">
        <v>17</v>
      </c>
      <c r="H42" s="8" t="s">
        <v>264</v>
      </c>
      <c r="I42" s="8" t="s">
        <v>17</v>
      </c>
      <c r="J42" s="8" t="s">
        <v>17</v>
      </c>
      <c r="K42" s="8" t="s">
        <v>265</v>
      </c>
      <c r="L42" s="8" t="s">
        <v>17</v>
      </c>
      <c r="M42" s="8" t="s">
        <v>266</v>
      </c>
      <c r="N42" s="5"/>
      <c r="O42" s="5"/>
      <c r="P42" s="5"/>
      <c r="Q42" s="5"/>
      <c r="R42" s="5"/>
    </row>
    <row r="43" spans="1:18" ht="154.30000000000001">
      <c r="A43" s="7" t="s">
        <v>58</v>
      </c>
      <c r="B43" s="13" t="s">
        <v>267</v>
      </c>
      <c r="C43" s="8" t="s">
        <v>268</v>
      </c>
      <c r="D43" s="8" t="s">
        <v>269</v>
      </c>
      <c r="E43" s="8" t="s">
        <v>17</v>
      </c>
      <c r="F43" s="8" t="s">
        <v>17</v>
      </c>
      <c r="G43" s="8" t="s">
        <v>270</v>
      </c>
      <c r="H43" s="8" t="s">
        <v>114</v>
      </c>
      <c r="I43" s="8" t="s">
        <v>17</v>
      </c>
      <c r="J43" s="8" t="s">
        <v>17</v>
      </c>
      <c r="K43" s="8" t="s">
        <v>17</v>
      </c>
      <c r="L43" s="8" t="s">
        <v>17</v>
      </c>
      <c r="M43" s="8"/>
      <c r="N43" s="5"/>
      <c r="O43" s="5"/>
      <c r="P43" s="5"/>
      <c r="Q43" s="5"/>
      <c r="R43" s="5"/>
    </row>
    <row r="44" spans="1:18" ht="409.6">
      <c r="A44" s="7" t="s">
        <v>245</v>
      </c>
      <c r="B44" s="13" t="s">
        <v>35</v>
      </c>
      <c r="C44" s="8" t="s">
        <v>271</v>
      </c>
      <c r="D44" s="8" t="s">
        <v>272</v>
      </c>
      <c r="E44" s="8" t="s">
        <v>88</v>
      </c>
      <c r="F44" s="8" t="s">
        <v>273</v>
      </c>
      <c r="G44" s="8" t="s">
        <v>274</v>
      </c>
      <c r="H44" s="8" t="s">
        <v>114</v>
      </c>
      <c r="I44" s="8" t="s">
        <v>17</v>
      </c>
      <c r="J44" s="8" t="s">
        <v>275</v>
      </c>
      <c r="K44" s="8" t="s">
        <v>17</v>
      </c>
      <c r="L44" s="8" t="s">
        <v>17</v>
      </c>
      <c r="M44" s="8"/>
      <c r="N44" s="5"/>
      <c r="O44" s="5"/>
      <c r="P44" s="5"/>
      <c r="Q44" s="5"/>
      <c r="R44" s="5"/>
    </row>
    <row r="45" spans="1:18" ht="409.6">
      <c r="A45" s="7" t="s">
        <v>276</v>
      </c>
      <c r="B45" s="13" t="s">
        <v>35</v>
      </c>
      <c r="C45" s="8" t="s">
        <v>52</v>
      </c>
      <c r="D45" s="8" t="s">
        <v>277</v>
      </c>
      <c r="E45" s="8" t="s">
        <v>88</v>
      </c>
      <c r="F45" s="8" t="s">
        <v>278</v>
      </c>
      <c r="G45" s="8" t="s">
        <v>279</v>
      </c>
      <c r="H45" s="8" t="s">
        <v>280</v>
      </c>
      <c r="I45" s="8" t="s">
        <v>161</v>
      </c>
      <c r="J45" s="8" t="s">
        <v>281</v>
      </c>
      <c r="K45" s="8" t="s">
        <v>17</v>
      </c>
      <c r="L45" s="8" t="s">
        <v>282</v>
      </c>
      <c r="M45" s="8"/>
      <c r="N45" s="5"/>
      <c r="O45" s="5"/>
      <c r="P45" s="5"/>
      <c r="Q45" s="5"/>
      <c r="R45" s="5"/>
    </row>
    <row r="46" spans="1:18" ht="409.6">
      <c r="A46" s="7" t="s">
        <v>283</v>
      </c>
      <c r="B46" s="13" t="s">
        <v>284</v>
      </c>
      <c r="C46" s="8" t="s">
        <v>36</v>
      </c>
      <c r="D46" s="8" t="s">
        <v>122</v>
      </c>
      <c r="E46" s="8" t="s">
        <v>17</v>
      </c>
      <c r="F46" s="8" t="s">
        <v>17</v>
      </c>
      <c r="G46" s="8" t="s">
        <v>285</v>
      </c>
      <c r="H46" s="8" t="s">
        <v>17</v>
      </c>
      <c r="I46" s="8" t="s">
        <v>125</v>
      </c>
      <c r="J46" s="8" t="s">
        <v>286</v>
      </c>
      <c r="K46" s="8" t="s">
        <v>17</v>
      </c>
      <c r="L46" s="8" t="s">
        <v>17</v>
      </c>
      <c r="M46" s="8"/>
      <c r="N46" s="5"/>
      <c r="O46" s="5"/>
      <c r="P46" s="5"/>
      <c r="Q46" s="5"/>
      <c r="R46" s="5"/>
    </row>
    <row r="47" spans="1:18" ht="409.6">
      <c r="A47" s="7" t="s">
        <v>287</v>
      </c>
      <c r="B47" s="13" t="s">
        <v>288</v>
      </c>
      <c r="C47" s="8" t="s">
        <v>17</v>
      </c>
      <c r="D47" s="8" t="s">
        <v>289</v>
      </c>
      <c r="E47" s="8" t="s">
        <v>88</v>
      </c>
      <c r="F47" s="8" t="s">
        <v>290</v>
      </c>
      <c r="G47" s="8" t="s">
        <v>291</v>
      </c>
      <c r="H47" s="8" t="s">
        <v>292</v>
      </c>
      <c r="I47" s="8" t="s">
        <v>17</v>
      </c>
      <c r="J47" s="8" t="s">
        <v>293</v>
      </c>
      <c r="K47" s="8" t="s">
        <v>17</v>
      </c>
      <c r="L47" s="8" t="s">
        <v>294</v>
      </c>
      <c r="M47" s="8"/>
      <c r="N47" s="5"/>
      <c r="O47" s="5"/>
      <c r="P47" s="5"/>
      <c r="Q47" s="5"/>
      <c r="R47" s="5"/>
    </row>
    <row r="48" spans="1:18" ht="409.6">
      <c r="A48" s="7" t="s">
        <v>26</v>
      </c>
      <c r="B48" s="13" t="s">
        <v>295</v>
      </c>
      <c r="C48" s="8" t="s">
        <v>36</v>
      </c>
      <c r="D48" s="8" t="s">
        <v>60</v>
      </c>
      <c r="E48" s="8" t="s">
        <v>88</v>
      </c>
      <c r="F48" s="8" t="s">
        <v>17</v>
      </c>
      <c r="G48" s="8" t="s">
        <v>296</v>
      </c>
      <c r="H48" s="8" t="s">
        <v>297</v>
      </c>
      <c r="I48" s="8" t="s">
        <v>17</v>
      </c>
      <c r="J48" s="8" t="s">
        <v>298</v>
      </c>
      <c r="K48" s="8" t="s">
        <v>17</v>
      </c>
      <c r="L48" s="8" t="s">
        <v>17</v>
      </c>
      <c r="M48" s="8"/>
      <c r="N48" s="5"/>
      <c r="O48" s="5"/>
      <c r="P48" s="5"/>
      <c r="Q48" s="5"/>
      <c r="R48" s="5"/>
    </row>
    <row r="49" spans="1:18" ht="409.6">
      <c r="A49" s="7" t="s">
        <v>58</v>
      </c>
      <c r="B49" s="13" t="s">
        <v>116</v>
      </c>
      <c r="C49" s="8" t="s">
        <v>17</v>
      </c>
      <c r="D49" s="8" t="s">
        <v>17</v>
      </c>
      <c r="E49" s="8" t="s">
        <v>299</v>
      </c>
      <c r="F49" s="8" t="s">
        <v>300</v>
      </c>
      <c r="G49" s="8" t="s">
        <v>301</v>
      </c>
      <c r="H49" s="8" t="s">
        <v>302</v>
      </c>
      <c r="I49" s="8" t="s">
        <v>303</v>
      </c>
      <c r="J49" s="8" t="s">
        <v>304</v>
      </c>
      <c r="K49" s="8" t="s">
        <v>17</v>
      </c>
      <c r="L49" s="8" t="s">
        <v>17</v>
      </c>
      <c r="M49" s="8"/>
      <c r="N49" s="5"/>
      <c r="O49" s="5"/>
      <c r="P49" s="5"/>
      <c r="Q49" s="5"/>
      <c r="R49" s="5"/>
    </row>
    <row r="50" spans="1:18" ht="409.6">
      <c r="A50" s="7" t="s">
        <v>283</v>
      </c>
      <c r="B50" s="13" t="s">
        <v>305</v>
      </c>
      <c r="C50" s="8" t="s">
        <v>36</v>
      </c>
      <c r="D50" s="8" t="s">
        <v>60</v>
      </c>
      <c r="E50" s="8" t="s">
        <v>17</v>
      </c>
      <c r="F50" s="8" t="s">
        <v>17</v>
      </c>
      <c r="G50" s="8" t="s">
        <v>306</v>
      </c>
      <c r="H50" s="8" t="s">
        <v>307</v>
      </c>
      <c r="I50" s="8" t="s">
        <v>17</v>
      </c>
      <c r="J50" s="8" t="s">
        <v>308</v>
      </c>
      <c r="K50" s="8" t="s">
        <v>17</v>
      </c>
      <c r="L50" s="8" t="s">
        <v>17</v>
      </c>
      <c r="M50" s="8"/>
      <c r="N50" s="5"/>
      <c r="O50" s="5"/>
      <c r="P50" s="5"/>
      <c r="Q50" s="5"/>
      <c r="R50" s="5"/>
    </row>
    <row r="51" spans="1:18" ht="409.6">
      <c r="A51" s="7" t="s">
        <v>309</v>
      </c>
      <c r="B51" s="13" t="s">
        <v>191</v>
      </c>
      <c r="C51" s="8" t="s">
        <v>310</v>
      </c>
      <c r="D51" s="8" t="s">
        <v>60</v>
      </c>
      <c r="E51" s="8" t="s">
        <v>29</v>
      </c>
      <c r="F51" s="8" t="s">
        <v>311</v>
      </c>
      <c r="G51" s="8" t="s">
        <v>312</v>
      </c>
      <c r="H51" s="8" t="s">
        <v>313</v>
      </c>
      <c r="I51" s="8" t="s">
        <v>314</v>
      </c>
      <c r="J51" s="8" t="s">
        <v>315</v>
      </c>
      <c r="K51" s="8" t="s">
        <v>316</v>
      </c>
      <c r="L51" s="8" t="s">
        <v>317</v>
      </c>
      <c r="M51" s="8"/>
      <c r="N51" s="5"/>
      <c r="O51" s="5"/>
      <c r="P51" s="5"/>
      <c r="Q51" s="5"/>
      <c r="R51" s="5"/>
    </row>
    <row r="52" spans="1:18" ht="409.6">
      <c r="A52" s="7" t="s">
        <v>318</v>
      </c>
      <c r="B52" s="13" t="s">
        <v>74</v>
      </c>
      <c r="C52" s="8" t="s">
        <v>319</v>
      </c>
      <c r="D52" s="8" t="s">
        <v>320</v>
      </c>
      <c r="E52" s="8" t="s">
        <v>17</v>
      </c>
      <c r="F52" s="8" t="s">
        <v>17</v>
      </c>
      <c r="G52" s="8" t="s">
        <v>321</v>
      </c>
      <c r="H52" s="8" t="s">
        <v>322</v>
      </c>
      <c r="I52" s="8" t="s">
        <v>323</v>
      </c>
      <c r="J52" s="8" t="s">
        <v>324</v>
      </c>
      <c r="K52" s="8" t="s">
        <v>17</v>
      </c>
      <c r="L52" s="8" t="s">
        <v>325</v>
      </c>
      <c r="M52" s="8" t="s">
        <v>326</v>
      </c>
      <c r="N52" s="5"/>
      <c r="O52" s="5"/>
      <c r="P52" s="5"/>
      <c r="Q52" s="5"/>
      <c r="R52" s="5"/>
    </row>
    <row r="53" spans="1:18" ht="409.6">
      <c r="A53" s="7" t="s">
        <v>318</v>
      </c>
      <c r="B53" s="13" t="s">
        <v>35</v>
      </c>
      <c r="C53" s="8" t="s">
        <v>327</v>
      </c>
      <c r="D53" s="8" t="s">
        <v>320</v>
      </c>
      <c r="E53" s="8" t="s">
        <v>17</v>
      </c>
      <c r="F53" s="8" t="s">
        <v>17</v>
      </c>
      <c r="G53" s="8" t="s">
        <v>328</v>
      </c>
      <c r="H53" s="8" t="s">
        <v>138</v>
      </c>
      <c r="I53" s="8" t="s">
        <v>329</v>
      </c>
      <c r="J53" s="8" t="s">
        <v>330</v>
      </c>
      <c r="K53" s="8" t="s">
        <v>331</v>
      </c>
      <c r="L53" s="8" t="s">
        <v>332</v>
      </c>
      <c r="M53" s="8"/>
      <c r="N53" s="5"/>
      <c r="O53" s="5"/>
      <c r="P53" s="5"/>
      <c r="Q53" s="5"/>
      <c r="R53" s="5"/>
    </row>
    <row r="54" spans="1:18" ht="372.9">
      <c r="A54" s="7" t="s">
        <v>333</v>
      </c>
      <c r="B54" s="13" t="s">
        <v>116</v>
      </c>
      <c r="C54" s="8" t="s">
        <v>334</v>
      </c>
      <c r="D54" s="8" t="s">
        <v>335</v>
      </c>
      <c r="E54" s="8" t="s">
        <v>88</v>
      </c>
      <c r="F54" s="8" t="s">
        <v>336</v>
      </c>
      <c r="G54" s="8" t="s">
        <v>337</v>
      </c>
      <c r="H54" s="8" t="s">
        <v>338</v>
      </c>
      <c r="I54" s="8" t="s">
        <v>17</v>
      </c>
      <c r="J54" s="8" t="s">
        <v>339</v>
      </c>
      <c r="K54" s="8" t="s">
        <v>17</v>
      </c>
      <c r="L54" s="8" t="s">
        <v>17</v>
      </c>
      <c r="M54" s="8"/>
      <c r="N54" s="5"/>
      <c r="O54" s="5"/>
      <c r="P54" s="5"/>
      <c r="Q54" s="5"/>
      <c r="R54" s="5"/>
    </row>
    <row r="55" spans="1:18" ht="409.6">
      <c r="A55" s="7" t="s">
        <v>287</v>
      </c>
      <c r="B55" s="13" t="s">
        <v>295</v>
      </c>
      <c r="C55" s="8" t="s">
        <v>52</v>
      </c>
      <c r="D55" s="8" t="s">
        <v>340</v>
      </c>
      <c r="E55" s="8" t="s">
        <v>17</v>
      </c>
      <c r="F55" s="8" t="s">
        <v>17</v>
      </c>
      <c r="G55" s="8" t="s">
        <v>341</v>
      </c>
      <c r="H55" s="8" t="s">
        <v>342</v>
      </c>
      <c r="I55" s="8" t="s">
        <v>17</v>
      </c>
      <c r="J55" s="8" t="s">
        <v>343</v>
      </c>
      <c r="K55" s="8" t="s">
        <v>17</v>
      </c>
      <c r="L55" s="8" t="s">
        <v>344</v>
      </c>
      <c r="M55" s="8"/>
      <c r="N55" s="5"/>
      <c r="O55" s="5"/>
      <c r="P55" s="5"/>
      <c r="Q55" s="5"/>
      <c r="R55" s="5"/>
    </row>
    <row r="56" spans="1:18" ht="270">
      <c r="A56" s="7" t="s">
        <v>50</v>
      </c>
      <c r="B56" s="13" t="s">
        <v>345</v>
      </c>
      <c r="C56" s="8" t="s">
        <v>346</v>
      </c>
      <c r="D56" s="8" t="s">
        <v>347</v>
      </c>
      <c r="E56" s="8" t="s">
        <v>88</v>
      </c>
      <c r="F56" s="8" t="s">
        <v>17</v>
      </c>
      <c r="G56" s="8" t="s">
        <v>348</v>
      </c>
      <c r="H56" s="8" t="s">
        <v>17</v>
      </c>
      <c r="I56" s="8" t="s">
        <v>17</v>
      </c>
      <c r="J56" s="8" t="s">
        <v>349</v>
      </c>
      <c r="K56" s="8" t="s">
        <v>350</v>
      </c>
      <c r="L56" s="8" t="s">
        <v>17</v>
      </c>
      <c r="M56" s="8"/>
      <c r="N56" s="5"/>
      <c r="O56" s="5"/>
      <c r="P56" s="5"/>
      <c r="Q56" s="5"/>
      <c r="R56" s="5"/>
    </row>
    <row r="57" spans="1:18" ht="409.6">
      <c r="A57" s="7" t="s">
        <v>50</v>
      </c>
      <c r="B57" s="13" t="s">
        <v>351</v>
      </c>
      <c r="C57" s="8" t="s">
        <v>352</v>
      </c>
      <c r="D57" s="8" t="s">
        <v>353</v>
      </c>
      <c r="E57" s="8" t="s">
        <v>17</v>
      </c>
      <c r="F57" s="8" t="s">
        <v>354</v>
      </c>
      <c r="G57" s="8" t="s">
        <v>312</v>
      </c>
      <c r="H57" s="8">
        <v>44743</v>
      </c>
      <c r="I57" s="8" t="s">
        <v>17</v>
      </c>
      <c r="J57" s="8" t="s">
        <v>355</v>
      </c>
      <c r="K57" s="8" t="s">
        <v>356</v>
      </c>
      <c r="L57" s="8" t="s">
        <v>17</v>
      </c>
      <c r="M57" s="8"/>
      <c r="N57" s="5"/>
      <c r="O57" s="5"/>
      <c r="P57" s="5"/>
      <c r="Q57" s="5"/>
      <c r="R57" s="5"/>
    </row>
    <row r="58" spans="1:18" ht="409.6">
      <c r="A58" s="7" t="s">
        <v>287</v>
      </c>
      <c r="B58" s="13" t="s">
        <v>357</v>
      </c>
      <c r="C58" s="8" t="s">
        <v>358</v>
      </c>
      <c r="D58" s="8" t="s">
        <v>359</v>
      </c>
      <c r="E58" s="8" t="s">
        <v>88</v>
      </c>
      <c r="F58" s="8" t="s">
        <v>17</v>
      </c>
      <c r="G58" s="8" t="s">
        <v>360</v>
      </c>
      <c r="H58" s="8">
        <v>44743</v>
      </c>
      <c r="I58" s="8" t="s">
        <v>17</v>
      </c>
      <c r="J58" s="8" t="s">
        <v>361</v>
      </c>
      <c r="K58" s="8" t="s">
        <v>362</v>
      </c>
      <c r="L58" s="8" t="s">
        <v>363</v>
      </c>
      <c r="M58" s="8"/>
      <c r="N58" s="5"/>
      <c r="O58" s="5"/>
      <c r="P58" s="5"/>
      <c r="Q58" s="5"/>
      <c r="R58" s="5"/>
    </row>
    <row r="59" spans="1:18" ht="409.6">
      <c r="A59" s="7" t="s">
        <v>318</v>
      </c>
      <c r="B59" s="13" t="s">
        <v>116</v>
      </c>
      <c r="C59" s="8" t="s">
        <v>364</v>
      </c>
      <c r="D59" s="8" t="s">
        <v>365</v>
      </c>
      <c r="E59" s="8" t="s">
        <v>17</v>
      </c>
      <c r="F59" s="8" t="s">
        <v>366</v>
      </c>
      <c r="G59" s="8" t="s">
        <v>367</v>
      </c>
      <c r="H59" s="8" t="s">
        <v>368</v>
      </c>
      <c r="I59" s="8" t="s">
        <v>56</v>
      </c>
      <c r="J59" s="8" t="s">
        <v>369</v>
      </c>
      <c r="K59" s="8" t="s">
        <v>17</v>
      </c>
      <c r="L59" s="8" t="s">
        <v>17</v>
      </c>
      <c r="M59" s="8" t="s">
        <v>370</v>
      </c>
      <c r="N59" s="5"/>
      <c r="O59" s="5"/>
      <c r="P59" s="5"/>
      <c r="Q59" s="5"/>
      <c r="R59" s="5"/>
    </row>
    <row r="60" spans="1:18" ht="186.45">
      <c r="A60" s="7" t="s">
        <v>371</v>
      </c>
      <c r="B60" s="13" t="s">
        <v>35</v>
      </c>
      <c r="C60" s="8" t="s">
        <v>36</v>
      </c>
      <c r="D60" s="8" t="s">
        <v>372</v>
      </c>
      <c r="E60" s="8" t="s">
        <v>17</v>
      </c>
      <c r="F60" s="8" t="s">
        <v>373</v>
      </c>
      <c r="G60" s="8" t="s">
        <v>221</v>
      </c>
      <c r="H60" s="8" t="s">
        <v>374</v>
      </c>
      <c r="I60" s="8" t="s">
        <v>17</v>
      </c>
      <c r="J60" s="8" t="s">
        <v>375</v>
      </c>
      <c r="K60" s="8" t="s">
        <v>376</v>
      </c>
      <c r="L60" s="8" t="s">
        <v>377</v>
      </c>
      <c r="M60" s="8"/>
      <c r="N60" s="5"/>
      <c r="O60" s="5"/>
      <c r="P60" s="5"/>
      <c r="Q60" s="5"/>
      <c r="R60" s="5"/>
    </row>
    <row r="61" spans="1:18" ht="409.6">
      <c r="A61" s="7" t="s">
        <v>73</v>
      </c>
      <c r="B61" s="13" t="s">
        <v>378</v>
      </c>
      <c r="C61" s="8" t="s">
        <v>262</v>
      </c>
      <c r="D61" s="8" t="s">
        <v>379</v>
      </c>
      <c r="E61" s="8" t="s">
        <v>29</v>
      </c>
      <c r="F61" s="8" t="s">
        <v>380</v>
      </c>
      <c r="G61" s="8" t="s">
        <v>17</v>
      </c>
      <c r="H61" s="8" t="s">
        <v>114</v>
      </c>
      <c r="I61" s="8" t="s">
        <v>17</v>
      </c>
      <c r="J61" s="8" t="s">
        <v>17</v>
      </c>
      <c r="K61" s="8" t="s">
        <v>381</v>
      </c>
      <c r="L61" s="8" t="s">
        <v>17</v>
      </c>
      <c r="M61" s="8" t="s">
        <v>382</v>
      </c>
      <c r="N61" s="5"/>
      <c r="O61" s="5"/>
      <c r="P61" s="5"/>
      <c r="Q61" s="5"/>
      <c r="R61" s="5"/>
    </row>
    <row r="62" spans="1:18" ht="409.6">
      <c r="A62" s="7" t="s">
        <v>383</v>
      </c>
      <c r="B62" s="13" t="s">
        <v>384</v>
      </c>
      <c r="C62" s="8" t="s">
        <v>385</v>
      </c>
      <c r="D62" s="8" t="s">
        <v>60</v>
      </c>
      <c r="E62" s="8" t="s">
        <v>17</v>
      </c>
      <c r="F62" s="8" t="s">
        <v>17</v>
      </c>
      <c r="G62" s="8" t="s">
        <v>386</v>
      </c>
      <c r="H62" s="8" t="s">
        <v>387</v>
      </c>
      <c r="I62" s="8" t="s">
        <v>174</v>
      </c>
      <c r="J62" s="8" t="s">
        <v>388</v>
      </c>
      <c r="K62" s="8"/>
      <c r="L62" s="8" t="s">
        <v>389</v>
      </c>
      <c r="M62" s="8"/>
      <c r="N62" s="5"/>
      <c r="O62" s="5"/>
      <c r="P62" s="5"/>
      <c r="Q62" s="5"/>
      <c r="R62" s="5"/>
    </row>
    <row r="63" spans="1:18" ht="154.30000000000001">
      <c r="A63" s="7" t="s">
        <v>309</v>
      </c>
      <c r="B63" s="13" t="s">
        <v>390</v>
      </c>
      <c r="C63" s="8" t="s">
        <v>36</v>
      </c>
      <c r="D63" s="8" t="s">
        <v>372</v>
      </c>
      <c r="E63" s="8" t="s">
        <v>391</v>
      </c>
      <c r="F63" s="8" t="s">
        <v>392</v>
      </c>
      <c r="G63" s="8" t="s">
        <v>17</v>
      </c>
      <c r="H63" s="8" t="s">
        <v>393</v>
      </c>
      <c r="I63" s="8" t="s">
        <v>17</v>
      </c>
      <c r="J63" s="8" t="s">
        <v>17</v>
      </c>
      <c r="K63" s="8" t="s">
        <v>17</v>
      </c>
      <c r="L63" s="8" t="s">
        <v>17</v>
      </c>
      <c r="M63" s="8"/>
      <c r="N63" s="5"/>
      <c r="O63" s="5"/>
      <c r="P63" s="5"/>
      <c r="Q63" s="5"/>
      <c r="R63" s="5"/>
    </row>
    <row r="64" spans="1:18" ht="409.6">
      <c r="A64" s="7" t="s">
        <v>109</v>
      </c>
      <c r="B64" s="13" t="s">
        <v>394</v>
      </c>
      <c r="C64" s="8" t="s">
        <v>75</v>
      </c>
      <c r="D64" s="8" t="s">
        <v>17</v>
      </c>
      <c r="E64" s="8" t="s">
        <v>88</v>
      </c>
      <c r="F64" s="8" t="s">
        <v>395</v>
      </c>
      <c r="G64" s="8" t="s">
        <v>396</v>
      </c>
      <c r="H64" s="8" t="s">
        <v>397</v>
      </c>
      <c r="I64" s="8" t="s">
        <v>63</v>
      </c>
      <c r="J64" s="8" t="s">
        <v>398</v>
      </c>
      <c r="K64" s="8" t="s">
        <v>399</v>
      </c>
      <c r="L64" s="8" t="s">
        <v>17</v>
      </c>
      <c r="M64" s="8"/>
      <c r="N64" s="5"/>
      <c r="O64" s="5"/>
      <c r="P64" s="5"/>
      <c r="Q64" s="5"/>
      <c r="R64" s="5"/>
    </row>
    <row r="65" spans="1:18" ht="409.6">
      <c r="A65" s="7" t="s">
        <v>309</v>
      </c>
      <c r="B65" s="13" t="s">
        <v>59</v>
      </c>
      <c r="C65" s="8" t="s">
        <v>385</v>
      </c>
      <c r="D65" s="8" t="s">
        <v>60</v>
      </c>
      <c r="E65" s="8" t="s">
        <v>29</v>
      </c>
      <c r="F65" s="8" t="s">
        <v>400</v>
      </c>
      <c r="G65" s="8" t="s">
        <v>401</v>
      </c>
      <c r="H65" s="8" t="s">
        <v>55</v>
      </c>
      <c r="I65" s="8" t="s">
        <v>402</v>
      </c>
      <c r="J65" s="8" t="s">
        <v>403</v>
      </c>
      <c r="K65" s="8" t="s">
        <v>404</v>
      </c>
      <c r="L65" s="8" t="s">
        <v>405</v>
      </c>
      <c r="M65" s="8"/>
      <c r="N65" s="5"/>
      <c r="O65" s="5"/>
      <c r="P65" s="5"/>
      <c r="Q65" s="5"/>
      <c r="R65" s="5"/>
    </row>
    <row r="66" spans="1:18" ht="409.6">
      <c r="A66" s="7" t="s">
        <v>318</v>
      </c>
      <c r="B66" s="13" t="s">
        <v>191</v>
      </c>
      <c r="C66" s="8" t="s">
        <v>406</v>
      </c>
      <c r="D66" s="8" t="s">
        <v>407</v>
      </c>
      <c r="E66" s="8" t="s">
        <v>29</v>
      </c>
      <c r="F66" s="8" t="s">
        <v>17</v>
      </c>
      <c r="G66" s="8" t="s">
        <v>408</v>
      </c>
      <c r="H66" s="8" t="s">
        <v>409</v>
      </c>
      <c r="I66" s="8" t="s">
        <v>209</v>
      </c>
      <c r="J66" s="8" t="s">
        <v>410</v>
      </c>
      <c r="K66" s="8" t="s">
        <v>411</v>
      </c>
      <c r="L66" s="8" t="s">
        <v>412</v>
      </c>
      <c r="M66" s="8"/>
      <c r="N66" s="5"/>
      <c r="O66" s="5"/>
      <c r="P66" s="5"/>
      <c r="Q66" s="5"/>
      <c r="R66" s="5"/>
    </row>
    <row r="67" spans="1:18" ht="308.60000000000002">
      <c r="A67" s="7" t="s">
        <v>283</v>
      </c>
      <c r="B67" s="13" t="s">
        <v>413</v>
      </c>
      <c r="C67" s="8" t="s">
        <v>52</v>
      </c>
      <c r="D67" s="8" t="s">
        <v>60</v>
      </c>
      <c r="E67" s="8" t="s">
        <v>17</v>
      </c>
      <c r="F67" s="8" t="s">
        <v>17</v>
      </c>
      <c r="G67" s="8" t="s">
        <v>401</v>
      </c>
      <c r="H67" s="8" t="s">
        <v>307</v>
      </c>
      <c r="I67" s="8" t="s">
        <v>17</v>
      </c>
      <c r="J67" s="8" t="s">
        <v>414</v>
      </c>
      <c r="K67" s="8" t="s">
        <v>17</v>
      </c>
      <c r="L67" s="8" t="s">
        <v>17</v>
      </c>
      <c r="M67" s="8"/>
      <c r="N67" s="5"/>
      <c r="O67" s="5"/>
      <c r="P67" s="5"/>
      <c r="Q67" s="5"/>
      <c r="R67" s="5"/>
    </row>
    <row r="68" spans="1:18" ht="372.9">
      <c r="A68" s="7" t="s">
        <v>415</v>
      </c>
      <c r="B68" s="13" t="s">
        <v>416</v>
      </c>
      <c r="C68" s="8" t="s">
        <v>417</v>
      </c>
      <c r="D68" s="8"/>
      <c r="E68" s="8" t="s">
        <v>88</v>
      </c>
      <c r="F68" s="8" t="s">
        <v>418</v>
      </c>
      <c r="G68" s="8" t="s">
        <v>419</v>
      </c>
      <c r="H68" s="8" t="s">
        <v>420</v>
      </c>
      <c r="I68" s="8" t="s">
        <v>17</v>
      </c>
      <c r="J68" s="8" t="s">
        <v>421</v>
      </c>
      <c r="K68" s="8" t="s">
        <v>17</v>
      </c>
      <c r="L68" s="8" t="s">
        <v>17</v>
      </c>
      <c r="M68" s="8"/>
      <c r="N68" s="5"/>
      <c r="O68" s="5"/>
      <c r="P68" s="5"/>
      <c r="Q68" s="5"/>
      <c r="R68" s="5"/>
    </row>
    <row r="69" spans="1:18" ht="409.6">
      <c r="A69" s="7" t="s">
        <v>422</v>
      </c>
      <c r="B69" s="13" t="s">
        <v>35</v>
      </c>
      <c r="C69" s="8" t="s">
        <v>52</v>
      </c>
      <c r="D69" s="8" t="s">
        <v>423</v>
      </c>
      <c r="E69" s="8" t="s">
        <v>88</v>
      </c>
      <c r="F69" s="8" t="s">
        <v>424</v>
      </c>
      <c r="G69" s="8" t="s">
        <v>425</v>
      </c>
      <c r="H69" s="8" t="s">
        <v>426</v>
      </c>
      <c r="I69" s="8" t="s">
        <v>174</v>
      </c>
      <c r="J69" s="8" t="s">
        <v>427</v>
      </c>
      <c r="K69" s="8" t="s">
        <v>17</v>
      </c>
      <c r="L69" s="8" t="s">
        <v>428</v>
      </c>
      <c r="M69" s="8"/>
      <c r="N69" s="5"/>
      <c r="O69" s="5"/>
      <c r="P69" s="5"/>
      <c r="Q69" s="5"/>
      <c r="R69" s="5"/>
    </row>
    <row r="70" spans="1:18" ht="409.6">
      <c r="A70" s="7" t="s">
        <v>333</v>
      </c>
      <c r="B70" s="13" t="s">
        <v>429</v>
      </c>
      <c r="C70" s="8" t="s">
        <v>75</v>
      </c>
      <c r="D70" s="8" t="s">
        <v>430</v>
      </c>
      <c r="E70" s="8" t="s">
        <v>88</v>
      </c>
      <c r="F70" s="8" t="s">
        <v>431</v>
      </c>
      <c r="G70" s="8" t="s">
        <v>432</v>
      </c>
      <c r="H70" s="8" t="s">
        <v>433</v>
      </c>
      <c r="I70" s="8" t="s">
        <v>17</v>
      </c>
      <c r="J70" s="8" t="s">
        <v>434</v>
      </c>
      <c r="K70" s="8" t="s">
        <v>17</v>
      </c>
      <c r="L70" s="8" t="s">
        <v>17</v>
      </c>
      <c r="M70" s="8"/>
      <c r="N70" s="5"/>
      <c r="O70" s="5"/>
      <c r="P70" s="5"/>
      <c r="Q70" s="5"/>
      <c r="R70" s="5"/>
    </row>
    <row r="71" spans="1:18" ht="223.75">
      <c r="A71" s="7" t="s">
        <v>435</v>
      </c>
      <c r="B71" s="13" t="s">
        <v>43</v>
      </c>
      <c r="C71" s="8" t="s">
        <v>52</v>
      </c>
      <c r="D71" s="8" t="s">
        <v>17</v>
      </c>
      <c r="E71" s="8" t="s">
        <v>17</v>
      </c>
      <c r="F71" s="8" t="s">
        <v>17</v>
      </c>
      <c r="G71" s="8" t="s">
        <v>436</v>
      </c>
      <c r="H71" s="8" t="s">
        <v>437</v>
      </c>
      <c r="I71" s="8" t="s">
        <v>17</v>
      </c>
      <c r="J71" s="8" t="s">
        <v>17</v>
      </c>
      <c r="K71" s="8" t="s">
        <v>17</v>
      </c>
      <c r="L71" s="8" t="s">
        <v>438</v>
      </c>
      <c r="M71" s="8"/>
      <c r="N71" s="5"/>
      <c r="O71" s="5"/>
      <c r="P71" s="5"/>
      <c r="Q71" s="5"/>
      <c r="R71" s="5"/>
    </row>
    <row r="72" spans="1:18" ht="409.6">
      <c r="A72" s="7" t="s">
        <v>439</v>
      </c>
      <c r="B72" s="13" t="s">
        <v>35</v>
      </c>
      <c r="C72" s="8" t="s">
        <v>17</v>
      </c>
      <c r="D72" s="8" t="s">
        <v>60</v>
      </c>
      <c r="E72" s="8" t="s">
        <v>88</v>
      </c>
      <c r="F72" s="8" t="s">
        <v>17</v>
      </c>
      <c r="G72" s="8" t="s">
        <v>440</v>
      </c>
      <c r="H72" s="8" t="s">
        <v>17</v>
      </c>
      <c r="I72" s="8" t="s">
        <v>17</v>
      </c>
      <c r="J72" s="8" t="s">
        <v>441</v>
      </c>
      <c r="K72" s="8" t="s">
        <v>17</v>
      </c>
      <c r="L72" s="8" t="s">
        <v>442</v>
      </c>
      <c r="M72" s="8" t="s">
        <v>443</v>
      </c>
      <c r="N72" s="5"/>
      <c r="O72" s="5"/>
      <c r="P72" s="5"/>
      <c r="Q72" s="5"/>
      <c r="R72" s="5"/>
    </row>
    <row r="73" spans="1:18" ht="409.6">
      <c r="A73" s="7" t="s">
        <v>444</v>
      </c>
      <c r="B73" s="13" t="s">
        <v>116</v>
      </c>
      <c r="C73" s="8" t="s">
        <v>445</v>
      </c>
      <c r="D73" s="8" t="s">
        <v>446</v>
      </c>
      <c r="E73" s="8" t="s">
        <v>88</v>
      </c>
      <c r="F73" s="8" t="s">
        <v>447</v>
      </c>
      <c r="G73" s="8" t="s">
        <v>131</v>
      </c>
      <c r="H73" s="8" t="s">
        <v>448</v>
      </c>
      <c r="I73" s="8" t="s">
        <v>17</v>
      </c>
      <c r="J73" s="8" t="s">
        <v>449</v>
      </c>
      <c r="K73" s="8" t="s">
        <v>17</v>
      </c>
      <c r="L73" s="8" t="s">
        <v>450</v>
      </c>
      <c r="M73" s="8"/>
      <c r="N73" s="5"/>
      <c r="O73" s="5"/>
      <c r="P73" s="5"/>
      <c r="Q73" s="5"/>
      <c r="R73" s="5"/>
    </row>
    <row r="74" spans="1:18" ht="409.6">
      <c r="A74" s="7" t="s">
        <v>50</v>
      </c>
      <c r="B74" s="13" t="s">
        <v>451</v>
      </c>
      <c r="C74" s="8" t="s">
        <v>36</v>
      </c>
      <c r="D74" s="8" t="s">
        <v>452</v>
      </c>
      <c r="E74" s="8" t="s">
        <v>88</v>
      </c>
      <c r="F74" s="8" t="s">
        <v>17</v>
      </c>
      <c r="G74" s="8" t="s">
        <v>453</v>
      </c>
      <c r="H74" s="8" t="s">
        <v>307</v>
      </c>
      <c r="I74" s="8" t="s">
        <v>209</v>
      </c>
      <c r="J74" s="8" t="s">
        <v>454</v>
      </c>
      <c r="K74" s="8" t="s">
        <v>17</v>
      </c>
      <c r="L74" s="8" t="s">
        <v>17</v>
      </c>
      <c r="M74" s="8"/>
      <c r="N74" s="5"/>
      <c r="O74" s="5"/>
      <c r="P74" s="5"/>
      <c r="Q74" s="5"/>
      <c r="R74" s="5"/>
    </row>
    <row r="75" spans="1:18" ht="335.6">
      <c r="A75" s="7" t="s">
        <v>455</v>
      </c>
      <c r="B75" s="13" t="s">
        <v>456</v>
      </c>
      <c r="C75" s="8" t="s">
        <v>457</v>
      </c>
      <c r="D75" s="8" t="s">
        <v>458</v>
      </c>
      <c r="E75" s="8" t="s">
        <v>88</v>
      </c>
      <c r="F75" s="8" t="s">
        <v>17</v>
      </c>
      <c r="G75" s="8" t="s">
        <v>459</v>
      </c>
      <c r="H75" s="8" t="s">
        <v>460</v>
      </c>
      <c r="I75" s="8" t="s">
        <v>323</v>
      </c>
      <c r="J75" s="8" t="s">
        <v>461</v>
      </c>
      <c r="K75" s="8" t="s">
        <v>17</v>
      </c>
      <c r="L75" s="8" t="s">
        <v>462</v>
      </c>
      <c r="M75" s="8"/>
      <c r="N75" s="5"/>
      <c r="O75" s="5"/>
      <c r="P75" s="5"/>
      <c r="Q75" s="5"/>
      <c r="R75" s="5"/>
    </row>
    <row r="76" spans="1:18" ht="409.6">
      <c r="A76" s="7" t="s">
        <v>463</v>
      </c>
      <c r="B76" s="13" t="s">
        <v>464</v>
      </c>
      <c r="C76" s="8" t="s">
        <v>465</v>
      </c>
      <c r="D76" s="8" t="s">
        <v>466</v>
      </c>
      <c r="E76" s="8" t="s">
        <v>88</v>
      </c>
      <c r="F76" s="8" t="s">
        <v>467</v>
      </c>
      <c r="G76" s="8" t="s">
        <v>167</v>
      </c>
      <c r="H76" s="8" t="s">
        <v>468</v>
      </c>
      <c r="I76" s="8" t="s">
        <v>17</v>
      </c>
      <c r="J76" s="8" t="s">
        <v>469</v>
      </c>
      <c r="K76" s="8" t="s">
        <v>17</v>
      </c>
      <c r="L76" s="8" t="s">
        <v>17</v>
      </c>
      <c r="M76" s="8"/>
      <c r="N76" s="5"/>
      <c r="O76" s="5"/>
      <c r="P76" s="5"/>
      <c r="Q76" s="5"/>
      <c r="R76" s="5"/>
    </row>
    <row r="77" spans="1:18" ht="409.6">
      <c r="A77" s="7" t="s">
        <v>109</v>
      </c>
      <c r="B77" s="13" t="s">
        <v>470</v>
      </c>
      <c r="C77" s="8" t="s">
        <v>17</v>
      </c>
      <c r="D77" s="8" t="s">
        <v>17</v>
      </c>
      <c r="E77" s="8" t="s">
        <v>471</v>
      </c>
      <c r="F77" s="8" t="s">
        <v>472</v>
      </c>
      <c r="G77" s="8" t="s">
        <v>473</v>
      </c>
      <c r="H77" s="8" t="s">
        <v>368</v>
      </c>
      <c r="I77" s="8" t="s">
        <v>474</v>
      </c>
      <c r="J77" s="8" t="s">
        <v>475</v>
      </c>
      <c r="K77" s="8" t="s">
        <v>476</v>
      </c>
      <c r="L77" s="8" t="s">
        <v>477</v>
      </c>
      <c r="M77" s="8"/>
      <c r="N77" s="5"/>
      <c r="O77" s="5"/>
      <c r="P77" s="5"/>
      <c r="Q77" s="5"/>
      <c r="R77" s="5"/>
    </row>
    <row r="78" spans="1:18" ht="409.6">
      <c r="A78" s="7" t="s">
        <v>309</v>
      </c>
      <c r="B78" s="13" t="s">
        <v>478</v>
      </c>
      <c r="C78" s="8" t="s">
        <v>17</v>
      </c>
      <c r="D78" s="8" t="s">
        <v>17</v>
      </c>
      <c r="E78" s="8" t="s">
        <v>29</v>
      </c>
      <c r="F78" s="8" t="s">
        <v>479</v>
      </c>
      <c r="G78" s="8" t="s">
        <v>480</v>
      </c>
      <c r="H78" s="8" t="s">
        <v>481</v>
      </c>
      <c r="I78" s="8" t="s">
        <v>314</v>
      </c>
      <c r="J78" s="8" t="s">
        <v>482</v>
      </c>
      <c r="K78" s="8" t="s">
        <v>483</v>
      </c>
      <c r="L78" s="8" t="s">
        <v>484</v>
      </c>
      <c r="M78" s="8"/>
      <c r="N78" s="5"/>
      <c r="O78" s="5"/>
      <c r="P78" s="5"/>
      <c r="Q78" s="5"/>
      <c r="R78" s="5"/>
    </row>
    <row r="79" spans="1:18" ht="154.30000000000001">
      <c r="A79" s="7" t="s">
        <v>455</v>
      </c>
      <c r="B79" s="13" t="s">
        <v>43</v>
      </c>
      <c r="C79" s="8" t="s">
        <v>36</v>
      </c>
      <c r="D79" s="8" t="s">
        <v>17</v>
      </c>
      <c r="E79" s="8" t="s">
        <v>88</v>
      </c>
      <c r="F79" s="8" t="s">
        <v>485</v>
      </c>
      <c r="G79" s="8" t="s">
        <v>17</v>
      </c>
      <c r="H79" s="8" t="s">
        <v>17</v>
      </c>
      <c r="I79" s="8" t="s">
        <v>17</v>
      </c>
      <c r="J79" s="8" t="s">
        <v>17</v>
      </c>
      <c r="K79" s="8" t="s">
        <v>17</v>
      </c>
      <c r="L79" s="8" t="s">
        <v>17</v>
      </c>
      <c r="M79" s="8"/>
      <c r="N79" s="5"/>
      <c r="O79" s="5"/>
      <c r="P79" s="5"/>
      <c r="Q79" s="5"/>
      <c r="R79" s="5"/>
    </row>
    <row r="80" spans="1:18" ht="409.6">
      <c r="A80" s="7" t="s">
        <v>455</v>
      </c>
      <c r="B80" s="13" t="s">
        <v>35</v>
      </c>
      <c r="C80" s="8" t="s">
        <v>486</v>
      </c>
      <c r="D80" s="8" t="s">
        <v>458</v>
      </c>
      <c r="E80" s="8" t="s">
        <v>88</v>
      </c>
      <c r="F80" s="8" t="s">
        <v>17</v>
      </c>
      <c r="G80" s="8" t="s">
        <v>487</v>
      </c>
      <c r="H80" s="8" t="s">
        <v>374</v>
      </c>
      <c r="I80" s="8" t="s">
        <v>63</v>
      </c>
      <c r="J80" s="8" t="s">
        <v>488</v>
      </c>
      <c r="K80" s="8" t="s">
        <v>17</v>
      </c>
      <c r="L80" s="8" t="s">
        <v>17</v>
      </c>
      <c r="M80" s="8"/>
      <c r="N80" s="5"/>
      <c r="O80" s="5"/>
      <c r="P80" s="5"/>
      <c r="Q80" s="5"/>
      <c r="R80" s="5"/>
    </row>
    <row r="81" spans="1:18" ht="409.6">
      <c r="A81" s="7" t="s">
        <v>309</v>
      </c>
      <c r="B81" s="13" t="s">
        <v>489</v>
      </c>
      <c r="C81" s="8" t="s">
        <v>490</v>
      </c>
      <c r="D81" s="8" t="s">
        <v>491</v>
      </c>
      <c r="E81" s="8" t="s">
        <v>29</v>
      </c>
      <c r="F81" s="8" t="s">
        <v>492</v>
      </c>
      <c r="G81" s="8" t="s">
        <v>221</v>
      </c>
      <c r="H81" s="8">
        <v>44743</v>
      </c>
      <c r="I81" s="8" t="s">
        <v>493</v>
      </c>
      <c r="J81" s="8" t="s">
        <v>494</v>
      </c>
      <c r="K81" s="8" t="s">
        <v>495</v>
      </c>
      <c r="L81" s="8" t="s">
        <v>17</v>
      </c>
      <c r="M81" s="8" t="s">
        <v>496</v>
      </c>
      <c r="N81" s="5"/>
      <c r="O81" s="5"/>
      <c r="P81" s="5"/>
      <c r="Q81" s="5"/>
      <c r="R81" s="5"/>
    </row>
    <row r="82" spans="1:18" ht="385.75">
      <c r="A82" s="7" t="s">
        <v>463</v>
      </c>
      <c r="B82" s="13" t="s">
        <v>497</v>
      </c>
      <c r="C82" s="8" t="s">
        <v>465</v>
      </c>
      <c r="D82" s="8" t="s">
        <v>466</v>
      </c>
      <c r="E82" s="8" t="s">
        <v>88</v>
      </c>
      <c r="F82" s="8" t="s">
        <v>498</v>
      </c>
      <c r="G82" s="8" t="s">
        <v>499</v>
      </c>
      <c r="H82" s="8" t="s">
        <v>426</v>
      </c>
      <c r="I82" s="8" t="s">
        <v>209</v>
      </c>
      <c r="J82" s="8" t="s">
        <v>500</v>
      </c>
      <c r="K82" s="8" t="s">
        <v>17</v>
      </c>
      <c r="L82" s="8" t="s">
        <v>501</v>
      </c>
      <c r="M82" s="8"/>
      <c r="N82" s="5"/>
      <c r="O82" s="5"/>
      <c r="P82" s="5"/>
      <c r="Q82" s="5"/>
      <c r="R82" s="5"/>
    </row>
    <row r="83" spans="1:18" ht="409.6">
      <c r="A83" s="7" t="s">
        <v>463</v>
      </c>
      <c r="B83" s="13" t="s">
        <v>502</v>
      </c>
      <c r="C83" s="8" t="s">
        <v>503</v>
      </c>
      <c r="D83" s="8" t="s">
        <v>60</v>
      </c>
      <c r="E83" s="8" t="s">
        <v>88</v>
      </c>
      <c r="F83" s="8" t="s">
        <v>504</v>
      </c>
      <c r="G83" s="8" t="s">
        <v>505</v>
      </c>
      <c r="H83" s="8" t="s">
        <v>506</v>
      </c>
      <c r="I83" s="8" t="s">
        <v>17</v>
      </c>
      <c r="J83" s="8" t="s">
        <v>507</v>
      </c>
      <c r="K83" s="8" t="s">
        <v>17</v>
      </c>
      <c r="L83" s="8" t="s">
        <v>17</v>
      </c>
      <c r="M83" s="8"/>
      <c r="N83" s="5"/>
      <c r="O83" s="5"/>
      <c r="P83" s="5"/>
      <c r="Q83" s="5"/>
      <c r="R83" s="5"/>
    </row>
    <row r="84" spans="1:18" ht="409.6">
      <c r="A84" s="7" t="s">
        <v>333</v>
      </c>
      <c r="B84" s="13" t="s">
        <v>191</v>
      </c>
      <c r="C84" s="8" t="s">
        <v>508</v>
      </c>
      <c r="D84" s="8" t="s">
        <v>509</v>
      </c>
      <c r="E84" s="8" t="s">
        <v>88</v>
      </c>
      <c r="F84" s="8" t="s">
        <v>17</v>
      </c>
      <c r="G84" s="8" t="s">
        <v>510</v>
      </c>
      <c r="H84" s="8" t="s">
        <v>511</v>
      </c>
      <c r="I84" s="8" t="s">
        <v>512</v>
      </c>
      <c r="J84" s="8" t="s">
        <v>513</v>
      </c>
      <c r="K84" s="8" t="s">
        <v>17</v>
      </c>
      <c r="L84" s="8" t="s">
        <v>514</v>
      </c>
      <c r="M84" s="8"/>
      <c r="N84" s="5"/>
      <c r="O84" s="5"/>
      <c r="P84" s="5"/>
      <c r="Q84" s="5"/>
      <c r="R84" s="5"/>
    </row>
    <row r="85" spans="1:18" ht="409.6">
      <c r="A85" s="7" t="s">
        <v>439</v>
      </c>
      <c r="B85" s="13" t="s">
        <v>515</v>
      </c>
      <c r="C85" s="8" t="s">
        <v>516</v>
      </c>
      <c r="D85" s="8" t="s">
        <v>517</v>
      </c>
      <c r="E85" s="8" t="s">
        <v>29</v>
      </c>
      <c r="F85" s="8" t="s">
        <v>518</v>
      </c>
      <c r="G85" s="8" t="s">
        <v>519</v>
      </c>
      <c r="H85" s="8" t="s">
        <v>520</v>
      </c>
      <c r="I85" s="8" t="s">
        <v>17</v>
      </c>
      <c r="J85" s="8" t="s">
        <v>17</v>
      </c>
      <c r="K85" s="8" t="s">
        <v>521</v>
      </c>
      <c r="L85" s="8" t="s">
        <v>522</v>
      </c>
      <c r="M85" s="8"/>
      <c r="N85" s="5"/>
      <c r="O85" s="5"/>
      <c r="P85" s="5"/>
      <c r="Q85" s="5"/>
      <c r="R85" s="5"/>
    </row>
    <row r="86" spans="1:18" ht="372.9">
      <c r="A86" s="7" t="s">
        <v>73</v>
      </c>
      <c r="B86" s="13" t="s">
        <v>35</v>
      </c>
      <c r="C86" s="8" t="s">
        <v>523</v>
      </c>
      <c r="D86" s="8" t="s">
        <v>524</v>
      </c>
      <c r="E86" s="8" t="s">
        <v>29</v>
      </c>
      <c r="F86" s="8" t="s">
        <v>525</v>
      </c>
      <c r="G86" s="8" t="s">
        <v>167</v>
      </c>
      <c r="H86" s="8" t="s">
        <v>526</v>
      </c>
      <c r="I86" s="8" t="s">
        <v>17</v>
      </c>
      <c r="J86" s="8" t="s">
        <v>527</v>
      </c>
      <c r="K86" s="8" t="s">
        <v>528</v>
      </c>
      <c r="L86" s="8" t="s">
        <v>17</v>
      </c>
      <c r="M86" s="8" t="s">
        <v>529</v>
      </c>
      <c r="N86" s="5"/>
      <c r="O86" s="5"/>
      <c r="P86" s="5"/>
      <c r="Q86" s="5"/>
      <c r="R86" s="5"/>
    </row>
    <row r="87" spans="1:18" ht="409.6">
      <c r="A87" s="7" t="s">
        <v>530</v>
      </c>
      <c r="B87" s="13" t="s">
        <v>35</v>
      </c>
      <c r="C87" s="8" t="s">
        <v>531</v>
      </c>
      <c r="D87" s="8" t="s">
        <v>60</v>
      </c>
      <c r="E87" s="8" t="s">
        <v>88</v>
      </c>
      <c r="F87" s="8" t="s">
        <v>17</v>
      </c>
      <c r="G87" s="8" t="s">
        <v>532</v>
      </c>
      <c r="H87" s="8" t="s">
        <v>533</v>
      </c>
      <c r="I87" s="8" t="s">
        <v>534</v>
      </c>
      <c r="J87" s="8" t="s">
        <v>535</v>
      </c>
      <c r="K87" s="8" t="s">
        <v>17</v>
      </c>
      <c r="L87" s="8" t="s">
        <v>536</v>
      </c>
      <c r="M87" s="8"/>
      <c r="N87" s="5"/>
      <c r="O87" s="5"/>
      <c r="P87" s="5"/>
      <c r="Q87" s="5"/>
      <c r="R87" s="5"/>
    </row>
    <row r="88" spans="1:18" ht="409.6">
      <c r="A88" s="7" t="s">
        <v>20</v>
      </c>
      <c r="B88" s="13" t="s">
        <v>537</v>
      </c>
      <c r="C88" s="8" t="s">
        <v>538</v>
      </c>
      <c r="D88" s="8" t="s">
        <v>17</v>
      </c>
      <c r="E88" s="8" t="s">
        <v>88</v>
      </c>
      <c r="F88" s="8" t="s">
        <v>17</v>
      </c>
      <c r="G88" s="8" t="s">
        <v>539</v>
      </c>
      <c r="H88" s="8" t="s">
        <v>540</v>
      </c>
      <c r="I88" s="8" t="s">
        <v>17</v>
      </c>
      <c r="J88" s="8" t="s">
        <v>541</v>
      </c>
      <c r="K88" s="8" t="s">
        <v>17</v>
      </c>
      <c r="L88" s="8" t="s">
        <v>17</v>
      </c>
      <c r="M88" s="8"/>
      <c r="N88" s="5"/>
      <c r="O88" s="5"/>
      <c r="P88" s="5"/>
      <c r="Q88" s="5"/>
      <c r="R88" s="5"/>
    </row>
    <row r="89" spans="1:18" ht="409.6">
      <c r="A89" s="7" t="s">
        <v>13</v>
      </c>
      <c r="B89" s="13" t="s">
        <v>116</v>
      </c>
      <c r="C89" s="8" t="s">
        <v>75</v>
      </c>
      <c r="D89" s="8" t="s">
        <v>542</v>
      </c>
      <c r="E89" s="8" t="s">
        <v>17</v>
      </c>
      <c r="F89" s="8" t="s">
        <v>17</v>
      </c>
      <c r="G89" s="8" t="s">
        <v>543</v>
      </c>
      <c r="H89" s="8" t="s">
        <v>544</v>
      </c>
      <c r="I89" s="8" t="s">
        <v>17</v>
      </c>
      <c r="J89" s="8" t="s">
        <v>545</v>
      </c>
      <c r="K89" s="8" t="s">
        <v>17</v>
      </c>
      <c r="L89" s="8" t="s">
        <v>17</v>
      </c>
      <c r="M89" s="8"/>
      <c r="N89" s="5"/>
      <c r="O89" s="5"/>
      <c r="P89" s="5"/>
      <c r="Q89" s="5"/>
      <c r="R89" s="5"/>
    </row>
    <row r="90" spans="1:18" ht="409.6">
      <c r="A90" s="7" t="s">
        <v>455</v>
      </c>
      <c r="B90" s="13" t="s">
        <v>546</v>
      </c>
      <c r="C90" s="8" t="s">
        <v>547</v>
      </c>
      <c r="D90" s="8" t="s">
        <v>548</v>
      </c>
      <c r="E90" s="8" t="s">
        <v>88</v>
      </c>
      <c r="F90" s="8" t="s">
        <v>549</v>
      </c>
      <c r="G90" s="8" t="s">
        <v>550</v>
      </c>
      <c r="H90" s="8" t="s">
        <v>551</v>
      </c>
      <c r="I90" s="8" t="s">
        <v>552</v>
      </c>
      <c r="J90" s="8" t="s">
        <v>553</v>
      </c>
      <c r="K90" s="8" t="s">
        <v>17</v>
      </c>
      <c r="L90" s="8" t="s">
        <v>17</v>
      </c>
      <c r="M90" s="8"/>
      <c r="N90" s="5"/>
      <c r="O90" s="5"/>
      <c r="P90" s="5"/>
      <c r="Q90" s="5"/>
      <c r="R90" s="5"/>
    </row>
    <row r="91" spans="1:18" ht="372.9">
      <c r="A91" s="7" t="s">
        <v>455</v>
      </c>
      <c r="B91" s="13" t="s">
        <v>554</v>
      </c>
      <c r="C91" s="8" t="s">
        <v>555</v>
      </c>
      <c r="D91" s="8" t="s">
        <v>556</v>
      </c>
      <c r="E91" s="8" t="s">
        <v>88</v>
      </c>
      <c r="F91" s="8" t="s">
        <v>557</v>
      </c>
      <c r="G91" s="8" t="s">
        <v>558</v>
      </c>
      <c r="H91" s="8" t="s">
        <v>559</v>
      </c>
      <c r="I91" s="8" t="s">
        <v>560</v>
      </c>
      <c r="J91" s="8" t="s">
        <v>561</v>
      </c>
      <c r="K91" s="8" t="s">
        <v>17</v>
      </c>
      <c r="L91" s="8" t="s">
        <v>562</v>
      </c>
      <c r="M91" s="8"/>
      <c r="N91" s="5"/>
      <c r="O91" s="5"/>
      <c r="P91" s="5"/>
      <c r="Q91" s="5"/>
      <c r="R91" s="5"/>
    </row>
    <row r="92" spans="1:18" ht="409.6">
      <c r="A92" s="7" t="s">
        <v>435</v>
      </c>
      <c r="B92" s="13" t="s">
        <v>563</v>
      </c>
      <c r="C92" s="8" t="s">
        <v>564</v>
      </c>
      <c r="D92" s="8" t="s">
        <v>565</v>
      </c>
      <c r="E92" s="8" t="s">
        <v>88</v>
      </c>
      <c r="F92" s="8" t="s">
        <v>17</v>
      </c>
      <c r="G92" s="8" t="s">
        <v>566</v>
      </c>
      <c r="H92" s="8" t="s">
        <v>567</v>
      </c>
      <c r="I92" s="8" t="s">
        <v>17</v>
      </c>
      <c r="J92" s="8" t="s">
        <v>568</v>
      </c>
      <c r="K92" s="8" t="s">
        <v>17</v>
      </c>
      <c r="L92" s="8" t="s">
        <v>17</v>
      </c>
      <c r="M92" s="8"/>
      <c r="N92" s="5"/>
      <c r="O92" s="5"/>
      <c r="P92" s="5"/>
      <c r="Q92" s="5"/>
      <c r="R92" s="5"/>
    </row>
    <row r="93" spans="1:18" ht="409.6">
      <c r="A93" s="7" t="s">
        <v>435</v>
      </c>
      <c r="B93" s="13" t="s">
        <v>569</v>
      </c>
      <c r="C93" s="8" t="s">
        <v>52</v>
      </c>
      <c r="D93" s="8" t="s">
        <v>17</v>
      </c>
      <c r="E93" s="8" t="s">
        <v>88</v>
      </c>
      <c r="F93" s="8" t="s">
        <v>570</v>
      </c>
      <c r="G93" s="8" t="s">
        <v>436</v>
      </c>
      <c r="H93" s="8" t="s">
        <v>257</v>
      </c>
      <c r="I93" s="8" t="s">
        <v>17</v>
      </c>
      <c r="J93" s="8" t="s">
        <v>571</v>
      </c>
      <c r="K93" s="8" t="s">
        <v>17</v>
      </c>
      <c r="L93" s="8" t="s">
        <v>17</v>
      </c>
      <c r="M93" s="8"/>
      <c r="N93" s="5"/>
      <c r="O93" s="5"/>
      <c r="P93" s="5"/>
      <c r="Q93" s="5"/>
      <c r="R93" s="5"/>
    </row>
    <row r="94" spans="1:18" ht="335.6">
      <c r="A94" s="7" t="s">
        <v>439</v>
      </c>
      <c r="B94" s="13" t="s">
        <v>74</v>
      </c>
      <c r="C94" s="8" t="s">
        <v>572</v>
      </c>
      <c r="D94" s="8" t="s">
        <v>573</v>
      </c>
      <c r="E94" s="8" t="s">
        <v>88</v>
      </c>
      <c r="F94" s="8" t="s">
        <v>574</v>
      </c>
      <c r="G94" s="8" t="s">
        <v>575</v>
      </c>
      <c r="H94" s="8" t="s">
        <v>576</v>
      </c>
      <c r="I94" s="8" t="s">
        <v>17</v>
      </c>
      <c r="J94" s="8" t="s">
        <v>577</v>
      </c>
      <c r="K94" s="8" t="s">
        <v>17</v>
      </c>
      <c r="L94" s="8" t="s">
        <v>578</v>
      </c>
      <c r="M94" s="8"/>
      <c r="N94" s="5"/>
      <c r="O94" s="5"/>
      <c r="P94" s="5"/>
      <c r="Q94" s="5"/>
      <c r="R94" s="5"/>
    </row>
    <row r="95" spans="1:18" ht="409.6">
      <c r="A95" s="7" t="s">
        <v>435</v>
      </c>
      <c r="B95" s="13" t="s">
        <v>59</v>
      </c>
      <c r="C95" s="8" t="s">
        <v>52</v>
      </c>
      <c r="D95" s="8" t="s">
        <v>17</v>
      </c>
      <c r="E95" s="8" t="s">
        <v>88</v>
      </c>
      <c r="F95" s="8" t="s">
        <v>579</v>
      </c>
      <c r="G95" s="8" t="s">
        <v>436</v>
      </c>
      <c r="H95" s="8" t="s">
        <v>580</v>
      </c>
      <c r="I95" s="8" t="s">
        <v>17</v>
      </c>
      <c r="J95" s="8" t="s">
        <v>581</v>
      </c>
      <c r="K95" s="8" t="s">
        <v>17</v>
      </c>
      <c r="L95" s="8" t="s">
        <v>17</v>
      </c>
      <c r="M95" s="8"/>
      <c r="N95" s="5"/>
      <c r="O95" s="5"/>
      <c r="P95" s="5"/>
      <c r="Q95" s="5"/>
      <c r="R95" s="5"/>
    </row>
    <row r="96" spans="1:18" ht="186.45">
      <c r="A96" s="7" t="s">
        <v>435</v>
      </c>
      <c r="B96" s="13" t="s">
        <v>582</v>
      </c>
      <c r="C96" s="8" t="s">
        <v>17</v>
      </c>
      <c r="D96" s="8" t="s">
        <v>17</v>
      </c>
      <c r="E96" s="8" t="s">
        <v>88</v>
      </c>
      <c r="F96" s="8" t="s">
        <v>583</v>
      </c>
      <c r="G96" s="8" t="s">
        <v>17</v>
      </c>
      <c r="H96" s="8" t="s">
        <v>307</v>
      </c>
      <c r="I96" s="8" t="s">
        <v>17</v>
      </c>
      <c r="J96" s="8" t="s">
        <v>17</v>
      </c>
      <c r="K96" s="8" t="s">
        <v>17</v>
      </c>
      <c r="L96" s="8" t="s">
        <v>17</v>
      </c>
      <c r="M96" s="8"/>
      <c r="N96" s="5"/>
      <c r="O96" s="5"/>
      <c r="P96" s="5"/>
      <c r="Q96" s="5"/>
      <c r="R96" s="5"/>
    </row>
    <row r="97" spans="1:18" ht="409.6">
      <c r="A97" s="7" t="s">
        <v>435</v>
      </c>
      <c r="B97" s="13" t="s">
        <v>584</v>
      </c>
      <c r="C97" s="8" t="s">
        <v>564</v>
      </c>
      <c r="D97" s="8" t="s">
        <v>585</v>
      </c>
      <c r="E97" s="8" t="s">
        <v>88</v>
      </c>
      <c r="F97" s="8" t="s">
        <v>17</v>
      </c>
      <c r="G97" s="8" t="s">
        <v>586</v>
      </c>
      <c r="H97" s="8" t="s">
        <v>587</v>
      </c>
      <c r="I97" s="8" t="s">
        <v>17</v>
      </c>
      <c r="J97" s="8" t="s">
        <v>588</v>
      </c>
      <c r="K97" s="8" t="s">
        <v>17</v>
      </c>
      <c r="L97" s="8" t="s">
        <v>17</v>
      </c>
      <c r="M97" s="8"/>
      <c r="N97" s="5"/>
      <c r="O97" s="5"/>
      <c r="P97" s="5"/>
      <c r="Q97" s="5"/>
      <c r="R97" s="5"/>
    </row>
    <row r="98" spans="1:18" ht="409.6">
      <c r="A98" s="7" t="s">
        <v>589</v>
      </c>
      <c r="B98" s="13" t="s">
        <v>59</v>
      </c>
      <c r="C98" s="8" t="s">
        <v>36</v>
      </c>
      <c r="D98" s="8" t="s">
        <v>590</v>
      </c>
      <c r="E98" s="8" t="s">
        <v>88</v>
      </c>
      <c r="F98" s="8" t="s">
        <v>591</v>
      </c>
      <c r="G98" s="8" t="s">
        <v>592</v>
      </c>
      <c r="H98" s="8" t="s">
        <v>593</v>
      </c>
      <c r="I98" s="8" t="s">
        <v>329</v>
      </c>
      <c r="J98" s="8" t="s">
        <v>594</v>
      </c>
      <c r="K98" s="8" t="s">
        <v>17</v>
      </c>
      <c r="L98" s="8" t="s">
        <v>17</v>
      </c>
      <c r="M98" s="8"/>
      <c r="N98" s="5"/>
      <c r="O98" s="5"/>
      <c r="P98" s="5"/>
      <c r="Q98" s="5"/>
      <c r="R98" s="5"/>
    </row>
    <row r="99" spans="1:18" ht="409.6">
      <c r="A99" s="7" t="s">
        <v>589</v>
      </c>
      <c r="B99" s="13" t="s">
        <v>116</v>
      </c>
      <c r="C99" s="8" t="s">
        <v>595</v>
      </c>
      <c r="D99" s="8" t="s">
        <v>596</v>
      </c>
      <c r="E99" s="8" t="s">
        <v>17</v>
      </c>
      <c r="F99" s="8" t="s">
        <v>597</v>
      </c>
      <c r="G99" s="8" t="s">
        <v>598</v>
      </c>
      <c r="H99" s="8" t="s">
        <v>599</v>
      </c>
      <c r="I99" s="8" t="s">
        <v>329</v>
      </c>
      <c r="J99" s="8" t="s">
        <v>600</v>
      </c>
      <c r="K99" s="8" t="s">
        <v>17</v>
      </c>
      <c r="L99" s="8" t="s">
        <v>601</v>
      </c>
      <c r="M99" s="8"/>
      <c r="N99" s="5"/>
      <c r="O99" s="5"/>
      <c r="P99" s="5"/>
      <c r="Q99" s="5"/>
      <c r="R99" s="5"/>
    </row>
    <row r="100" spans="1:18" ht="409.6">
      <c r="A100" s="7" t="s">
        <v>333</v>
      </c>
      <c r="B100" s="13" t="s">
        <v>295</v>
      </c>
      <c r="C100" s="8" t="s">
        <v>602</v>
      </c>
      <c r="D100" s="8" t="s">
        <v>603</v>
      </c>
      <c r="E100" s="8" t="s">
        <v>604</v>
      </c>
      <c r="F100" s="8" t="s">
        <v>605</v>
      </c>
      <c r="G100" s="8" t="s">
        <v>17</v>
      </c>
      <c r="H100" s="8" t="s">
        <v>606</v>
      </c>
      <c r="I100" s="8" t="s">
        <v>607</v>
      </c>
      <c r="J100" s="8" t="s">
        <v>608</v>
      </c>
      <c r="K100" s="8" t="s">
        <v>17</v>
      </c>
      <c r="L100" s="8" t="s">
        <v>17</v>
      </c>
      <c r="M100" s="8"/>
      <c r="N100" s="5"/>
      <c r="O100" s="5"/>
      <c r="P100" s="5"/>
      <c r="Q100" s="5"/>
      <c r="R100" s="5"/>
    </row>
    <row r="101" spans="1:18" ht="409.6">
      <c r="A101" s="7" t="s">
        <v>435</v>
      </c>
      <c r="B101" s="13" t="s">
        <v>609</v>
      </c>
      <c r="C101" s="8" t="s">
        <v>52</v>
      </c>
      <c r="D101" s="8" t="s">
        <v>17</v>
      </c>
      <c r="E101" s="8" t="s">
        <v>88</v>
      </c>
      <c r="F101" s="8" t="s">
        <v>610</v>
      </c>
      <c r="G101" s="8" t="s">
        <v>436</v>
      </c>
      <c r="H101" s="8" t="s">
        <v>611</v>
      </c>
      <c r="I101" s="8" t="s">
        <v>17</v>
      </c>
      <c r="J101" s="8" t="s">
        <v>17</v>
      </c>
      <c r="K101" s="8" t="s">
        <v>17</v>
      </c>
      <c r="L101" s="8" t="s">
        <v>17</v>
      </c>
      <c r="M101" s="8"/>
      <c r="N101" s="5"/>
      <c r="O101" s="5"/>
      <c r="P101" s="5"/>
      <c r="Q101" s="5"/>
      <c r="R101" s="5"/>
    </row>
    <row r="102" spans="1:18" ht="409.6">
      <c r="A102" s="7" t="s">
        <v>612</v>
      </c>
      <c r="B102" s="13" t="s">
        <v>43</v>
      </c>
      <c r="C102" s="8" t="s">
        <v>613</v>
      </c>
      <c r="D102" s="8" t="s">
        <v>614</v>
      </c>
      <c r="E102" s="8" t="s">
        <v>17</v>
      </c>
      <c r="F102" s="8" t="s">
        <v>17</v>
      </c>
      <c r="G102" s="8" t="s">
        <v>615</v>
      </c>
      <c r="H102" s="8" t="s">
        <v>616</v>
      </c>
      <c r="I102" s="8" t="s">
        <v>17</v>
      </c>
      <c r="J102" s="8" t="s">
        <v>617</v>
      </c>
      <c r="K102" s="8" t="s">
        <v>17</v>
      </c>
      <c r="L102" s="8" t="s">
        <v>618</v>
      </c>
      <c r="M102" s="8"/>
      <c r="N102" s="5"/>
      <c r="O102" s="5"/>
      <c r="P102" s="5"/>
      <c r="Q102" s="5"/>
      <c r="R102" s="5"/>
    </row>
    <row r="103" spans="1:18" ht="409.6">
      <c r="A103" s="7" t="s">
        <v>619</v>
      </c>
      <c r="B103" s="13" t="s">
        <v>43</v>
      </c>
      <c r="C103" s="8" t="s">
        <v>620</v>
      </c>
      <c r="D103" s="8" t="s">
        <v>621</v>
      </c>
      <c r="E103" s="8" t="s">
        <v>88</v>
      </c>
      <c r="F103" s="8" t="s">
        <v>622</v>
      </c>
      <c r="G103" s="8" t="s">
        <v>623</v>
      </c>
      <c r="H103" s="8" t="s">
        <v>624</v>
      </c>
      <c r="I103" s="8" t="s">
        <v>625</v>
      </c>
      <c r="J103" s="8" t="s">
        <v>626</v>
      </c>
      <c r="K103" s="8" t="s">
        <v>17</v>
      </c>
      <c r="L103" s="8" t="s">
        <v>627</v>
      </c>
      <c r="M103" s="8"/>
      <c r="N103" s="5"/>
      <c r="O103" s="5"/>
      <c r="P103" s="5"/>
      <c r="Q103" s="5"/>
      <c r="R103" s="5"/>
    </row>
    <row r="104" spans="1:18" ht="409.6">
      <c r="A104" s="7" t="s">
        <v>20</v>
      </c>
      <c r="B104" s="13" t="s">
        <v>628</v>
      </c>
      <c r="C104" s="8" t="s">
        <v>629</v>
      </c>
      <c r="D104" s="8" t="s">
        <v>17</v>
      </c>
      <c r="E104" s="8" t="s">
        <v>17</v>
      </c>
      <c r="F104" s="8" t="s">
        <v>17</v>
      </c>
      <c r="G104" s="8" t="s">
        <v>360</v>
      </c>
      <c r="H104" s="8">
        <v>44750</v>
      </c>
      <c r="I104" s="8" t="s">
        <v>17</v>
      </c>
      <c r="J104" s="8" t="s">
        <v>630</v>
      </c>
      <c r="K104" s="8" t="s">
        <v>17</v>
      </c>
      <c r="L104" s="8" t="s">
        <v>17</v>
      </c>
      <c r="M104" s="8"/>
      <c r="N104" s="5"/>
      <c r="O104" s="5"/>
      <c r="P104" s="5"/>
      <c r="Q104" s="5"/>
      <c r="R104" s="5"/>
    </row>
    <row r="105" spans="1:18" ht="409.6">
      <c r="A105" s="7" t="s">
        <v>530</v>
      </c>
      <c r="B105" s="13" t="s">
        <v>631</v>
      </c>
      <c r="C105" s="8" t="s">
        <v>632</v>
      </c>
      <c r="D105" s="8" t="s">
        <v>633</v>
      </c>
      <c r="E105" s="8" t="s">
        <v>88</v>
      </c>
      <c r="F105" s="8" t="s">
        <v>17</v>
      </c>
      <c r="G105" s="8" t="s">
        <v>634</v>
      </c>
      <c r="H105" s="8" t="s">
        <v>533</v>
      </c>
      <c r="I105" s="8" t="s">
        <v>17</v>
      </c>
      <c r="J105" s="8" t="s">
        <v>635</v>
      </c>
      <c r="K105" s="8" t="s">
        <v>17</v>
      </c>
      <c r="L105" s="8" t="s">
        <v>636</v>
      </c>
      <c r="M105" s="8"/>
      <c r="N105" s="5"/>
      <c r="O105" s="5"/>
      <c r="P105" s="5"/>
      <c r="Q105" s="5"/>
      <c r="R105" s="5"/>
    </row>
    <row r="106" spans="1:18" ht="186.45">
      <c r="A106" s="7" t="s">
        <v>435</v>
      </c>
      <c r="B106" s="13" t="s">
        <v>637</v>
      </c>
      <c r="C106" s="8" t="s">
        <v>52</v>
      </c>
      <c r="D106" s="8" t="s">
        <v>17</v>
      </c>
      <c r="E106" s="8" t="s">
        <v>88</v>
      </c>
      <c r="F106" s="8" t="s">
        <v>638</v>
      </c>
      <c r="G106" s="8" t="s">
        <v>436</v>
      </c>
      <c r="H106" s="8" t="s">
        <v>55</v>
      </c>
      <c r="I106" s="8" t="s">
        <v>17</v>
      </c>
      <c r="J106" s="8" t="s">
        <v>639</v>
      </c>
      <c r="K106" s="8" t="s">
        <v>17</v>
      </c>
      <c r="L106" s="8" t="s">
        <v>17</v>
      </c>
      <c r="M106" s="8"/>
      <c r="N106" s="5"/>
      <c r="O106" s="5"/>
      <c r="P106" s="5"/>
      <c r="Q106" s="5"/>
      <c r="R106" s="5"/>
    </row>
    <row r="107" spans="1:18" ht="409.6">
      <c r="A107" s="7" t="s">
        <v>589</v>
      </c>
      <c r="B107" s="13" t="s">
        <v>640</v>
      </c>
      <c r="C107" s="8" t="s">
        <v>641</v>
      </c>
      <c r="D107" s="8" t="s">
        <v>642</v>
      </c>
      <c r="E107" s="8" t="s">
        <v>88</v>
      </c>
      <c r="F107" s="8" t="s">
        <v>643</v>
      </c>
      <c r="G107" s="8" t="s">
        <v>644</v>
      </c>
      <c r="H107" s="8" t="s">
        <v>645</v>
      </c>
      <c r="I107" s="8" t="s">
        <v>323</v>
      </c>
      <c r="J107" s="8" t="s">
        <v>646</v>
      </c>
      <c r="K107" s="8" t="s">
        <v>17</v>
      </c>
      <c r="L107" s="8" t="s">
        <v>17</v>
      </c>
      <c r="M107" s="8"/>
      <c r="N107" s="5"/>
      <c r="O107" s="5"/>
      <c r="P107" s="5"/>
      <c r="Q107" s="5"/>
      <c r="R107" s="5"/>
    </row>
    <row r="108" spans="1:18" ht="409.6">
      <c r="A108" s="7" t="s">
        <v>333</v>
      </c>
      <c r="B108" s="13" t="s">
        <v>647</v>
      </c>
      <c r="C108" s="8" t="s">
        <v>648</v>
      </c>
      <c r="D108" s="8" t="s">
        <v>17</v>
      </c>
      <c r="E108" s="8" t="s">
        <v>88</v>
      </c>
      <c r="F108" s="8" t="s">
        <v>649</v>
      </c>
      <c r="G108" s="8" t="s">
        <v>650</v>
      </c>
      <c r="H108" s="8" t="s">
        <v>651</v>
      </c>
      <c r="I108" s="8" t="s">
        <v>189</v>
      </c>
      <c r="J108" s="8" t="s">
        <v>652</v>
      </c>
      <c r="K108" s="8" t="s">
        <v>17</v>
      </c>
      <c r="L108" s="8" t="s">
        <v>17</v>
      </c>
      <c r="M108" s="8"/>
      <c r="N108" s="5"/>
      <c r="O108" s="5"/>
      <c r="P108" s="5"/>
      <c r="Q108" s="5"/>
      <c r="R108" s="5"/>
    </row>
    <row r="109" spans="1:18" ht="409.6">
      <c r="A109" s="7" t="s">
        <v>653</v>
      </c>
      <c r="B109" s="13" t="s">
        <v>654</v>
      </c>
      <c r="C109" s="8" t="s">
        <v>655</v>
      </c>
      <c r="D109" s="8" t="s">
        <v>656</v>
      </c>
      <c r="E109" s="8" t="s">
        <v>657</v>
      </c>
      <c r="F109" s="8" t="s">
        <v>658</v>
      </c>
      <c r="G109" s="8" t="s">
        <v>659</v>
      </c>
      <c r="H109" s="8" t="s">
        <v>660</v>
      </c>
      <c r="I109" s="8" t="s">
        <v>17</v>
      </c>
      <c r="J109" s="8" t="s">
        <v>661</v>
      </c>
      <c r="K109" s="8" t="s">
        <v>17</v>
      </c>
      <c r="L109" s="8" t="s">
        <v>662</v>
      </c>
      <c r="M109" s="8"/>
      <c r="N109" s="5"/>
      <c r="O109" s="5"/>
      <c r="P109" s="5"/>
      <c r="Q109" s="5"/>
      <c r="R109" s="5"/>
    </row>
    <row r="110" spans="1:18" ht="409.6">
      <c r="A110" s="7" t="s">
        <v>50</v>
      </c>
      <c r="B110" s="13" t="s">
        <v>663</v>
      </c>
      <c r="C110" s="8" t="s">
        <v>664</v>
      </c>
      <c r="D110" s="8" t="s">
        <v>665</v>
      </c>
      <c r="E110" s="8" t="s">
        <v>17</v>
      </c>
      <c r="F110" s="8" t="s">
        <v>17</v>
      </c>
      <c r="G110" s="8" t="s">
        <v>386</v>
      </c>
      <c r="H110" s="8" t="s">
        <v>666</v>
      </c>
      <c r="I110" s="8" t="s">
        <v>17</v>
      </c>
      <c r="J110" s="8" t="s">
        <v>667</v>
      </c>
      <c r="K110" s="8" t="s">
        <v>17</v>
      </c>
      <c r="L110" s="8" t="s">
        <v>17</v>
      </c>
      <c r="M110" s="8"/>
      <c r="N110" s="5"/>
      <c r="O110" s="5"/>
      <c r="P110" s="5"/>
      <c r="Q110" s="5"/>
      <c r="R110" s="5"/>
    </row>
    <row r="111" spans="1:18" ht="409.6">
      <c r="A111" s="7" t="s">
        <v>50</v>
      </c>
      <c r="B111" s="13" t="s">
        <v>101</v>
      </c>
      <c r="C111" s="8" t="s">
        <v>36</v>
      </c>
      <c r="D111" s="8" t="s">
        <v>60</v>
      </c>
      <c r="E111" s="8" t="s">
        <v>88</v>
      </c>
      <c r="F111" s="8" t="s">
        <v>668</v>
      </c>
      <c r="G111" s="8" t="s">
        <v>669</v>
      </c>
      <c r="H111" s="8" t="s">
        <v>426</v>
      </c>
      <c r="I111" s="8" t="s">
        <v>17</v>
      </c>
      <c r="J111" s="8" t="s">
        <v>670</v>
      </c>
      <c r="K111" s="8" t="s">
        <v>17</v>
      </c>
      <c r="L111" s="8" t="s">
        <v>17</v>
      </c>
      <c r="M111" s="8"/>
      <c r="N111" s="5"/>
      <c r="O111" s="5"/>
      <c r="P111" s="5"/>
      <c r="Q111" s="5"/>
      <c r="R111" s="5"/>
    </row>
    <row r="112" spans="1:18" ht="409.6">
      <c r="A112" s="7" t="s">
        <v>13</v>
      </c>
      <c r="B112" s="13" t="s">
        <v>191</v>
      </c>
      <c r="C112" s="8" t="s">
        <v>671</v>
      </c>
      <c r="D112" s="8" t="s">
        <v>672</v>
      </c>
      <c r="E112" s="8" t="s">
        <v>88</v>
      </c>
      <c r="F112" s="8" t="s">
        <v>17</v>
      </c>
      <c r="G112" s="8" t="s">
        <v>673</v>
      </c>
      <c r="H112" s="8" t="s">
        <v>674</v>
      </c>
      <c r="I112" s="8" t="s">
        <v>675</v>
      </c>
      <c r="J112" s="8" t="s">
        <v>676</v>
      </c>
      <c r="K112" s="8" t="s">
        <v>17</v>
      </c>
      <c r="L112" s="8" t="s">
        <v>17</v>
      </c>
      <c r="M112" s="8"/>
      <c r="N112" s="5"/>
      <c r="O112" s="5"/>
      <c r="P112" s="5"/>
      <c r="Q112" s="5"/>
      <c r="R112" s="5"/>
    </row>
    <row r="113" spans="1:18" ht="409.6">
      <c r="A113" s="7" t="s">
        <v>677</v>
      </c>
      <c r="B113" s="13" t="s">
        <v>678</v>
      </c>
      <c r="C113" s="8" t="s">
        <v>679</v>
      </c>
      <c r="D113" s="8" t="s">
        <v>680</v>
      </c>
      <c r="E113" s="8" t="s">
        <v>88</v>
      </c>
      <c r="F113" s="8" t="s">
        <v>17</v>
      </c>
      <c r="G113" s="8" t="s">
        <v>681</v>
      </c>
      <c r="H113" s="8" t="s">
        <v>682</v>
      </c>
      <c r="I113" s="8" t="s">
        <v>683</v>
      </c>
      <c r="J113" s="8" t="s">
        <v>684</v>
      </c>
      <c r="K113" s="8" t="s">
        <v>17</v>
      </c>
      <c r="L113" s="8" t="s">
        <v>685</v>
      </c>
      <c r="M113" s="8"/>
      <c r="N113" s="5"/>
      <c r="O113" s="5"/>
      <c r="P113" s="5"/>
      <c r="Q113" s="5"/>
      <c r="R113" s="5"/>
    </row>
    <row r="114" spans="1:18" ht="409.6">
      <c r="A114" s="7" t="s">
        <v>455</v>
      </c>
      <c r="B114" s="13" t="s">
        <v>686</v>
      </c>
      <c r="C114" s="8" t="s">
        <v>687</v>
      </c>
      <c r="D114" s="8" t="s">
        <v>688</v>
      </c>
      <c r="E114" s="8" t="s">
        <v>88</v>
      </c>
      <c r="F114" s="8" t="s">
        <v>689</v>
      </c>
      <c r="G114" s="8" t="s">
        <v>623</v>
      </c>
      <c r="H114" s="8" t="s">
        <v>690</v>
      </c>
      <c r="I114" s="8" t="s">
        <v>56</v>
      </c>
      <c r="J114" s="8" t="s">
        <v>691</v>
      </c>
      <c r="K114" s="8" t="s">
        <v>17</v>
      </c>
      <c r="L114" s="8" t="s">
        <v>692</v>
      </c>
      <c r="M114" s="8"/>
      <c r="N114" s="5"/>
      <c r="O114" s="5"/>
      <c r="P114" s="5"/>
      <c r="Q114" s="5"/>
      <c r="R114" s="5"/>
    </row>
    <row r="115" spans="1:18" ht="409.6">
      <c r="A115" s="7" t="s">
        <v>435</v>
      </c>
      <c r="B115" s="13" t="s">
        <v>693</v>
      </c>
      <c r="C115" s="8" t="s">
        <v>52</v>
      </c>
      <c r="D115" s="8" t="s">
        <v>17</v>
      </c>
      <c r="E115" s="8" t="s">
        <v>88</v>
      </c>
      <c r="F115" s="8" t="s">
        <v>694</v>
      </c>
      <c r="G115" s="8" t="s">
        <v>436</v>
      </c>
      <c r="H115" s="8" t="s">
        <v>695</v>
      </c>
      <c r="I115" s="8" t="s">
        <v>17</v>
      </c>
      <c r="J115" s="8" t="s">
        <v>696</v>
      </c>
      <c r="K115" s="8" t="s">
        <v>17</v>
      </c>
      <c r="L115" s="8" t="s">
        <v>17</v>
      </c>
      <c r="M115" s="8"/>
      <c r="N115" s="5"/>
      <c r="O115" s="5"/>
      <c r="P115" s="5"/>
      <c r="Q115" s="5"/>
      <c r="R115" s="5"/>
    </row>
    <row r="116" spans="1:18" ht="409.6">
      <c r="A116" s="7" t="s">
        <v>589</v>
      </c>
      <c r="B116" s="13" t="s">
        <v>390</v>
      </c>
      <c r="C116" s="8" t="s">
        <v>697</v>
      </c>
      <c r="D116" s="8" t="s">
        <v>60</v>
      </c>
      <c r="E116" s="8" t="s">
        <v>17</v>
      </c>
      <c r="F116" s="8" t="s">
        <v>591</v>
      </c>
      <c r="G116" s="8" t="s">
        <v>698</v>
      </c>
      <c r="H116" s="8" t="s">
        <v>593</v>
      </c>
      <c r="I116" s="8" t="s">
        <v>323</v>
      </c>
      <c r="J116" s="8" t="s">
        <v>699</v>
      </c>
      <c r="K116" s="8" t="s">
        <v>17</v>
      </c>
      <c r="L116" s="8" t="s">
        <v>700</v>
      </c>
      <c r="M116" s="8"/>
      <c r="N116" s="5"/>
      <c r="O116" s="5"/>
      <c r="P116" s="5"/>
      <c r="Q116" s="5"/>
      <c r="R116" s="5"/>
    </row>
    <row r="117" spans="1:18" ht="409.6">
      <c r="A117" s="7" t="s">
        <v>589</v>
      </c>
      <c r="B117" s="13" t="s">
        <v>191</v>
      </c>
      <c r="C117" s="8" t="s">
        <v>701</v>
      </c>
      <c r="D117" s="8" t="s">
        <v>702</v>
      </c>
      <c r="E117" s="8" t="s">
        <v>88</v>
      </c>
      <c r="F117" s="8" t="s">
        <v>17</v>
      </c>
      <c r="G117" s="8" t="s">
        <v>703</v>
      </c>
      <c r="H117" s="8" t="s">
        <v>704</v>
      </c>
      <c r="I117" s="8" t="s">
        <v>17</v>
      </c>
      <c r="J117" s="8" t="s">
        <v>705</v>
      </c>
      <c r="K117" s="8" t="s">
        <v>17</v>
      </c>
      <c r="L117" s="8" t="s">
        <v>706</v>
      </c>
      <c r="M117" s="8" t="s">
        <v>707</v>
      </c>
      <c r="N117" s="5"/>
      <c r="O117" s="5"/>
      <c r="P117" s="5"/>
      <c r="Q117" s="5"/>
      <c r="R117" s="5"/>
    </row>
    <row r="118" spans="1:18" ht="261">
      <c r="A118" s="7" t="s">
        <v>371</v>
      </c>
      <c r="B118" s="13" t="s">
        <v>191</v>
      </c>
      <c r="C118" s="8" t="s">
        <v>17</v>
      </c>
      <c r="D118" s="8" t="s">
        <v>708</v>
      </c>
      <c r="E118" s="8" t="s">
        <v>88</v>
      </c>
      <c r="F118" s="8" t="s">
        <v>709</v>
      </c>
      <c r="G118" s="8" t="s">
        <v>710</v>
      </c>
      <c r="H118" s="8" t="s">
        <v>711</v>
      </c>
      <c r="I118" s="8" t="s">
        <v>17</v>
      </c>
      <c r="J118" s="8" t="s">
        <v>712</v>
      </c>
      <c r="K118" s="8" t="s">
        <v>17</v>
      </c>
      <c r="L118" s="8" t="s">
        <v>713</v>
      </c>
      <c r="M118" s="8"/>
      <c r="N118" s="5"/>
      <c r="O118" s="5"/>
      <c r="P118" s="5"/>
      <c r="Q118" s="5"/>
      <c r="R118" s="5"/>
    </row>
    <row r="119" spans="1:18" ht="409.6">
      <c r="A119" s="7" t="s">
        <v>109</v>
      </c>
      <c r="B119" s="13" t="s">
        <v>110</v>
      </c>
      <c r="C119" s="8" t="s">
        <v>714</v>
      </c>
      <c r="D119" s="8" t="s">
        <v>715</v>
      </c>
      <c r="E119" s="8" t="s">
        <v>17</v>
      </c>
      <c r="F119" s="8" t="s">
        <v>17</v>
      </c>
      <c r="G119" s="8" t="s">
        <v>716</v>
      </c>
      <c r="H119" s="8" t="s">
        <v>368</v>
      </c>
      <c r="I119" s="8" t="s">
        <v>17</v>
      </c>
      <c r="J119" s="8" t="s">
        <v>717</v>
      </c>
      <c r="K119" s="8" t="s">
        <v>17</v>
      </c>
      <c r="L119" s="8" t="s">
        <v>17</v>
      </c>
      <c r="M119" s="8"/>
      <c r="N119" s="5"/>
      <c r="O119" s="5"/>
      <c r="P119" s="5"/>
      <c r="Q119" s="5"/>
      <c r="R119" s="5"/>
    </row>
    <row r="120" spans="1:18" ht="409.6">
      <c r="A120" s="7" t="s">
        <v>589</v>
      </c>
      <c r="B120" s="13" t="s">
        <v>718</v>
      </c>
      <c r="C120" s="8" t="s">
        <v>701</v>
      </c>
      <c r="D120" s="8" t="s">
        <v>719</v>
      </c>
      <c r="E120" s="8" t="s">
        <v>720</v>
      </c>
      <c r="F120" s="8" t="s">
        <v>721</v>
      </c>
      <c r="G120" s="8" t="s">
        <v>722</v>
      </c>
      <c r="H120" s="8" t="s">
        <v>723</v>
      </c>
      <c r="I120" s="8" t="s">
        <v>724</v>
      </c>
      <c r="J120" s="8" t="s">
        <v>725</v>
      </c>
      <c r="K120" s="8" t="s">
        <v>17</v>
      </c>
      <c r="L120" s="8" t="s">
        <v>726</v>
      </c>
      <c r="M120" s="8"/>
      <c r="N120" s="5"/>
      <c r="O120" s="5"/>
      <c r="P120" s="5"/>
      <c r="Q120" s="5"/>
      <c r="R120" s="5"/>
    </row>
    <row r="121" spans="1:18" ht="372.9">
      <c r="A121" s="7" t="s">
        <v>455</v>
      </c>
      <c r="B121" s="13" t="s">
        <v>727</v>
      </c>
      <c r="C121" s="8" t="s">
        <v>728</v>
      </c>
      <c r="D121" s="8" t="s">
        <v>729</v>
      </c>
      <c r="E121" s="8" t="s">
        <v>88</v>
      </c>
      <c r="F121" s="8" t="s">
        <v>730</v>
      </c>
      <c r="G121" s="8" t="s">
        <v>731</v>
      </c>
      <c r="H121" s="8" t="s">
        <v>732</v>
      </c>
      <c r="I121" s="8" t="s">
        <v>161</v>
      </c>
      <c r="J121" s="8" t="s">
        <v>733</v>
      </c>
      <c r="K121" s="8" t="s">
        <v>17</v>
      </c>
      <c r="L121" s="8" t="s">
        <v>734</v>
      </c>
      <c r="M121" s="8"/>
      <c r="N121" s="5"/>
      <c r="O121" s="5"/>
      <c r="P121" s="5"/>
      <c r="Q121" s="5"/>
      <c r="R121" s="5"/>
    </row>
    <row r="122" spans="1:18" ht="409.6">
      <c r="A122" s="7" t="s">
        <v>109</v>
      </c>
      <c r="B122" s="13" t="s">
        <v>35</v>
      </c>
      <c r="C122" s="8" t="s">
        <v>735</v>
      </c>
      <c r="D122" s="8" t="s">
        <v>736</v>
      </c>
      <c r="E122" s="8" t="s">
        <v>88</v>
      </c>
      <c r="F122" s="8" t="s">
        <v>737</v>
      </c>
      <c r="G122" s="8" t="s">
        <v>738</v>
      </c>
      <c r="H122" s="8" t="s">
        <v>593</v>
      </c>
      <c r="I122" s="8" t="s">
        <v>739</v>
      </c>
      <c r="J122" s="8" t="s">
        <v>740</v>
      </c>
      <c r="K122" s="8" t="s">
        <v>17</v>
      </c>
      <c r="L122" s="8" t="s">
        <v>741</v>
      </c>
      <c r="M122" s="8"/>
      <c r="N122" s="5"/>
      <c r="O122" s="5"/>
      <c r="P122" s="5"/>
      <c r="Q122" s="5"/>
      <c r="R122" s="5"/>
    </row>
    <row r="123" spans="1:18" ht="409.6">
      <c r="A123" s="7" t="s">
        <v>287</v>
      </c>
      <c r="B123" s="13" t="s">
        <v>116</v>
      </c>
      <c r="C123" s="8" t="s">
        <v>742</v>
      </c>
      <c r="D123" s="8" t="s">
        <v>743</v>
      </c>
      <c r="E123" s="8" t="s">
        <v>88</v>
      </c>
      <c r="F123" s="8" t="s">
        <v>17</v>
      </c>
      <c r="G123" s="8" t="s">
        <v>744</v>
      </c>
      <c r="H123" s="8">
        <v>44743</v>
      </c>
      <c r="I123" s="8" t="s">
        <v>17</v>
      </c>
      <c r="J123" s="8" t="s">
        <v>745</v>
      </c>
      <c r="K123" s="8" t="s">
        <v>17</v>
      </c>
      <c r="L123" s="8" t="s">
        <v>746</v>
      </c>
      <c r="M123" s="8"/>
      <c r="N123" s="5"/>
      <c r="O123" s="5"/>
      <c r="P123" s="5"/>
      <c r="Q123" s="5"/>
      <c r="R123" s="5"/>
    </row>
    <row r="124" spans="1:18" ht="409.6">
      <c r="A124" s="7" t="s">
        <v>747</v>
      </c>
      <c r="B124" s="13" t="s">
        <v>748</v>
      </c>
      <c r="C124" s="8" t="s">
        <v>17</v>
      </c>
      <c r="D124" s="8" t="s">
        <v>749</v>
      </c>
      <c r="E124" s="8" t="s">
        <v>17</v>
      </c>
      <c r="F124" s="8" t="s">
        <v>750</v>
      </c>
      <c r="G124" s="8" t="s">
        <v>487</v>
      </c>
      <c r="H124" s="8">
        <v>44743</v>
      </c>
      <c r="I124" s="8" t="s">
        <v>17</v>
      </c>
      <c r="J124" s="8" t="s">
        <v>751</v>
      </c>
      <c r="K124" s="8" t="s">
        <v>17</v>
      </c>
      <c r="L124" s="8" t="s">
        <v>752</v>
      </c>
      <c r="M124" s="8"/>
      <c r="N124" s="5"/>
      <c r="O124" s="5"/>
      <c r="P124" s="5"/>
      <c r="Q124" s="5"/>
      <c r="R124" s="5"/>
    </row>
    <row r="125" spans="1:18" ht="409.6">
      <c r="A125" s="7" t="s">
        <v>530</v>
      </c>
      <c r="B125" s="13" t="s">
        <v>116</v>
      </c>
      <c r="C125" s="8" t="s">
        <v>753</v>
      </c>
      <c r="D125" s="8" t="s">
        <v>633</v>
      </c>
      <c r="E125" s="8" t="s">
        <v>17</v>
      </c>
      <c r="F125" s="8" t="s">
        <v>754</v>
      </c>
      <c r="G125" s="8" t="s">
        <v>634</v>
      </c>
      <c r="H125" s="8" t="s">
        <v>755</v>
      </c>
      <c r="I125" s="8" t="s">
        <v>756</v>
      </c>
      <c r="J125" s="8" t="s">
        <v>757</v>
      </c>
      <c r="K125" s="8" t="s">
        <v>17</v>
      </c>
      <c r="L125" s="8" t="s">
        <v>17</v>
      </c>
      <c r="M125" s="8"/>
      <c r="N125" s="5"/>
      <c r="O125" s="5"/>
      <c r="P125" s="5"/>
      <c r="Q125" s="5"/>
      <c r="R125" s="5"/>
    </row>
    <row r="126" spans="1:18" ht="154.30000000000001">
      <c r="A126" s="7" t="s">
        <v>58</v>
      </c>
      <c r="B126" s="13" t="s">
        <v>758</v>
      </c>
      <c r="C126" s="8" t="s">
        <v>36</v>
      </c>
      <c r="D126" s="8" t="s">
        <v>60</v>
      </c>
      <c r="E126" s="8" t="s">
        <v>88</v>
      </c>
      <c r="F126" s="8" t="s">
        <v>17</v>
      </c>
      <c r="G126" s="8" t="s">
        <v>17</v>
      </c>
      <c r="H126" s="8" t="s">
        <v>759</v>
      </c>
      <c r="I126" s="8" t="s">
        <v>17</v>
      </c>
      <c r="J126" s="8" t="s">
        <v>17</v>
      </c>
      <c r="K126" s="8" t="s">
        <v>17</v>
      </c>
      <c r="L126" s="8" t="s">
        <v>17</v>
      </c>
      <c r="M126" s="8"/>
      <c r="N126" s="5"/>
      <c r="O126" s="5"/>
      <c r="P126" s="5"/>
      <c r="Q126" s="5"/>
      <c r="R126" s="5"/>
    </row>
    <row r="127" spans="1:18" ht="409.6">
      <c r="A127" s="7" t="s">
        <v>760</v>
      </c>
      <c r="B127" s="13" t="s">
        <v>761</v>
      </c>
      <c r="C127" s="8" t="s">
        <v>762</v>
      </c>
      <c r="D127" s="8" t="s">
        <v>60</v>
      </c>
      <c r="E127" s="8" t="s">
        <v>88</v>
      </c>
      <c r="F127" s="8" t="s">
        <v>17</v>
      </c>
      <c r="G127" s="8" t="s">
        <v>763</v>
      </c>
      <c r="H127" s="8" t="s">
        <v>764</v>
      </c>
      <c r="I127" s="8" t="s">
        <v>17</v>
      </c>
      <c r="J127" s="8" t="s">
        <v>765</v>
      </c>
      <c r="K127" s="8" t="s">
        <v>17</v>
      </c>
      <c r="L127" s="8" t="s">
        <v>17</v>
      </c>
      <c r="M127" s="8"/>
      <c r="N127" s="5"/>
      <c r="O127" s="5"/>
      <c r="P127" s="5"/>
      <c r="Q127" s="5"/>
      <c r="R127" s="5"/>
    </row>
    <row r="128" spans="1:18" ht="298.3">
      <c r="A128" s="7" t="s">
        <v>371</v>
      </c>
      <c r="B128" s="13" t="s">
        <v>116</v>
      </c>
      <c r="C128" s="8" t="s">
        <v>36</v>
      </c>
      <c r="D128" s="8" t="s">
        <v>766</v>
      </c>
      <c r="E128" s="8" t="s">
        <v>88</v>
      </c>
      <c r="F128" s="8" t="s">
        <v>767</v>
      </c>
      <c r="G128" s="8" t="s">
        <v>768</v>
      </c>
      <c r="H128" s="8" t="s">
        <v>769</v>
      </c>
      <c r="I128" s="8" t="s">
        <v>17</v>
      </c>
      <c r="J128" s="8" t="s">
        <v>770</v>
      </c>
      <c r="K128" s="8" t="s">
        <v>17</v>
      </c>
      <c r="L128" s="8" t="s">
        <v>771</v>
      </c>
      <c r="M128" s="8"/>
      <c r="N128" s="5"/>
      <c r="O128" s="5"/>
      <c r="P128" s="5"/>
      <c r="Q128" s="5"/>
      <c r="R128" s="5"/>
    </row>
    <row r="129" spans="1:18" ht="409.6">
      <c r="A129" s="7" t="s">
        <v>109</v>
      </c>
      <c r="B129" s="13" t="s">
        <v>772</v>
      </c>
      <c r="C129" s="8" t="s">
        <v>36</v>
      </c>
      <c r="D129" s="8" t="s">
        <v>773</v>
      </c>
      <c r="E129" s="8" t="s">
        <v>29</v>
      </c>
      <c r="F129" s="8" t="s">
        <v>774</v>
      </c>
      <c r="G129" s="8" t="s">
        <v>775</v>
      </c>
      <c r="H129" s="8" t="s">
        <v>114</v>
      </c>
      <c r="I129" s="8" t="s">
        <v>625</v>
      </c>
      <c r="J129" s="8" t="s">
        <v>776</v>
      </c>
      <c r="K129" s="8" t="s">
        <v>777</v>
      </c>
      <c r="L129" s="8" t="s">
        <v>778</v>
      </c>
      <c r="M129" s="8"/>
      <c r="N129" s="5"/>
      <c r="O129" s="5"/>
      <c r="P129" s="5"/>
      <c r="Q129" s="5"/>
      <c r="R129" s="5"/>
    </row>
    <row r="130" spans="1:18" ht="409.6">
      <c r="A130" s="7" t="s">
        <v>13</v>
      </c>
      <c r="B130" s="13" t="s">
        <v>779</v>
      </c>
      <c r="C130" s="8" t="s">
        <v>780</v>
      </c>
      <c r="D130" s="8" t="s">
        <v>781</v>
      </c>
      <c r="E130" s="8" t="s">
        <v>88</v>
      </c>
      <c r="F130" s="8" t="s">
        <v>782</v>
      </c>
      <c r="G130" s="8" t="s">
        <v>783</v>
      </c>
      <c r="H130" s="8" t="s">
        <v>593</v>
      </c>
      <c r="I130" s="8" t="s">
        <v>17</v>
      </c>
      <c r="J130" s="8" t="s">
        <v>784</v>
      </c>
      <c r="K130" s="8" t="s">
        <v>17</v>
      </c>
      <c r="L130" s="8" t="s">
        <v>17</v>
      </c>
      <c r="M130" s="8"/>
      <c r="N130" s="5"/>
      <c r="O130" s="5"/>
      <c r="P130" s="5"/>
      <c r="Q130" s="5"/>
      <c r="R130" s="5"/>
    </row>
    <row r="131" spans="1:18" ht="409.6">
      <c r="A131" s="7" t="s">
        <v>589</v>
      </c>
      <c r="B131" s="13" t="s">
        <v>785</v>
      </c>
      <c r="C131" s="8" t="s">
        <v>36</v>
      </c>
      <c r="D131" s="8" t="s">
        <v>60</v>
      </c>
      <c r="E131" s="8" t="s">
        <v>88</v>
      </c>
      <c r="F131" s="8" t="s">
        <v>786</v>
      </c>
      <c r="G131" s="8" t="s">
        <v>787</v>
      </c>
      <c r="H131" s="8" t="s">
        <v>17</v>
      </c>
      <c r="I131" s="8" t="s">
        <v>17</v>
      </c>
      <c r="J131" s="8" t="s">
        <v>788</v>
      </c>
      <c r="K131" s="8" t="s">
        <v>17</v>
      </c>
      <c r="L131" s="8" t="s">
        <v>17</v>
      </c>
      <c r="M131" s="8"/>
      <c r="N131" s="5"/>
      <c r="O131" s="5"/>
      <c r="P131" s="5"/>
      <c r="Q131" s="5"/>
      <c r="R131" s="5"/>
    </row>
    <row r="132" spans="1:18" ht="409.6">
      <c r="A132" s="7" t="s">
        <v>789</v>
      </c>
      <c r="B132" s="13" t="s">
        <v>790</v>
      </c>
      <c r="C132" s="8" t="s">
        <v>791</v>
      </c>
      <c r="D132" s="8" t="s">
        <v>792</v>
      </c>
      <c r="E132" s="8" t="s">
        <v>793</v>
      </c>
      <c r="F132" s="8" t="s">
        <v>794</v>
      </c>
      <c r="G132" s="8" t="s">
        <v>795</v>
      </c>
      <c r="H132" s="8">
        <v>44743</v>
      </c>
      <c r="I132" s="8" t="s">
        <v>796</v>
      </c>
      <c r="J132" s="8" t="s">
        <v>797</v>
      </c>
      <c r="K132" s="8" t="s">
        <v>17</v>
      </c>
      <c r="L132" s="8" t="s">
        <v>798</v>
      </c>
      <c r="M132" s="8"/>
      <c r="N132" s="5"/>
      <c r="O132" s="5"/>
      <c r="P132" s="5"/>
      <c r="Q132" s="5"/>
      <c r="R132" s="5"/>
    </row>
    <row r="133" spans="1:18" ht="409.6">
      <c r="A133" s="7" t="s">
        <v>760</v>
      </c>
      <c r="B133" s="13" t="s">
        <v>799</v>
      </c>
      <c r="C133" s="8" t="s">
        <v>36</v>
      </c>
      <c r="D133" s="8" t="s">
        <v>60</v>
      </c>
      <c r="E133" s="8" t="s">
        <v>88</v>
      </c>
      <c r="F133" s="8" t="s">
        <v>800</v>
      </c>
      <c r="G133" s="8" t="s">
        <v>787</v>
      </c>
      <c r="H133" s="8" t="s">
        <v>801</v>
      </c>
      <c r="I133" s="8" t="s">
        <v>209</v>
      </c>
      <c r="J133" s="8" t="s">
        <v>802</v>
      </c>
      <c r="K133" s="8" t="s">
        <v>17</v>
      </c>
      <c r="L133" s="8" t="s">
        <v>803</v>
      </c>
      <c r="M133" s="8"/>
      <c r="N133" s="5"/>
      <c r="O133" s="5"/>
      <c r="P133" s="5"/>
      <c r="Q133" s="5"/>
      <c r="R133" s="5"/>
    </row>
    <row r="134" spans="1:18" ht="409.6">
      <c r="A134" s="7" t="s">
        <v>13</v>
      </c>
      <c r="B134" s="13" t="s">
        <v>804</v>
      </c>
      <c r="C134" s="8" t="s">
        <v>36</v>
      </c>
      <c r="D134" s="8" t="s">
        <v>60</v>
      </c>
      <c r="E134" s="8" t="s">
        <v>88</v>
      </c>
      <c r="F134" s="8" t="s">
        <v>805</v>
      </c>
      <c r="G134" s="8" t="s">
        <v>806</v>
      </c>
      <c r="H134" s="8" t="s">
        <v>807</v>
      </c>
      <c r="I134" s="8" t="s">
        <v>17</v>
      </c>
      <c r="J134" s="8" t="s">
        <v>808</v>
      </c>
      <c r="K134" s="8" t="s">
        <v>17</v>
      </c>
      <c r="L134" s="8" t="s">
        <v>17</v>
      </c>
      <c r="M134" s="8"/>
      <c r="N134" s="5"/>
      <c r="O134" s="5"/>
      <c r="P134" s="5"/>
      <c r="Q134" s="5"/>
      <c r="R134" s="5"/>
    </row>
    <row r="135" spans="1:18" ht="409.6">
      <c r="A135" s="7" t="s">
        <v>809</v>
      </c>
      <c r="B135" s="13" t="s">
        <v>116</v>
      </c>
      <c r="C135" s="8" t="s">
        <v>810</v>
      </c>
      <c r="D135" s="8" t="s">
        <v>811</v>
      </c>
      <c r="E135" s="8" t="s">
        <v>88</v>
      </c>
      <c r="F135" s="8" t="s">
        <v>812</v>
      </c>
      <c r="G135" s="8" t="s">
        <v>813</v>
      </c>
      <c r="H135" s="8" t="s">
        <v>814</v>
      </c>
      <c r="I135" s="8" t="s">
        <v>17</v>
      </c>
      <c r="J135" s="8" t="s">
        <v>815</v>
      </c>
      <c r="K135" s="8" t="s">
        <v>17</v>
      </c>
      <c r="L135" s="8" t="s">
        <v>816</v>
      </c>
      <c r="M135" s="8"/>
      <c r="N135" s="5"/>
      <c r="O135" s="5"/>
      <c r="P135" s="5"/>
      <c r="Q135" s="5"/>
      <c r="R135" s="5"/>
    </row>
    <row r="136" spans="1:18" ht="409.6">
      <c r="A136" s="7" t="s">
        <v>13</v>
      </c>
      <c r="B136" s="13" t="s">
        <v>817</v>
      </c>
      <c r="C136" s="8" t="s">
        <v>36</v>
      </c>
      <c r="D136" s="8" t="s">
        <v>781</v>
      </c>
      <c r="E136" s="8" t="s">
        <v>88</v>
      </c>
      <c r="F136" s="8" t="s">
        <v>818</v>
      </c>
      <c r="G136" s="8" t="s">
        <v>783</v>
      </c>
      <c r="H136" s="8" t="s">
        <v>593</v>
      </c>
      <c r="I136" s="8" t="s">
        <v>17</v>
      </c>
      <c r="J136" s="8" t="s">
        <v>819</v>
      </c>
      <c r="K136" s="8" t="s">
        <v>17</v>
      </c>
      <c r="L136" s="8" t="s">
        <v>17</v>
      </c>
      <c r="M136" s="8"/>
      <c r="N136" s="5"/>
      <c r="O136" s="5"/>
      <c r="P136" s="5"/>
      <c r="Q136" s="5"/>
      <c r="R136" s="5"/>
    </row>
    <row r="137" spans="1:18" ht="409.6">
      <c r="A137" s="7" t="s">
        <v>13</v>
      </c>
      <c r="B137" s="13" t="s">
        <v>820</v>
      </c>
      <c r="C137" s="8" t="s">
        <v>791</v>
      </c>
      <c r="D137" s="8" t="s">
        <v>781</v>
      </c>
      <c r="E137" s="8" t="s">
        <v>88</v>
      </c>
      <c r="F137" s="8" t="s">
        <v>821</v>
      </c>
      <c r="G137" s="8" t="s">
        <v>822</v>
      </c>
      <c r="H137" s="8" t="s">
        <v>593</v>
      </c>
      <c r="I137" s="8" t="s">
        <v>17</v>
      </c>
      <c r="J137" s="8" t="s">
        <v>823</v>
      </c>
      <c r="K137" s="8" t="s">
        <v>17</v>
      </c>
      <c r="L137" s="8" t="s">
        <v>17</v>
      </c>
      <c r="M137" s="8"/>
      <c r="N137" s="5"/>
      <c r="O137" s="5"/>
      <c r="P137" s="5"/>
      <c r="Q137" s="5"/>
      <c r="R137" s="5"/>
    </row>
    <row r="138" spans="1:18" ht="409.6">
      <c r="A138" s="7" t="s">
        <v>13</v>
      </c>
      <c r="B138" s="13" t="s">
        <v>824</v>
      </c>
      <c r="C138" s="8" t="s">
        <v>780</v>
      </c>
      <c r="D138" s="8" t="s">
        <v>825</v>
      </c>
      <c r="E138" s="8" t="s">
        <v>88</v>
      </c>
      <c r="F138" s="8" t="s">
        <v>17</v>
      </c>
      <c r="G138" s="8" t="s">
        <v>826</v>
      </c>
      <c r="H138" s="8" t="s">
        <v>138</v>
      </c>
      <c r="I138" s="8" t="s">
        <v>17</v>
      </c>
      <c r="J138" s="8" t="s">
        <v>827</v>
      </c>
      <c r="K138" s="8" t="s">
        <v>17</v>
      </c>
      <c r="L138" s="8" t="s">
        <v>17</v>
      </c>
      <c r="M138" s="8"/>
      <c r="N138" s="5"/>
      <c r="O138" s="5"/>
      <c r="P138" s="5"/>
      <c r="Q138" s="5"/>
      <c r="R138" s="5"/>
    </row>
    <row r="139" spans="1:18" ht="409.6">
      <c r="A139" s="7" t="s">
        <v>13</v>
      </c>
      <c r="B139" s="13" t="s">
        <v>828</v>
      </c>
      <c r="C139" s="8" t="s">
        <v>791</v>
      </c>
      <c r="D139" s="8" t="s">
        <v>829</v>
      </c>
      <c r="E139" s="8" t="s">
        <v>88</v>
      </c>
      <c r="F139" s="8" t="s">
        <v>17</v>
      </c>
      <c r="G139" s="8" t="s">
        <v>830</v>
      </c>
      <c r="H139" s="8" t="s">
        <v>831</v>
      </c>
      <c r="I139" s="8" t="s">
        <v>17</v>
      </c>
      <c r="J139" s="8" t="s">
        <v>832</v>
      </c>
      <c r="K139" s="8" t="s">
        <v>17</v>
      </c>
      <c r="L139" s="8" t="s">
        <v>17</v>
      </c>
      <c r="M139" s="8"/>
      <c r="N139" s="5"/>
      <c r="O139" s="5"/>
      <c r="P139" s="5"/>
      <c r="Q139" s="5"/>
      <c r="R139" s="5"/>
    </row>
    <row r="140" spans="1:18" ht="409.6">
      <c r="A140" s="7" t="s">
        <v>589</v>
      </c>
      <c r="B140" s="13" t="s">
        <v>833</v>
      </c>
      <c r="C140" s="8" t="s">
        <v>36</v>
      </c>
      <c r="D140" s="8" t="s">
        <v>60</v>
      </c>
      <c r="E140" s="8" t="s">
        <v>88</v>
      </c>
      <c r="F140" s="8" t="s">
        <v>17</v>
      </c>
      <c r="G140" s="8" t="s">
        <v>834</v>
      </c>
      <c r="H140" s="8" t="s">
        <v>17</v>
      </c>
      <c r="I140" s="8" t="s">
        <v>174</v>
      </c>
      <c r="J140" s="8" t="s">
        <v>835</v>
      </c>
      <c r="K140" s="8" t="s">
        <v>17</v>
      </c>
      <c r="L140" s="8" t="s">
        <v>17</v>
      </c>
      <c r="M140" s="8"/>
      <c r="N140" s="5"/>
      <c r="O140" s="5"/>
      <c r="P140" s="5"/>
      <c r="Q140" s="5"/>
      <c r="R140" s="5"/>
    </row>
    <row r="141" spans="1:18" ht="409.6">
      <c r="A141" s="7" t="s">
        <v>589</v>
      </c>
      <c r="B141" s="13" t="s">
        <v>836</v>
      </c>
      <c r="C141" s="8" t="s">
        <v>36</v>
      </c>
      <c r="D141" s="8" t="s">
        <v>60</v>
      </c>
      <c r="E141" s="8" t="s">
        <v>88</v>
      </c>
      <c r="F141" s="8" t="s">
        <v>837</v>
      </c>
      <c r="G141" s="8" t="s">
        <v>834</v>
      </c>
      <c r="H141" s="8" t="s">
        <v>17</v>
      </c>
      <c r="I141" s="8" t="s">
        <v>323</v>
      </c>
      <c r="J141" s="8" t="s">
        <v>838</v>
      </c>
      <c r="K141" s="8" t="s">
        <v>17</v>
      </c>
      <c r="L141" s="8" t="s">
        <v>17</v>
      </c>
      <c r="M141" s="8"/>
      <c r="N141" s="5"/>
      <c r="O141" s="5"/>
      <c r="P141" s="5"/>
      <c r="Q141" s="5"/>
      <c r="R141" s="5"/>
    </row>
    <row r="142" spans="1:18" ht="409.6">
      <c r="A142" s="7" t="s">
        <v>13</v>
      </c>
      <c r="B142" s="13" t="s">
        <v>390</v>
      </c>
      <c r="C142" s="8" t="s">
        <v>791</v>
      </c>
      <c r="D142" s="8" t="s">
        <v>839</v>
      </c>
      <c r="E142" s="8" t="s">
        <v>88</v>
      </c>
      <c r="F142" s="8" t="s">
        <v>840</v>
      </c>
      <c r="G142" s="8" t="s">
        <v>841</v>
      </c>
      <c r="H142" s="8" t="s">
        <v>599</v>
      </c>
      <c r="I142" s="8" t="s">
        <v>17</v>
      </c>
      <c r="J142" s="8" t="s">
        <v>842</v>
      </c>
      <c r="K142" s="8" t="s">
        <v>17</v>
      </c>
      <c r="L142" s="8" t="s">
        <v>17</v>
      </c>
      <c r="M142" s="8"/>
      <c r="N142" s="5"/>
      <c r="O142" s="5"/>
      <c r="P142" s="5"/>
      <c r="Q142" s="5"/>
      <c r="R142" s="5"/>
    </row>
    <row r="143" spans="1:18" ht="409.6">
      <c r="A143" s="7" t="s">
        <v>809</v>
      </c>
      <c r="B143" s="13" t="s">
        <v>843</v>
      </c>
      <c r="C143" s="8" t="s">
        <v>844</v>
      </c>
      <c r="D143" s="8" t="s">
        <v>811</v>
      </c>
      <c r="E143" s="8" t="s">
        <v>88</v>
      </c>
      <c r="F143" s="8" t="s">
        <v>845</v>
      </c>
      <c r="G143" s="8" t="s">
        <v>846</v>
      </c>
      <c r="H143" s="8" t="s">
        <v>847</v>
      </c>
      <c r="I143" s="8" t="s">
        <v>17</v>
      </c>
      <c r="J143" s="8" t="s">
        <v>848</v>
      </c>
      <c r="K143" s="8" t="s">
        <v>17</v>
      </c>
      <c r="L143" s="8" t="s">
        <v>849</v>
      </c>
      <c r="M143" s="8"/>
      <c r="N143" s="5"/>
      <c r="O143" s="5"/>
      <c r="P143" s="5"/>
      <c r="Q143" s="5"/>
      <c r="R143" s="5"/>
    </row>
    <row r="144" spans="1:18" ht="409.6">
      <c r="A144" s="7" t="s">
        <v>809</v>
      </c>
      <c r="B144" s="13" t="s">
        <v>850</v>
      </c>
      <c r="C144" s="8" t="s">
        <v>844</v>
      </c>
      <c r="D144" s="8" t="s">
        <v>811</v>
      </c>
      <c r="E144" s="8" t="s">
        <v>88</v>
      </c>
      <c r="F144" s="8" t="s">
        <v>851</v>
      </c>
      <c r="G144" s="8" t="s">
        <v>852</v>
      </c>
      <c r="H144" s="8" t="s">
        <v>853</v>
      </c>
      <c r="I144" s="8" t="s">
        <v>139</v>
      </c>
      <c r="J144" s="8" t="s">
        <v>854</v>
      </c>
      <c r="K144" s="8" t="s">
        <v>17</v>
      </c>
      <c r="L144" s="8" t="s">
        <v>855</v>
      </c>
      <c r="M144" s="8"/>
      <c r="N144" s="5"/>
      <c r="O144" s="5"/>
      <c r="P144" s="5"/>
      <c r="Q144" s="5"/>
      <c r="R144" s="5"/>
    </row>
    <row r="145" spans="1:18" ht="409.6">
      <c r="A145" s="7" t="s">
        <v>333</v>
      </c>
      <c r="B145" s="13" t="s">
        <v>856</v>
      </c>
      <c r="C145" s="8" t="s">
        <v>857</v>
      </c>
      <c r="D145" s="8" t="s">
        <v>858</v>
      </c>
      <c r="E145" s="8" t="s">
        <v>88</v>
      </c>
      <c r="F145" s="8" t="s">
        <v>859</v>
      </c>
      <c r="G145" s="8" t="s">
        <v>860</v>
      </c>
      <c r="H145" s="8" t="s">
        <v>861</v>
      </c>
      <c r="I145" s="8" t="s">
        <v>209</v>
      </c>
      <c r="J145" s="8" t="s">
        <v>862</v>
      </c>
      <c r="K145" s="8" t="s">
        <v>17</v>
      </c>
      <c r="L145" s="8" t="s">
        <v>863</v>
      </c>
      <c r="M145" s="8"/>
      <c r="N145" s="5"/>
      <c r="O145" s="5"/>
      <c r="P145" s="5"/>
      <c r="Q145" s="5"/>
      <c r="R145" s="5"/>
    </row>
    <row r="146" spans="1:18" ht="270">
      <c r="A146" s="7" t="s">
        <v>50</v>
      </c>
      <c r="B146" s="13" t="s">
        <v>864</v>
      </c>
      <c r="C146" s="8" t="s">
        <v>865</v>
      </c>
      <c r="D146" s="8" t="s">
        <v>60</v>
      </c>
      <c r="E146" s="8" t="s">
        <v>88</v>
      </c>
      <c r="F146" s="8" t="s">
        <v>17</v>
      </c>
      <c r="G146" s="8" t="s">
        <v>285</v>
      </c>
      <c r="H146" s="8" t="s">
        <v>866</v>
      </c>
      <c r="I146" s="8" t="s">
        <v>17</v>
      </c>
      <c r="J146" s="8" t="s">
        <v>17</v>
      </c>
      <c r="K146" s="8" t="s">
        <v>17</v>
      </c>
      <c r="L146" s="8" t="s">
        <v>17</v>
      </c>
      <c r="M146" s="8"/>
      <c r="N146" s="5"/>
      <c r="O146" s="5"/>
      <c r="P146" s="5"/>
      <c r="Q146" s="5"/>
      <c r="R146" s="5"/>
    </row>
    <row r="147" spans="1:18" ht="409.6">
      <c r="A147" s="7" t="s">
        <v>530</v>
      </c>
      <c r="B147" s="13" t="s">
        <v>390</v>
      </c>
      <c r="C147" s="8" t="s">
        <v>867</v>
      </c>
      <c r="D147" s="8" t="s">
        <v>60</v>
      </c>
      <c r="E147" s="8" t="s">
        <v>88</v>
      </c>
      <c r="F147" s="8" t="s">
        <v>868</v>
      </c>
      <c r="G147" s="8" t="s">
        <v>634</v>
      </c>
      <c r="H147" s="8" t="s">
        <v>869</v>
      </c>
      <c r="I147" s="8" t="s">
        <v>870</v>
      </c>
      <c r="J147" s="8" t="s">
        <v>871</v>
      </c>
      <c r="K147" s="8" t="s">
        <v>17</v>
      </c>
      <c r="L147" s="8" t="s">
        <v>872</v>
      </c>
      <c r="M147" s="8"/>
      <c r="N147" s="5"/>
      <c r="O147" s="5"/>
      <c r="P147" s="5"/>
      <c r="Q147" s="5"/>
      <c r="R147" s="5"/>
    </row>
    <row r="148" spans="1:18" ht="270">
      <c r="A148" s="7" t="s">
        <v>50</v>
      </c>
      <c r="B148" s="13" t="s">
        <v>873</v>
      </c>
      <c r="C148" s="8" t="s">
        <v>36</v>
      </c>
      <c r="D148" s="8" t="s">
        <v>17</v>
      </c>
      <c r="E148" s="8" t="s">
        <v>88</v>
      </c>
      <c r="F148" s="8" t="s">
        <v>17</v>
      </c>
      <c r="G148" s="8" t="s">
        <v>874</v>
      </c>
      <c r="H148" s="8" t="s">
        <v>124</v>
      </c>
      <c r="I148" s="8" t="s">
        <v>875</v>
      </c>
      <c r="J148" s="8" t="s">
        <v>876</v>
      </c>
      <c r="K148" s="8" t="s">
        <v>17</v>
      </c>
      <c r="L148" s="8" t="s">
        <v>17</v>
      </c>
      <c r="M148" s="8"/>
      <c r="N148" s="5"/>
      <c r="O148" s="5"/>
      <c r="P148" s="5"/>
      <c r="Q148" s="5"/>
      <c r="R148" s="5"/>
    </row>
    <row r="149" spans="1:18" ht="409.6">
      <c r="A149" s="7" t="s">
        <v>50</v>
      </c>
      <c r="B149" s="13" t="s">
        <v>877</v>
      </c>
      <c r="C149" s="8" t="s">
        <v>878</v>
      </c>
      <c r="D149" s="8" t="s">
        <v>17</v>
      </c>
      <c r="E149" s="8" t="s">
        <v>17</v>
      </c>
      <c r="F149" s="8" t="s">
        <v>879</v>
      </c>
      <c r="G149" s="8" t="s">
        <v>880</v>
      </c>
      <c r="H149" s="8">
        <v>44743</v>
      </c>
      <c r="I149" s="8" t="s">
        <v>17</v>
      </c>
      <c r="J149" s="8" t="s">
        <v>881</v>
      </c>
      <c r="K149" s="8" t="s">
        <v>17</v>
      </c>
      <c r="L149" s="8" t="s">
        <v>17</v>
      </c>
      <c r="M149" s="8"/>
      <c r="N149" s="5"/>
      <c r="O149" s="5"/>
      <c r="P149" s="5"/>
      <c r="Q149" s="5"/>
      <c r="R149" s="5"/>
    </row>
    <row r="150" spans="1:18" ht="409.6">
      <c r="A150" s="7" t="s">
        <v>287</v>
      </c>
      <c r="B150" s="13" t="s">
        <v>59</v>
      </c>
      <c r="C150" s="8" t="s">
        <v>52</v>
      </c>
      <c r="D150" s="8" t="s">
        <v>882</v>
      </c>
      <c r="E150" s="8" t="s">
        <v>88</v>
      </c>
      <c r="F150" s="8" t="s">
        <v>883</v>
      </c>
      <c r="G150" s="8" t="s">
        <v>291</v>
      </c>
      <c r="H150" s="8" t="s">
        <v>292</v>
      </c>
      <c r="I150" s="8" t="s">
        <v>17</v>
      </c>
      <c r="J150" s="8" t="s">
        <v>884</v>
      </c>
      <c r="K150" s="8" t="s">
        <v>17</v>
      </c>
      <c r="L150" s="8" t="s">
        <v>885</v>
      </c>
      <c r="M150" s="8"/>
      <c r="N150" s="5"/>
      <c r="O150" s="5"/>
      <c r="P150" s="5"/>
      <c r="Q150" s="5"/>
      <c r="R150" s="5"/>
    </row>
    <row r="151" spans="1:18" ht="409.6">
      <c r="A151" s="7" t="s">
        <v>530</v>
      </c>
      <c r="B151" s="13" t="s">
        <v>59</v>
      </c>
      <c r="C151" s="8" t="s">
        <v>867</v>
      </c>
      <c r="D151" s="8" t="s">
        <v>60</v>
      </c>
      <c r="E151" s="8" t="s">
        <v>88</v>
      </c>
      <c r="F151" s="8" t="s">
        <v>886</v>
      </c>
      <c r="G151" s="8" t="s">
        <v>634</v>
      </c>
      <c r="H151" s="8" t="s">
        <v>887</v>
      </c>
      <c r="I151" s="8" t="s">
        <v>756</v>
      </c>
      <c r="J151" s="8" t="s">
        <v>888</v>
      </c>
      <c r="K151" s="8" t="s">
        <v>17</v>
      </c>
      <c r="L151" s="8" t="s">
        <v>889</v>
      </c>
      <c r="M151" s="8"/>
      <c r="N151" s="5"/>
      <c r="O151" s="5"/>
      <c r="P151" s="5"/>
      <c r="Q151" s="5"/>
      <c r="R151" s="5"/>
    </row>
    <row r="152" spans="1:18" ht="409.6">
      <c r="A152" s="7" t="s">
        <v>789</v>
      </c>
      <c r="B152" s="13" t="s">
        <v>890</v>
      </c>
      <c r="C152" s="8" t="s">
        <v>891</v>
      </c>
      <c r="D152" s="8" t="s">
        <v>892</v>
      </c>
      <c r="E152" s="8" t="s">
        <v>893</v>
      </c>
      <c r="F152" s="8" t="s">
        <v>894</v>
      </c>
      <c r="G152" s="8" t="s">
        <v>895</v>
      </c>
      <c r="H152" s="8">
        <v>44757</v>
      </c>
      <c r="I152" s="8" t="s">
        <v>796</v>
      </c>
      <c r="J152" s="8" t="s">
        <v>896</v>
      </c>
      <c r="K152" s="8" t="s">
        <v>17</v>
      </c>
      <c r="L152" s="8" t="s">
        <v>897</v>
      </c>
      <c r="M152" s="8"/>
      <c r="N152" s="5"/>
      <c r="O152" s="5"/>
      <c r="P152" s="5"/>
      <c r="Q152" s="5"/>
      <c r="R152" s="5"/>
    </row>
    <row r="153" spans="1:18" ht="385.75">
      <c r="A153" s="7" t="s">
        <v>898</v>
      </c>
      <c r="B153" s="13" t="s">
        <v>43</v>
      </c>
      <c r="C153" s="8" t="s">
        <v>36</v>
      </c>
      <c r="D153" s="8" t="s">
        <v>899</v>
      </c>
      <c r="E153" s="8" t="s">
        <v>88</v>
      </c>
      <c r="F153" s="8" t="s">
        <v>900</v>
      </c>
      <c r="G153" s="8" t="s">
        <v>296</v>
      </c>
      <c r="H153" s="8" t="s">
        <v>901</v>
      </c>
      <c r="I153" s="8" t="s">
        <v>17</v>
      </c>
      <c r="J153" s="8" t="s">
        <v>902</v>
      </c>
      <c r="K153" s="8" t="s">
        <v>17</v>
      </c>
      <c r="L153" s="8" t="s">
        <v>17</v>
      </c>
      <c r="M153" s="8"/>
      <c r="N153" s="5"/>
      <c r="O153" s="5"/>
      <c r="P153" s="5"/>
      <c r="Q153" s="5"/>
      <c r="R153" s="5"/>
    </row>
    <row r="154" spans="1:18" ht="409.6">
      <c r="A154" s="7" t="s">
        <v>760</v>
      </c>
      <c r="B154" s="13" t="s">
        <v>903</v>
      </c>
      <c r="C154" s="8" t="s">
        <v>904</v>
      </c>
      <c r="D154" s="8" t="s">
        <v>60</v>
      </c>
      <c r="E154" s="8" t="s">
        <v>88</v>
      </c>
      <c r="F154" s="8" t="s">
        <v>905</v>
      </c>
      <c r="G154" s="8" t="s">
        <v>906</v>
      </c>
      <c r="H154" s="8" t="s">
        <v>368</v>
      </c>
      <c r="I154" s="8" t="s">
        <v>209</v>
      </c>
      <c r="J154" s="8" t="s">
        <v>907</v>
      </c>
      <c r="K154" s="8" t="s">
        <v>17</v>
      </c>
      <c r="L154" s="8" t="s">
        <v>908</v>
      </c>
      <c r="M154" s="8"/>
      <c r="N154" s="5"/>
      <c r="O154" s="5"/>
      <c r="P154" s="5"/>
      <c r="Q154" s="5"/>
      <c r="R154" s="5"/>
    </row>
    <row r="155" spans="1:18" ht="409.6">
      <c r="A155" s="7" t="s">
        <v>50</v>
      </c>
      <c r="B155" s="13" t="s">
        <v>909</v>
      </c>
      <c r="C155" s="8" t="s">
        <v>910</v>
      </c>
      <c r="D155" s="8" t="s">
        <v>911</v>
      </c>
      <c r="E155" s="8" t="s">
        <v>88</v>
      </c>
      <c r="F155" s="8" t="s">
        <v>912</v>
      </c>
      <c r="G155" s="8" t="s">
        <v>623</v>
      </c>
      <c r="H155" s="8" t="s">
        <v>913</v>
      </c>
      <c r="I155" s="8" t="s">
        <v>17</v>
      </c>
      <c r="J155" s="8" t="s">
        <v>914</v>
      </c>
      <c r="K155" s="8" t="s">
        <v>17</v>
      </c>
      <c r="L155" s="8" t="s">
        <v>17</v>
      </c>
      <c r="M155" s="8"/>
      <c r="N155" s="5"/>
      <c r="O155" s="5"/>
      <c r="P155" s="5"/>
      <c r="Q155" s="5"/>
      <c r="R155" s="5"/>
    </row>
    <row r="156" spans="1:18" ht="409.6">
      <c r="A156" s="7" t="s">
        <v>915</v>
      </c>
      <c r="B156" s="13" t="s">
        <v>916</v>
      </c>
      <c r="C156" s="8" t="s">
        <v>538</v>
      </c>
      <c r="D156" s="8" t="s">
        <v>17</v>
      </c>
      <c r="E156" s="8" t="s">
        <v>88</v>
      </c>
      <c r="F156" s="8" t="s">
        <v>17</v>
      </c>
      <c r="G156" s="8" t="s">
        <v>539</v>
      </c>
      <c r="H156" s="8" t="s">
        <v>540</v>
      </c>
      <c r="I156" s="8" t="s">
        <v>17</v>
      </c>
      <c r="J156" s="8" t="s">
        <v>541</v>
      </c>
      <c r="K156" s="8" t="s">
        <v>17</v>
      </c>
      <c r="L156" s="8" t="s">
        <v>17</v>
      </c>
      <c r="M156" s="8"/>
      <c r="N156" s="5"/>
      <c r="O156" s="5"/>
      <c r="P156" s="5"/>
      <c r="Q156" s="5"/>
      <c r="R156" s="5"/>
    </row>
    <row r="157" spans="1:18" ht="409.6">
      <c r="A157" s="7" t="s">
        <v>109</v>
      </c>
      <c r="B157" s="13" t="s">
        <v>917</v>
      </c>
      <c r="C157" s="8" t="s">
        <v>918</v>
      </c>
      <c r="D157" s="8" t="s">
        <v>524</v>
      </c>
      <c r="E157" s="8" t="s">
        <v>29</v>
      </c>
      <c r="F157" s="8" t="s">
        <v>919</v>
      </c>
      <c r="G157" s="8" t="s">
        <v>473</v>
      </c>
      <c r="H157" s="8" t="s">
        <v>368</v>
      </c>
      <c r="I157" s="8" t="s">
        <v>17</v>
      </c>
      <c r="J157" s="8" t="s">
        <v>920</v>
      </c>
      <c r="K157" s="8" t="s">
        <v>921</v>
      </c>
      <c r="L157" s="8" t="s">
        <v>922</v>
      </c>
      <c r="M157" s="8"/>
      <c r="N157" s="5"/>
      <c r="O157" s="5"/>
      <c r="P157" s="5"/>
      <c r="Q157" s="5"/>
      <c r="R157" s="5"/>
    </row>
    <row r="158" spans="1:18" ht="409.6">
      <c r="A158" s="7" t="s">
        <v>760</v>
      </c>
      <c r="B158" s="13" t="s">
        <v>923</v>
      </c>
      <c r="C158" s="8" t="s">
        <v>924</v>
      </c>
      <c r="D158" s="8" t="s">
        <v>925</v>
      </c>
      <c r="E158" s="8" t="s">
        <v>17</v>
      </c>
      <c r="F158" s="8" t="s">
        <v>17</v>
      </c>
      <c r="G158" s="8" t="s">
        <v>926</v>
      </c>
      <c r="H158" s="8" t="s">
        <v>927</v>
      </c>
      <c r="I158" s="8" t="s">
        <v>928</v>
      </c>
      <c r="J158" s="8" t="s">
        <v>929</v>
      </c>
      <c r="K158" s="8" t="s">
        <v>930</v>
      </c>
      <c r="L158" s="8" t="s">
        <v>17</v>
      </c>
      <c r="M158" s="8"/>
      <c r="N158" s="5"/>
      <c r="O158" s="5"/>
      <c r="P158" s="5"/>
      <c r="Q158" s="5"/>
      <c r="R158" s="5"/>
    </row>
    <row r="159" spans="1:18" ht="409.6">
      <c r="A159" s="7" t="s">
        <v>58</v>
      </c>
      <c r="B159" s="13" t="s">
        <v>931</v>
      </c>
      <c r="C159" s="8" t="s">
        <v>36</v>
      </c>
      <c r="D159" s="8" t="s">
        <v>60</v>
      </c>
      <c r="E159" s="8" t="s">
        <v>88</v>
      </c>
      <c r="F159" s="8" t="s">
        <v>932</v>
      </c>
      <c r="G159" s="8" t="s">
        <v>575</v>
      </c>
      <c r="H159" s="8" t="s">
        <v>933</v>
      </c>
      <c r="I159" s="8" t="s">
        <v>17</v>
      </c>
      <c r="J159" s="8" t="s">
        <v>934</v>
      </c>
      <c r="K159" s="8" t="s">
        <v>17</v>
      </c>
      <c r="L159" s="8" t="s">
        <v>17</v>
      </c>
      <c r="M159" s="8"/>
      <c r="N159" s="5"/>
      <c r="O159" s="5"/>
      <c r="P159" s="5"/>
      <c r="Q159" s="5"/>
      <c r="R159" s="5"/>
    </row>
    <row r="160" spans="1:18" ht="409.6">
      <c r="A160" s="7" t="s">
        <v>935</v>
      </c>
      <c r="B160" s="13" t="s">
        <v>936</v>
      </c>
      <c r="C160" s="8" t="s">
        <v>937</v>
      </c>
      <c r="D160" s="8" t="s">
        <v>938</v>
      </c>
      <c r="E160" s="8" t="s">
        <v>88</v>
      </c>
      <c r="F160" s="8" t="s">
        <v>939</v>
      </c>
      <c r="G160" s="8" t="s">
        <v>940</v>
      </c>
      <c r="H160" s="8" t="s">
        <v>941</v>
      </c>
      <c r="I160" s="8" t="s">
        <v>942</v>
      </c>
      <c r="J160" s="8" t="s">
        <v>943</v>
      </c>
      <c r="K160" s="8" t="s">
        <v>17</v>
      </c>
      <c r="L160" s="8" t="s">
        <v>944</v>
      </c>
      <c r="M160" s="8"/>
      <c r="N160" s="5"/>
      <c r="O160" s="5"/>
      <c r="P160" s="5"/>
      <c r="Q160" s="5"/>
      <c r="R160" s="5"/>
    </row>
    <row r="161" spans="1:18" ht="335.6">
      <c r="A161" s="7" t="s">
        <v>309</v>
      </c>
      <c r="B161" s="13" t="s">
        <v>945</v>
      </c>
      <c r="C161" s="8" t="s">
        <v>946</v>
      </c>
      <c r="D161" s="8" t="s">
        <v>947</v>
      </c>
      <c r="E161" s="8" t="s">
        <v>948</v>
      </c>
      <c r="F161" s="8" t="s">
        <v>949</v>
      </c>
      <c r="G161" s="8" t="s">
        <v>296</v>
      </c>
      <c r="H161" s="8" t="s">
        <v>307</v>
      </c>
      <c r="I161" s="8" t="s">
        <v>796</v>
      </c>
      <c r="J161" s="8" t="s">
        <v>950</v>
      </c>
      <c r="K161" s="8" t="s">
        <v>951</v>
      </c>
      <c r="L161" s="8" t="s">
        <v>17</v>
      </c>
      <c r="M161" s="8"/>
      <c r="N161" s="5"/>
      <c r="O161" s="5"/>
      <c r="P161" s="5"/>
      <c r="Q161" s="5"/>
      <c r="R161" s="5"/>
    </row>
    <row r="162" spans="1:18" ht="409.6">
      <c r="A162" s="7" t="s">
        <v>589</v>
      </c>
      <c r="B162" s="13" t="s">
        <v>952</v>
      </c>
      <c r="C162" s="8" t="s">
        <v>36</v>
      </c>
      <c r="D162" s="8" t="s">
        <v>60</v>
      </c>
      <c r="E162" s="8" t="s">
        <v>88</v>
      </c>
      <c r="F162" s="8" t="s">
        <v>17</v>
      </c>
      <c r="G162" s="8" t="s">
        <v>834</v>
      </c>
      <c r="H162" s="8" t="s">
        <v>17</v>
      </c>
      <c r="I162" s="8" t="s">
        <v>329</v>
      </c>
      <c r="J162" s="8" t="s">
        <v>953</v>
      </c>
      <c r="K162" s="8" t="s">
        <v>17</v>
      </c>
      <c r="L162" s="8" t="s">
        <v>17</v>
      </c>
      <c r="M162" s="8"/>
      <c r="N162" s="5"/>
      <c r="O162" s="5"/>
      <c r="P162" s="5"/>
      <c r="Q162" s="5"/>
      <c r="R162" s="5"/>
    </row>
    <row r="163" spans="1:18" ht="409.6">
      <c r="A163" s="7" t="s">
        <v>954</v>
      </c>
      <c r="B163" s="13" t="s">
        <v>74</v>
      </c>
      <c r="C163" s="8" t="s">
        <v>36</v>
      </c>
      <c r="D163" s="8" t="s">
        <v>60</v>
      </c>
      <c r="E163" s="8" t="s">
        <v>88</v>
      </c>
      <c r="F163" s="8" t="s">
        <v>955</v>
      </c>
      <c r="G163" s="8" t="s">
        <v>956</v>
      </c>
      <c r="H163" s="8" t="s">
        <v>957</v>
      </c>
      <c r="I163" s="8" t="s">
        <v>17</v>
      </c>
      <c r="J163" s="8" t="s">
        <v>958</v>
      </c>
      <c r="K163" s="8" t="s">
        <v>17</v>
      </c>
      <c r="L163" s="8" t="s">
        <v>17</v>
      </c>
      <c r="M163" s="8"/>
      <c r="N163" s="5"/>
      <c r="O163" s="5"/>
      <c r="P163" s="5"/>
      <c r="Q163" s="5"/>
      <c r="R163" s="5"/>
    </row>
    <row r="164" spans="1:18" ht="298.3">
      <c r="A164" s="7" t="s">
        <v>287</v>
      </c>
      <c r="B164" s="13" t="s">
        <v>74</v>
      </c>
      <c r="C164" s="8" t="s">
        <v>17</v>
      </c>
      <c r="D164" s="8" t="s">
        <v>959</v>
      </c>
      <c r="E164" s="8" t="s">
        <v>17</v>
      </c>
      <c r="F164" s="8" t="s">
        <v>17</v>
      </c>
      <c r="G164" s="8" t="s">
        <v>17</v>
      </c>
      <c r="H164" s="8" t="s">
        <v>17</v>
      </c>
      <c r="I164" s="8" t="s">
        <v>17</v>
      </c>
      <c r="J164" s="8" t="s">
        <v>960</v>
      </c>
      <c r="K164" s="8" t="s">
        <v>17</v>
      </c>
      <c r="L164" s="8" t="s">
        <v>17</v>
      </c>
      <c r="M164" s="8"/>
      <c r="N164" s="5"/>
      <c r="O164" s="5"/>
      <c r="P164" s="5"/>
      <c r="Q164" s="5"/>
      <c r="R164" s="5"/>
    </row>
    <row r="165" spans="1:18" ht="409.6">
      <c r="A165" s="7" t="s">
        <v>789</v>
      </c>
      <c r="B165" s="13" t="s">
        <v>790</v>
      </c>
      <c r="C165" s="8" t="s">
        <v>791</v>
      </c>
      <c r="D165" s="8" t="s">
        <v>792</v>
      </c>
      <c r="E165" s="8" t="s">
        <v>793</v>
      </c>
      <c r="F165" s="8" t="s">
        <v>794</v>
      </c>
      <c r="G165" s="8" t="s">
        <v>795</v>
      </c>
      <c r="H165" s="8">
        <v>44743</v>
      </c>
      <c r="I165" s="8" t="s">
        <v>796</v>
      </c>
      <c r="J165" s="8" t="s">
        <v>797</v>
      </c>
      <c r="K165" s="8" t="s">
        <v>17</v>
      </c>
      <c r="L165" s="8" t="s">
        <v>798</v>
      </c>
      <c r="M165" s="8"/>
      <c r="N165" s="5"/>
      <c r="O165" s="5"/>
      <c r="P165" s="5"/>
      <c r="Q165" s="5"/>
      <c r="R165" s="5"/>
    </row>
    <row r="166" spans="1:18" ht="409.6">
      <c r="A166" s="7" t="s">
        <v>961</v>
      </c>
      <c r="B166" s="13" t="s">
        <v>116</v>
      </c>
      <c r="C166" s="8" t="s">
        <v>962</v>
      </c>
      <c r="D166" s="8" t="s">
        <v>963</v>
      </c>
      <c r="E166" s="8" t="s">
        <v>88</v>
      </c>
      <c r="F166" s="8" t="s">
        <v>17</v>
      </c>
      <c r="G166" s="8" t="s">
        <v>964</v>
      </c>
      <c r="H166" s="8" t="s">
        <v>965</v>
      </c>
      <c r="I166" s="8" t="s">
        <v>204</v>
      </c>
      <c r="J166" s="8" t="s">
        <v>966</v>
      </c>
      <c r="K166" s="8" t="s">
        <v>17</v>
      </c>
      <c r="L166" s="8" t="s">
        <v>967</v>
      </c>
      <c r="M166" s="8"/>
      <c r="N166" s="5"/>
      <c r="O166" s="5"/>
      <c r="P166" s="5"/>
      <c r="Q166" s="5"/>
      <c r="R166" s="5"/>
    </row>
    <row r="167" spans="1:18" ht="409.6">
      <c r="A167" s="7" t="s">
        <v>961</v>
      </c>
      <c r="B167" s="13" t="s">
        <v>968</v>
      </c>
      <c r="C167" s="8" t="s">
        <v>969</v>
      </c>
      <c r="D167" s="8" t="s">
        <v>970</v>
      </c>
      <c r="E167" s="8" t="s">
        <v>88</v>
      </c>
      <c r="F167" s="8" t="s">
        <v>971</v>
      </c>
      <c r="G167" s="8" t="s">
        <v>972</v>
      </c>
      <c r="H167" s="8" t="s">
        <v>973</v>
      </c>
      <c r="I167" s="8" t="s">
        <v>17</v>
      </c>
      <c r="J167" s="8" t="s">
        <v>974</v>
      </c>
      <c r="K167" s="8" t="s">
        <v>17</v>
      </c>
      <c r="L167" s="8" t="s">
        <v>975</v>
      </c>
      <c r="M167" s="8"/>
      <c r="N167" s="5"/>
      <c r="O167" s="5"/>
      <c r="P167" s="5"/>
      <c r="Q167" s="5"/>
      <c r="R167" s="5"/>
    </row>
    <row r="168" spans="1:18" ht="372.9">
      <c r="A168" s="7" t="s">
        <v>961</v>
      </c>
      <c r="B168" s="13" t="s">
        <v>976</v>
      </c>
      <c r="C168" s="8" t="s">
        <v>977</v>
      </c>
      <c r="D168" s="8" t="s">
        <v>978</v>
      </c>
      <c r="E168" s="8" t="s">
        <v>88</v>
      </c>
      <c r="F168" s="8" t="s">
        <v>979</v>
      </c>
      <c r="G168" s="8" t="s">
        <v>980</v>
      </c>
      <c r="H168" s="8" t="s">
        <v>965</v>
      </c>
      <c r="I168" s="8" t="s">
        <v>17</v>
      </c>
      <c r="J168" s="8" t="s">
        <v>981</v>
      </c>
      <c r="K168" s="8" t="s">
        <v>17</v>
      </c>
      <c r="L168" s="8" t="s">
        <v>982</v>
      </c>
      <c r="M168" s="8"/>
      <c r="N168" s="5"/>
      <c r="O168" s="5"/>
      <c r="P168" s="5"/>
      <c r="Q168" s="5"/>
      <c r="R168" s="5"/>
    </row>
    <row r="169" spans="1:18" ht="409.6">
      <c r="A169" s="7" t="s">
        <v>961</v>
      </c>
      <c r="B169" s="13" t="s">
        <v>59</v>
      </c>
      <c r="C169" s="8" t="s">
        <v>983</v>
      </c>
      <c r="D169" s="8" t="s">
        <v>978</v>
      </c>
      <c r="E169" s="8" t="s">
        <v>88</v>
      </c>
      <c r="F169" s="8" t="s">
        <v>17</v>
      </c>
      <c r="G169" s="8" t="s">
        <v>984</v>
      </c>
      <c r="H169" s="8" t="s">
        <v>965</v>
      </c>
      <c r="I169" s="8" t="s">
        <v>17</v>
      </c>
      <c r="J169" s="8" t="s">
        <v>985</v>
      </c>
      <c r="K169" s="8" t="s">
        <v>17</v>
      </c>
      <c r="L169" s="8" t="s">
        <v>986</v>
      </c>
      <c r="M169" s="8"/>
      <c r="N169" s="5"/>
      <c r="O169" s="5"/>
      <c r="P169" s="5"/>
      <c r="Q169" s="5"/>
      <c r="R169" s="5"/>
    </row>
    <row r="170" spans="1:18" ht="409.6">
      <c r="A170" s="7" t="s">
        <v>961</v>
      </c>
      <c r="B170" s="13" t="s">
        <v>987</v>
      </c>
      <c r="C170" s="8" t="s">
        <v>977</v>
      </c>
      <c r="D170" s="8" t="s">
        <v>970</v>
      </c>
      <c r="E170" s="8" t="s">
        <v>88</v>
      </c>
      <c r="F170" s="8" t="s">
        <v>988</v>
      </c>
      <c r="G170" s="8" t="s">
        <v>989</v>
      </c>
      <c r="H170" s="8" t="s">
        <v>990</v>
      </c>
      <c r="I170" s="8" t="s">
        <v>17</v>
      </c>
      <c r="J170" s="8" t="s">
        <v>991</v>
      </c>
      <c r="K170" s="8" t="s">
        <v>17</v>
      </c>
      <c r="L170" s="8" t="s">
        <v>992</v>
      </c>
      <c r="M170" s="8"/>
      <c r="N170" s="5"/>
      <c r="O170" s="5"/>
      <c r="P170" s="5"/>
      <c r="Q170" s="5"/>
      <c r="R170" s="5"/>
    </row>
    <row r="171" spans="1:18" ht="409.6">
      <c r="A171" s="7" t="s">
        <v>961</v>
      </c>
      <c r="B171" s="13" t="s">
        <v>993</v>
      </c>
      <c r="C171" s="8" t="s">
        <v>977</v>
      </c>
      <c r="D171" s="8" t="s">
        <v>994</v>
      </c>
      <c r="E171" s="8" t="s">
        <v>88</v>
      </c>
      <c r="F171" s="8" t="s">
        <v>995</v>
      </c>
      <c r="G171" s="8" t="s">
        <v>996</v>
      </c>
      <c r="H171" s="8" t="s">
        <v>997</v>
      </c>
      <c r="I171" s="8" t="s">
        <v>998</v>
      </c>
      <c r="J171" s="8" t="s">
        <v>999</v>
      </c>
      <c r="K171" s="8" t="s">
        <v>17</v>
      </c>
      <c r="L171" s="8" t="s">
        <v>1000</v>
      </c>
      <c r="M171" s="8"/>
      <c r="N171" s="5"/>
      <c r="O171" s="5"/>
      <c r="P171" s="5"/>
      <c r="Q171" s="5"/>
      <c r="R171" s="5"/>
    </row>
    <row r="172" spans="1:18" ht="409.6">
      <c r="A172" s="7" t="s">
        <v>961</v>
      </c>
      <c r="B172" s="13" t="s">
        <v>191</v>
      </c>
      <c r="C172" s="8" t="s">
        <v>977</v>
      </c>
      <c r="D172" s="8" t="s">
        <v>994</v>
      </c>
      <c r="E172" s="8" t="s">
        <v>88</v>
      </c>
      <c r="F172" s="8" t="s">
        <v>1001</v>
      </c>
      <c r="G172" s="8" t="s">
        <v>1002</v>
      </c>
      <c r="H172" s="8" t="s">
        <v>965</v>
      </c>
      <c r="I172" s="8" t="s">
        <v>1003</v>
      </c>
      <c r="J172" s="8" t="s">
        <v>1004</v>
      </c>
      <c r="K172" s="8" t="s">
        <v>17</v>
      </c>
      <c r="L172" s="8" t="s">
        <v>1005</v>
      </c>
      <c r="M172" s="8"/>
      <c r="N172" s="5"/>
      <c r="O172" s="5"/>
      <c r="P172" s="5"/>
      <c r="Q172" s="5"/>
      <c r="R172" s="5"/>
    </row>
    <row r="173" spans="1:18" ht="409.6">
      <c r="A173" s="7" t="s">
        <v>961</v>
      </c>
      <c r="B173" s="13" t="s">
        <v>478</v>
      </c>
      <c r="C173" s="8" t="s">
        <v>1006</v>
      </c>
      <c r="D173" s="8" t="s">
        <v>978</v>
      </c>
      <c r="E173" s="8" t="s">
        <v>88</v>
      </c>
      <c r="F173" s="8" t="s">
        <v>1007</v>
      </c>
      <c r="G173" s="8" t="s">
        <v>980</v>
      </c>
      <c r="H173" s="8" t="s">
        <v>1008</v>
      </c>
      <c r="I173" s="8" t="s">
        <v>17</v>
      </c>
      <c r="J173" s="8" t="s">
        <v>1009</v>
      </c>
      <c r="K173" s="8" t="s">
        <v>17</v>
      </c>
      <c r="L173" s="8" t="s">
        <v>1010</v>
      </c>
      <c r="M173" s="8"/>
      <c r="N173" s="5"/>
      <c r="O173" s="5"/>
      <c r="P173" s="5"/>
      <c r="Q173" s="5"/>
      <c r="R173" s="5"/>
    </row>
    <row r="174" spans="1:18" ht="409.6">
      <c r="A174" s="7" t="s">
        <v>961</v>
      </c>
      <c r="B174" s="13" t="s">
        <v>1011</v>
      </c>
      <c r="C174" s="8" t="s">
        <v>1012</v>
      </c>
      <c r="D174" s="8" t="s">
        <v>978</v>
      </c>
      <c r="E174" s="8" t="s">
        <v>88</v>
      </c>
      <c r="F174" s="8" t="s">
        <v>17</v>
      </c>
      <c r="G174" s="8" t="s">
        <v>984</v>
      </c>
      <c r="H174" s="8">
        <v>44756</v>
      </c>
      <c r="I174" s="8" t="s">
        <v>17</v>
      </c>
      <c r="J174" s="8" t="s">
        <v>1013</v>
      </c>
      <c r="K174" s="8" t="s">
        <v>17</v>
      </c>
      <c r="L174" s="8" t="s">
        <v>1014</v>
      </c>
      <c r="M174" s="8"/>
      <c r="N174" s="5"/>
      <c r="O174" s="5"/>
      <c r="P174" s="5"/>
      <c r="Q174" s="5"/>
      <c r="R174" s="5"/>
    </row>
    <row r="175" spans="1:18" ht="409.6">
      <c r="A175" s="7" t="s">
        <v>1015</v>
      </c>
      <c r="B175" s="13" t="s">
        <v>478</v>
      </c>
      <c r="C175" s="8" t="s">
        <v>1016</v>
      </c>
      <c r="D175" s="8" t="s">
        <v>1017</v>
      </c>
      <c r="E175" s="8" t="s">
        <v>88</v>
      </c>
      <c r="F175" s="8" t="s">
        <v>1018</v>
      </c>
      <c r="G175" s="8" t="s">
        <v>1019</v>
      </c>
      <c r="H175" s="8" t="s">
        <v>1020</v>
      </c>
      <c r="I175" s="8" t="s">
        <v>17</v>
      </c>
      <c r="J175" s="8" t="s">
        <v>1021</v>
      </c>
      <c r="K175" s="8" t="s">
        <v>17</v>
      </c>
      <c r="L175" s="8" t="s">
        <v>1022</v>
      </c>
      <c r="M175" s="8" t="s">
        <v>1023</v>
      </c>
      <c r="N175" s="5"/>
      <c r="O175" s="5"/>
      <c r="P175" s="5"/>
      <c r="Q175" s="5"/>
      <c r="R175" s="5"/>
    </row>
    <row r="176" spans="1:18" ht="409.6">
      <c r="A176" s="7" t="s">
        <v>1024</v>
      </c>
      <c r="B176" s="13" t="s">
        <v>74</v>
      </c>
      <c r="C176" s="8" t="s">
        <v>1025</v>
      </c>
      <c r="D176" s="8" t="s">
        <v>1026</v>
      </c>
      <c r="E176" s="8" t="s">
        <v>88</v>
      </c>
      <c r="F176" s="8" t="s">
        <v>1027</v>
      </c>
      <c r="G176" s="8" t="s">
        <v>1028</v>
      </c>
      <c r="H176" s="8" t="s">
        <v>1029</v>
      </c>
      <c r="I176" s="8" t="s">
        <v>17</v>
      </c>
      <c r="J176" s="8" t="s">
        <v>1030</v>
      </c>
      <c r="K176" s="8" t="s">
        <v>17</v>
      </c>
      <c r="L176" s="8" t="s">
        <v>17</v>
      </c>
      <c r="M176" s="8" t="s">
        <v>1031</v>
      </c>
      <c r="N176" s="5"/>
      <c r="O176" s="5"/>
      <c r="P176" s="5"/>
      <c r="Q176" s="5"/>
      <c r="R176" s="5"/>
    </row>
    <row r="177" spans="1:18" ht="231.45">
      <c r="A177" s="7" t="s">
        <v>612</v>
      </c>
      <c r="B177" s="13" t="s">
        <v>1032</v>
      </c>
      <c r="C177" s="8" t="s">
        <v>17</v>
      </c>
      <c r="D177" s="8" t="s">
        <v>17</v>
      </c>
      <c r="E177" s="8" t="s">
        <v>88</v>
      </c>
      <c r="F177" s="8" t="s">
        <v>1033</v>
      </c>
      <c r="G177" s="8" t="s">
        <v>1034</v>
      </c>
      <c r="H177" s="8" t="s">
        <v>1035</v>
      </c>
      <c r="I177" s="8" t="s">
        <v>17</v>
      </c>
      <c r="J177" s="8" t="s">
        <v>17</v>
      </c>
      <c r="K177" s="8" t="s">
        <v>17</v>
      </c>
      <c r="L177" s="8" t="s">
        <v>1036</v>
      </c>
      <c r="M177" s="8" t="s">
        <v>1037</v>
      </c>
      <c r="N177" s="5"/>
      <c r="O177" s="5"/>
      <c r="P177" s="5"/>
      <c r="Q177" s="5"/>
      <c r="R177" s="5"/>
    </row>
    <row r="178" spans="1:18" ht="409.6">
      <c r="A178" s="7" t="s">
        <v>1038</v>
      </c>
      <c r="B178" s="13" t="s">
        <v>1039</v>
      </c>
      <c r="C178" s="8" t="s">
        <v>1040</v>
      </c>
      <c r="D178" s="8" t="s">
        <v>1041</v>
      </c>
      <c r="E178" s="8" t="s">
        <v>88</v>
      </c>
      <c r="F178" s="8" t="s">
        <v>1042</v>
      </c>
      <c r="G178" s="8" t="s">
        <v>1043</v>
      </c>
      <c r="H178" s="8" t="s">
        <v>1044</v>
      </c>
      <c r="I178" s="8" t="s">
        <v>17</v>
      </c>
      <c r="J178" s="8" t="s">
        <v>1045</v>
      </c>
      <c r="K178" s="8" t="s">
        <v>17</v>
      </c>
      <c r="L178" s="8" t="s">
        <v>1046</v>
      </c>
      <c r="M178" s="8"/>
      <c r="N178" s="5"/>
      <c r="O178" s="5"/>
      <c r="P178" s="5"/>
      <c r="Q178" s="5"/>
      <c r="R178" s="5"/>
    </row>
    <row r="179" spans="1:18" ht="409.6">
      <c r="A179" s="7" t="s">
        <v>1038</v>
      </c>
      <c r="B179" s="13" t="s">
        <v>1047</v>
      </c>
      <c r="C179" s="8" t="s">
        <v>1040</v>
      </c>
      <c r="D179" s="8" t="s">
        <v>1041</v>
      </c>
      <c r="E179" s="8" t="s">
        <v>88</v>
      </c>
      <c r="F179" s="8" t="s">
        <v>1048</v>
      </c>
      <c r="G179" s="8" t="s">
        <v>659</v>
      </c>
      <c r="H179" s="8">
        <v>44743</v>
      </c>
      <c r="I179" s="8" t="s">
        <v>17</v>
      </c>
      <c r="J179" s="8" t="s">
        <v>1049</v>
      </c>
      <c r="K179" s="8" t="s">
        <v>17</v>
      </c>
      <c r="L179" s="8" t="s">
        <v>1050</v>
      </c>
      <c r="M179" s="8"/>
      <c r="N179" s="5"/>
      <c r="O179" s="5"/>
      <c r="P179" s="5"/>
      <c r="Q179" s="5"/>
      <c r="R179" s="5"/>
    </row>
    <row r="180" spans="1:18" ht="298.3">
      <c r="A180" s="7" t="s">
        <v>371</v>
      </c>
      <c r="B180" s="13" t="s">
        <v>59</v>
      </c>
      <c r="C180" s="8" t="s">
        <v>17</v>
      </c>
      <c r="D180" s="8" t="s">
        <v>17</v>
      </c>
      <c r="E180" s="8" t="s">
        <v>88</v>
      </c>
      <c r="F180" s="8" t="s">
        <v>1051</v>
      </c>
      <c r="G180" s="8" t="s">
        <v>1052</v>
      </c>
      <c r="H180" s="8">
        <v>44743</v>
      </c>
      <c r="I180" s="8" t="s">
        <v>17</v>
      </c>
      <c r="J180" s="8" t="s">
        <v>1053</v>
      </c>
      <c r="K180" s="8" t="s">
        <v>17</v>
      </c>
      <c r="L180" s="8" t="s">
        <v>1054</v>
      </c>
      <c r="M180" s="8"/>
      <c r="N180" s="5"/>
      <c r="O180" s="5"/>
      <c r="P180" s="5"/>
      <c r="Q180" s="5"/>
      <c r="R180" s="5"/>
    </row>
    <row r="181" spans="1:18" ht="409.6">
      <c r="A181" s="7" t="s">
        <v>612</v>
      </c>
      <c r="B181" s="13" t="s">
        <v>27</v>
      </c>
      <c r="C181" s="8" t="s">
        <v>1055</v>
      </c>
      <c r="D181" s="8" t="s">
        <v>1056</v>
      </c>
      <c r="E181" s="8" t="s">
        <v>88</v>
      </c>
      <c r="F181" s="8" t="s">
        <v>1057</v>
      </c>
      <c r="G181" s="8" t="s">
        <v>1058</v>
      </c>
      <c r="H181" s="8" t="s">
        <v>1035</v>
      </c>
      <c r="I181" s="8" t="s">
        <v>17</v>
      </c>
      <c r="J181" s="8" t="s">
        <v>1059</v>
      </c>
      <c r="K181" s="8" t="s">
        <v>17</v>
      </c>
      <c r="L181" s="8" t="s">
        <v>1060</v>
      </c>
      <c r="M181" s="8"/>
      <c r="N181" s="5"/>
      <c r="O181" s="5"/>
      <c r="P181" s="5"/>
      <c r="Q181" s="5"/>
      <c r="R181" s="5"/>
    </row>
    <row r="182" spans="1:18" ht="223.75">
      <c r="A182" s="7" t="s">
        <v>333</v>
      </c>
      <c r="B182" s="13" t="s">
        <v>1061</v>
      </c>
      <c r="C182" s="8" t="s">
        <v>52</v>
      </c>
      <c r="D182" s="8" t="s">
        <v>1062</v>
      </c>
      <c r="E182" s="8" t="s">
        <v>1063</v>
      </c>
      <c r="F182" s="8" t="s">
        <v>1064</v>
      </c>
      <c r="G182" s="8" t="s">
        <v>1065</v>
      </c>
      <c r="H182" s="8" t="s">
        <v>1066</v>
      </c>
      <c r="I182" s="8" t="s">
        <v>625</v>
      </c>
      <c r="J182" s="8" t="s">
        <v>1067</v>
      </c>
      <c r="K182" s="8" t="s">
        <v>1068</v>
      </c>
      <c r="L182" s="8" t="s">
        <v>1069</v>
      </c>
      <c r="M182" s="8"/>
      <c r="N182" s="5"/>
      <c r="O182" s="5"/>
      <c r="P182" s="5"/>
      <c r="Q182" s="5"/>
      <c r="R182" s="5"/>
    </row>
    <row r="183" spans="1:18" ht="223.75">
      <c r="A183" s="7" t="s">
        <v>1070</v>
      </c>
      <c r="B183" s="13" t="s">
        <v>1071</v>
      </c>
      <c r="C183" s="8" t="s">
        <v>52</v>
      </c>
      <c r="D183" s="8" t="s">
        <v>17</v>
      </c>
      <c r="E183" s="8" t="s">
        <v>88</v>
      </c>
      <c r="F183" s="8" t="s">
        <v>1072</v>
      </c>
      <c r="G183" s="8" t="s">
        <v>1073</v>
      </c>
      <c r="H183" s="8" t="s">
        <v>764</v>
      </c>
      <c r="I183" s="8" t="s">
        <v>17</v>
      </c>
      <c r="J183" s="8" t="s">
        <v>17</v>
      </c>
      <c r="K183" s="8" t="s">
        <v>17</v>
      </c>
      <c r="L183" s="8" t="s">
        <v>1074</v>
      </c>
      <c r="M183" s="8"/>
      <c r="N183" s="5"/>
      <c r="O183" s="5"/>
      <c r="P183" s="5"/>
      <c r="Q183" s="5"/>
      <c r="R183" s="5"/>
    </row>
    <row r="184" spans="1:18" ht="409.6">
      <c r="A184" s="7" t="s">
        <v>789</v>
      </c>
      <c r="B184" s="13" t="s">
        <v>1075</v>
      </c>
      <c r="C184" s="8" t="s">
        <v>1076</v>
      </c>
      <c r="D184" s="8" t="s">
        <v>1077</v>
      </c>
      <c r="E184" s="8" t="s">
        <v>88</v>
      </c>
      <c r="F184" s="8" t="s">
        <v>1078</v>
      </c>
      <c r="G184" s="8" t="s">
        <v>1079</v>
      </c>
      <c r="H184" s="8" t="s">
        <v>1080</v>
      </c>
      <c r="I184" s="8" t="s">
        <v>1081</v>
      </c>
      <c r="J184" s="8" t="s">
        <v>1082</v>
      </c>
      <c r="K184" s="8" t="s">
        <v>17</v>
      </c>
      <c r="L184" s="8" t="s">
        <v>17</v>
      </c>
      <c r="M184" s="8"/>
      <c r="N184" s="5"/>
      <c r="O184" s="5"/>
      <c r="P184" s="5"/>
      <c r="Q184" s="5"/>
      <c r="R184" s="5"/>
    </row>
    <row r="185" spans="1:18" ht="231.45">
      <c r="A185" s="7" t="s">
        <v>789</v>
      </c>
      <c r="B185" s="13" t="s">
        <v>1083</v>
      </c>
      <c r="C185" s="8" t="s">
        <v>1084</v>
      </c>
      <c r="D185" s="8" t="s">
        <v>1085</v>
      </c>
      <c r="E185" s="8" t="s">
        <v>88</v>
      </c>
      <c r="F185" s="8" t="s">
        <v>1086</v>
      </c>
      <c r="G185" s="8" t="s">
        <v>1087</v>
      </c>
      <c r="H185" s="8" t="s">
        <v>593</v>
      </c>
      <c r="I185" s="8" t="s">
        <v>675</v>
      </c>
      <c r="J185" s="8" t="s">
        <v>1088</v>
      </c>
      <c r="K185" s="8" t="s">
        <v>17</v>
      </c>
      <c r="L185" s="8" t="s">
        <v>17</v>
      </c>
      <c r="M185" s="8"/>
      <c r="N185" s="5"/>
      <c r="O185" s="5"/>
      <c r="P185" s="5"/>
      <c r="Q185" s="5"/>
      <c r="R185" s="5"/>
    </row>
    <row r="186" spans="1:18" ht="409.6">
      <c r="A186" s="7" t="s">
        <v>589</v>
      </c>
      <c r="B186" s="13" t="s">
        <v>1089</v>
      </c>
      <c r="C186" s="8" t="s">
        <v>36</v>
      </c>
      <c r="D186" s="8" t="s">
        <v>60</v>
      </c>
      <c r="E186" s="8" t="s">
        <v>88</v>
      </c>
      <c r="F186" s="8" t="s">
        <v>17</v>
      </c>
      <c r="G186" s="8" t="s">
        <v>1090</v>
      </c>
      <c r="H186" s="8" t="s">
        <v>17</v>
      </c>
      <c r="I186" s="8" t="s">
        <v>1091</v>
      </c>
      <c r="J186" s="8" t="s">
        <v>1092</v>
      </c>
      <c r="K186" s="8" t="s">
        <v>17</v>
      </c>
      <c r="L186" s="8" t="s">
        <v>17</v>
      </c>
      <c r="M186" s="8"/>
      <c r="N186" s="5"/>
      <c r="O186" s="5"/>
      <c r="P186" s="5"/>
      <c r="Q186" s="5"/>
      <c r="R186" s="5"/>
    </row>
    <row r="187" spans="1:18" ht="409.6">
      <c r="A187" s="7" t="s">
        <v>20</v>
      </c>
      <c r="B187" s="13" t="s">
        <v>74</v>
      </c>
      <c r="C187" s="8" t="s">
        <v>17</v>
      </c>
      <c r="D187" s="8" t="s">
        <v>17</v>
      </c>
      <c r="E187" s="8" t="s">
        <v>720</v>
      </c>
      <c r="F187" s="8" t="s">
        <v>1093</v>
      </c>
      <c r="G187" s="8" t="s">
        <v>1090</v>
      </c>
      <c r="H187" s="8" t="s">
        <v>1094</v>
      </c>
      <c r="I187" s="8" t="s">
        <v>1095</v>
      </c>
      <c r="J187" s="8" t="s">
        <v>1096</v>
      </c>
      <c r="K187" s="8" t="s">
        <v>17</v>
      </c>
      <c r="L187" s="8" t="s">
        <v>1097</v>
      </c>
      <c r="M187" s="8"/>
      <c r="N187" s="5"/>
      <c r="O187" s="5"/>
      <c r="P187" s="5"/>
      <c r="Q187" s="5"/>
      <c r="R187" s="5"/>
    </row>
    <row r="188" spans="1:18" ht="261">
      <c r="A188" s="7" t="s">
        <v>109</v>
      </c>
      <c r="B188" s="13" t="s">
        <v>1098</v>
      </c>
      <c r="C188" s="8" t="s">
        <v>1099</v>
      </c>
      <c r="D188" s="8" t="s">
        <v>466</v>
      </c>
      <c r="E188" s="8" t="s">
        <v>88</v>
      </c>
      <c r="F188" s="8" t="s">
        <v>17</v>
      </c>
      <c r="G188" s="8" t="s">
        <v>1100</v>
      </c>
      <c r="H188" s="8" t="s">
        <v>1101</v>
      </c>
      <c r="I188" s="8" t="s">
        <v>17</v>
      </c>
      <c r="J188" s="8" t="s">
        <v>1102</v>
      </c>
      <c r="K188" s="8" t="s">
        <v>17</v>
      </c>
      <c r="L188" s="8" t="s">
        <v>1103</v>
      </c>
      <c r="M188" s="8" t="s">
        <v>1104</v>
      </c>
      <c r="N188" s="5"/>
      <c r="O188" s="5"/>
      <c r="P188" s="5"/>
      <c r="Q188" s="5"/>
      <c r="R188" s="5"/>
    </row>
    <row r="189" spans="1:18" ht="409.6">
      <c r="A189" s="7" t="s">
        <v>789</v>
      </c>
      <c r="B189" s="13" t="s">
        <v>59</v>
      </c>
      <c r="C189" s="8" t="s">
        <v>1105</v>
      </c>
      <c r="D189" s="8" t="s">
        <v>1106</v>
      </c>
      <c r="E189" s="8" t="s">
        <v>88</v>
      </c>
      <c r="F189" s="8" t="s">
        <v>1107</v>
      </c>
      <c r="G189" s="8" t="s">
        <v>1108</v>
      </c>
      <c r="H189" s="8" t="s">
        <v>1109</v>
      </c>
      <c r="I189" s="8" t="s">
        <v>512</v>
      </c>
      <c r="J189" s="8" t="s">
        <v>1110</v>
      </c>
      <c r="K189" s="8" t="s">
        <v>17</v>
      </c>
      <c r="L189" s="8" t="s">
        <v>1111</v>
      </c>
      <c r="M189" s="8"/>
      <c r="N189" s="5"/>
      <c r="O189" s="5"/>
      <c r="P189" s="5"/>
      <c r="Q189" s="5"/>
      <c r="R189" s="5"/>
    </row>
    <row r="190" spans="1:18" ht="409.6">
      <c r="A190" s="7" t="s">
        <v>50</v>
      </c>
      <c r="B190" s="13" t="s">
        <v>1112</v>
      </c>
      <c r="C190" s="8" t="s">
        <v>1113</v>
      </c>
      <c r="D190" s="8" t="s">
        <v>1114</v>
      </c>
      <c r="E190" s="8" t="s">
        <v>88</v>
      </c>
      <c r="F190" s="8" t="s">
        <v>1115</v>
      </c>
      <c r="G190" s="8" t="s">
        <v>1116</v>
      </c>
      <c r="H190" s="8" t="s">
        <v>1117</v>
      </c>
      <c r="I190" s="8" t="s">
        <v>17</v>
      </c>
      <c r="J190" s="8" t="s">
        <v>1118</v>
      </c>
      <c r="K190" s="8" t="s">
        <v>17</v>
      </c>
      <c r="L190" s="8" t="s">
        <v>17</v>
      </c>
      <c r="M190" s="8"/>
      <c r="N190" s="5"/>
      <c r="O190" s="5"/>
      <c r="P190" s="5"/>
      <c r="Q190" s="5"/>
      <c r="R190" s="5"/>
    </row>
    <row r="191" spans="1:18" ht="231.45">
      <c r="A191" s="7" t="s">
        <v>287</v>
      </c>
      <c r="B191" s="13" t="s">
        <v>1119</v>
      </c>
      <c r="C191" s="8" t="s">
        <v>1120</v>
      </c>
      <c r="D191" s="8" t="s">
        <v>1121</v>
      </c>
      <c r="E191" s="8" t="s">
        <v>1063</v>
      </c>
      <c r="F191" s="8" t="s">
        <v>1122</v>
      </c>
      <c r="G191" s="8" t="s">
        <v>1123</v>
      </c>
      <c r="H191" s="8" t="s">
        <v>307</v>
      </c>
      <c r="I191" s="8" t="s">
        <v>17</v>
      </c>
      <c r="J191" s="8" t="s">
        <v>17</v>
      </c>
      <c r="K191" s="8" t="s">
        <v>17</v>
      </c>
      <c r="L191" s="8" t="s">
        <v>1124</v>
      </c>
      <c r="M191" s="8"/>
      <c r="N191" s="5"/>
      <c r="O191" s="5"/>
      <c r="P191" s="5"/>
      <c r="Q191" s="5"/>
      <c r="R191" s="5"/>
    </row>
    <row r="192" spans="1:18" ht="409.6">
      <c r="A192" s="7" t="s">
        <v>789</v>
      </c>
      <c r="B192" s="13" t="s">
        <v>478</v>
      </c>
      <c r="C192" s="8" t="s">
        <v>1076</v>
      </c>
      <c r="D192" s="8" t="s">
        <v>1125</v>
      </c>
      <c r="E192" s="8" t="s">
        <v>88</v>
      </c>
      <c r="F192" s="8" t="s">
        <v>1126</v>
      </c>
      <c r="G192" s="8" t="s">
        <v>980</v>
      </c>
      <c r="H192" s="8" t="s">
        <v>1127</v>
      </c>
      <c r="I192" s="8" t="s">
        <v>17</v>
      </c>
      <c r="J192" s="8" t="s">
        <v>1128</v>
      </c>
      <c r="K192" s="8" t="s">
        <v>17</v>
      </c>
      <c r="L192" s="8" t="s">
        <v>1129</v>
      </c>
      <c r="M192" s="8"/>
      <c r="N192" s="5"/>
      <c r="O192" s="5"/>
      <c r="P192" s="5"/>
      <c r="Q192" s="5"/>
      <c r="R192" s="5"/>
    </row>
    <row r="193" spans="1:18" ht="409.6">
      <c r="A193" s="7" t="s">
        <v>1130</v>
      </c>
      <c r="B193" s="13" t="s">
        <v>1131</v>
      </c>
      <c r="C193" s="8" t="s">
        <v>1132</v>
      </c>
      <c r="D193" s="8" t="s">
        <v>1133</v>
      </c>
      <c r="E193" s="8" t="s">
        <v>88</v>
      </c>
      <c r="F193" s="8" t="s">
        <v>1134</v>
      </c>
      <c r="G193" s="8" t="s">
        <v>1135</v>
      </c>
      <c r="H193" s="8" t="s">
        <v>1066</v>
      </c>
      <c r="I193" s="8" t="s">
        <v>17</v>
      </c>
      <c r="J193" s="8" t="s">
        <v>1136</v>
      </c>
      <c r="K193" s="8" t="s">
        <v>17</v>
      </c>
      <c r="L193" s="8" t="s">
        <v>1137</v>
      </c>
      <c r="M193" s="8"/>
      <c r="N193" s="5"/>
      <c r="O193" s="5"/>
      <c r="P193" s="5"/>
      <c r="Q193" s="5"/>
      <c r="R193" s="5"/>
    </row>
    <row r="194" spans="1:18" ht="335.6">
      <c r="A194" s="7" t="s">
        <v>1138</v>
      </c>
      <c r="B194" s="13" t="s">
        <v>1139</v>
      </c>
      <c r="C194" s="8" t="s">
        <v>17</v>
      </c>
      <c r="D194" s="8" t="s">
        <v>17</v>
      </c>
      <c r="E194" s="8" t="s">
        <v>88</v>
      </c>
      <c r="F194" s="8" t="s">
        <v>17</v>
      </c>
      <c r="G194" s="8" t="s">
        <v>1140</v>
      </c>
      <c r="H194" s="8">
        <v>44743</v>
      </c>
      <c r="I194" s="8" t="s">
        <v>17</v>
      </c>
      <c r="J194" s="8" t="s">
        <v>1141</v>
      </c>
      <c r="K194" s="8" t="s">
        <v>17</v>
      </c>
      <c r="L194" s="8" t="s">
        <v>1142</v>
      </c>
      <c r="M194" s="8"/>
      <c r="N194" s="5"/>
      <c r="O194" s="5"/>
      <c r="P194" s="5"/>
      <c r="Q194" s="5"/>
      <c r="R194" s="5"/>
    </row>
    <row r="195" spans="1:18" ht="409.6">
      <c r="A195" s="7" t="s">
        <v>287</v>
      </c>
      <c r="B195" s="13" t="s">
        <v>1143</v>
      </c>
      <c r="C195" s="8" t="s">
        <v>1144</v>
      </c>
      <c r="D195" s="8" t="s">
        <v>17</v>
      </c>
      <c r="E195" s="8" t="s">
        <v>17</v>
      </c>
      <c r="F195" s="8" t="s">
        <v>17</v>
      </c>
      <c r="G195" s="8" t="s">
        <v>1145</v>
      </c>
      <c r="H195" s="8" t="s">
        <v>1146</v>
      </c>
      <c r="I195" s="8" t="s">
        <v>17</v>
      </c>
      <c r="J195" s="8" t="s">
        <v>1147</v>
      </c>
      <c r="K195" s="8" t="s">
        <v>17</v>
      </c>
      <c r="L195" s="8" t="s">
        <v>17</v>
      </c>
      <c r="M195" s="8"/>
      <c r="N195" s="5"/>
      <c r="O195" s="5"/>
      <c r="P195" s="5"/>
      <c r="Q195" s="5"/>
      <c r="R195" s="5"/>
    </row>
    <row r="196" spans="1:18" ht="409.6">
      <c r="A196" s="7" t="s">
        <v>1148</v>
      </c>
      <c r="B196" s="13" t="s">
        <v>1149</v>
      </c>
      <c r="C196" s="8" t="s">
        <v>17</v>
      </c>
      <c r="D196" s="8" t="s">
        <v>17</v>
      </c>
      <c r="E196" s="8" t="s">
        <v>88</v>
      </c>
      <c r="F196" s="8" t="s">
        <v>1150</v>
      </c>
      <c r="G196" s="8" t="s">
        <v>1151</v>
      </c>
      <c r="H196" s="8" t="s">
        <v>1152</v>
      </c>
      <c r="I196" s="8" t="s">
        <v>17</v>
      </c>
      <c r="J196" s="8" t="s">
        <v>1153</v>
      </c>
      <c r="K196" s="8" t="s">
        <v>17</v>
      </c>
      <c r="L196" s="8" t="s">
        <v>17</v>
      </c>
      <c r="M196" s="8"/>
      <c r="N196" s="5"/>
      <c r="O196" s="5"/>
      <c r="P196" s="5"/>
      <c r="Q196" s="5"/>
      <c r="R196" s="5"/>
    </row>
    <row r="197" spans="1:18" ht="298.3">
      <c r="A197" s="7" t="s">
        <v>1148</v>
      </c>
      <c r="B197" s="13" t="s">
        <v>1154</v>
      </c>
      <c r="C197" s="8" t="s">
        <v>1155</v>
      </c>
      <c r="D197" s="8" t="s">
        <v>892</v>
      </c>
      <c r="E197" s="8" t="s">
        <v>88</v>
      </c>
      <c r="F197" s="8" t="s">
        <v>1156</v>
      </c>
      <c r="G197" s="8" t="s">
        <v>1157</v>
      </c>
      <c r="H197" s="8" t="s">
        <v>1158</v>
      </c>
      <c r="I197" s="8" t="s">
        <v>402</v>
      </c>
      <c r="J197" s="8" t="s">
        <v>1159</v>
      </c>
      <c r="K197" s="8" t="s">
        <v>1160</v>
      </c>
      <c r="L197" s="8" t="s">
        <v>1160</v>
      </c>
      <c r="M197" s="8"/>
      <c r="N197" s="5"/>
      <c r="O197" s="5"/>
      <c r="P197" s="5"/>
      <c r="Q197" s="5"/>
      <c r="R197" s="5"/>
    </row>
    <row r="198" spans="1:18" ht="409.6">
      <c r="A198" s="7" t="s">
        <v>1015</v>
      </c>
      <c r="B198" s="13" t="s">
        <v>116</v>
      </c>
      <c r="C198" s="8" t="s">
        <v>75</v>
      </c>
      <c r="D198" s="8" t="s">
        <v>17</v>
      </c>
      <c r="E198" s="8" t="s">
        <v>88</v>
      </c>
      <c r="F198" s="8" t="s">
        <v>1161</v>
      </c>
      <c r="G198" s="8" t="s">
        <v>1162</v>
      </c>
      <c r="H198" s="8" t="s">
        <v>1163</v>
      </c>
      <c r="I198" s="8" t="s">
        <v>1164</v>
      </c>
      <c r="J198" s="8" t="s">
        <v>1165</v>
      </c>
      <c r="K198" s="8" t="s">
        <v>1166</v>
      </c>
      <c r="L198" s="8" t="s">
        <v>1166</v>
      </c>
      <c r="M198" s="8"/>
      <c r="N198" s="5"/>
      <c r="O198" s="5"/>
      <c r="P198" s="5"/>
      <c r="Q198" s="5"/>
      <c r="R198" s="5"/>
    </row>
    <row r="199" spans="1:18" ht="409.6">
      <c r="A199" s="7" t="s">
        <v>50</v>
      </c>
      <c r="B199" s="13" t="s">
        <v>1167</v>
      </c>
      <c r="C199" s="8" t="s">
        <v>36</v>
      </c>
      <c r="D199" s="8" t="s">
        <v>1168</v>
      </c>
      <c r="E199" s="8" t="s">
        <v>88</v>
      </c>
      <c r="F199" s="8" t="s">
        <v>1169</v>
      </c>
      <c r="G199" s="8" t="s">
        <v>1170</v>
      </c>
      <c r="H199" s="8" t="s">
        <v>1171</v>
      </c>
      <c r="I199" s="8" t="s">
        <v>1172</v>
      </c>
      <c r="J199" s="8" t="s">
        <v>1173</v>
      </c>
      <c r="K199" s="8" t="s">
        <v>17</v>
      </c>
      <c r="L199" s="8" t="s">
        <v>17</v>
      </c>
      <c r="M199" s="8"/>
      <c r="N199" s="5"/>
      <c r="O199" s="5"/>
      <c r="P199" s="5"/>
      <c r="Q199" s="5"/>
      <c r="R199" s="5"/>
    </row>
    <row r="200" spans="1:18" ht="409.6">
      <c r="A200" s="7" t="s">
        <v>789</v>
      </c>
      <c r="B200" s="13" t="s">
        <v>1174</v>
      </c>
      <c r="C200" s="8" t="s">
        <v>791</v>
      </c>
      <c r="D200" s="8" t="s">
        <v>1175</v>
      </c>
      <c r="E200" s="8" t="s">
        <v>88</v>
      </c>
      <c r="F200" s="8" t="s">
        <v>1176</v>
      </c>
      <c r="G200" s="8" t="s">
        <v>1177</v>
      </c>
      <c r="H200" s="8" t="s">
        <v>1178</v>
      </c>
      <c r="I200" s="8" t="s">
        <v>1179</v>
      </c>
      <c r="J200" s="8" t="s">
        <v>1180</v>
      </c>
      <c r="K200" s="8" t="s">
        <v>17</v>
      </c>
      <c r="L200" s="8" t="s">
        <v>17</v>
      </c>
      <c r="M200" s="8"/>
      <c r="N200" s="5"/>
      <c r="O200" s="5"/>
      <c r="P200" s="5"/>
      <c r="Q200" s="5"/>
      <c r="R200" s="5"/>
    </row>
    <row r="201" spans="1:18" ht="409.6">
      <c r="A201" s="7" t="s">
        <v>789</v>
      </c>
      <c r="B201" s="13" t="s">
        <v>1181</v>
      </c>
      <c r="C201" s="8" t="s">
        <v>1182</v>
      </c>
      <c r="D201" s="8" t="s">
        <v>1183</v>
      </c>
      <c r="E201" s="8" t="s">
        <v>88</v>
      </c>
      <c r="F201" s="8" t="s">
        <v>1184</v>
      </c>
      <c r="G201" s="8" t="s">
        <v>1157</v>
      </c>
      <c r="H201" s="8" t="s">
        <v>1185</v>
      </c>
      <c r="I201" s="8" t="s">
        <v>1186</v>
      </c>
      <c r="J201" s="8" t="s">
        <v>1187</v>
      </c>
      <c r="K201" s="8" t="s">
        <v>17</v>
      </c>
      <c r="L201" s="8" t="s">
        <v>1188</v>
      </c>
      <c r="M201" s="8"/>
      <c r="N201" s="5"/>
      <c r="O201" s="5"/>
      <c r="P201" s="5"/>
      <c r="Q201" s="5"/>
      <c r="R201" s="5"/>
    </row>
    <row r="202" spans="1:18" ht="409.6">
      <c r="A202" s="7" t="s">
        <v>1189</v>
      </c>
      <c r="B202" s="13" t="s">
        <v>43</v>
      </c>
      <c r="C202" s="8" t="s">
        <v>17</v>
      </c>
      <c r="D202" s="8" t="s">
        <v>17</v>
      </c>
      <c r="E202" s="8" t="s">
        <v>88</v>
      </c>
      <c r="F202" s="8" t="s">
        <v>17</v>
      </c>
      <c r="G202" s="8" t="s">
        <v>1190</v>
      </c>
      <c r="H202" s="8" t="s">
        <v>17</v>
      </c>
      <c r="I202" s="8" t="s">
        <v>17</v>
      </c>
      <c r="J202" s="8" t="s">
        <v>1191</v>
      </c>
      <c r="K202" s="8" t="s">
        <v>1192</v>
      </c>
      <c r="L202" s="8" t="s">
        <v>1193</v>
      </c>
      <c r="M202" s="8"/>
      <c r="N202" s="5"/>
      <c r="O202" s="5"/>
      <c r="P202" s="5"/>
      <c r="Q202" s="5"/>
      <c r="R202" s="5"/>
    </row>
    <row r="203" spans="1:18" ht="409.6">
      <c r="A203" s="7" t="s">
        <v>961</v>
      </c>
      <c r="B203" s="13" t="s">
        <v>1194</v>
      </c>
      <c r="C203" s="8" t="s">
        <v>977</v>
      </c>
      <c r="D203" s="8" t="s">
        <v>1195</v>
      </c>
      <c r="E203" s="8" t="s">
        <v>88</v>
      </c>
      <c r="F203" s="8" t="s">
        <v>1196</v>
      </c>
      <c r="G203" s="8" t="s">
        <v>1197</v>
      </c>
      <c r="H203" s="8" t="s">
        <v>973</v>
      </c>
      <c r="I203" s="8" t="s">
        <v>17</v>
      </c>
      <c r="J203" s="8" t="s">
        <v>1198</v>
      </c>
      <c r="K203" s="8" t="s">
        <v>17</v>
      </c>
      <c r="L203" s="8" t="s">
        <v>1199</v>
      </c>
      <c r="M203" s="8"/>
      <c r="N203" s="5"/>
      <c r="O203" s="5"/>
      <c r="P203" s="5"/>
      <c r="Q203" s="5"/>
      <c r="R203" s="5"/>
    </row>
    <row r="204" spans="1:18" ht="409.6">
      <c r="A204" s="7" t="s">
        <v>961</v>
      </c>
      <c r="B204" s="13" t="s">
        <v>785</v>
      </c>
      <c r="C204" s="8" t="s">
        <v>977</v>
      </c>
      <c r="D204" s="8" t="s">
        <v>970</v>
      </c>
      <c r="E204" s="8" t="s">
        <v>88</v>
      </c>
      <c r="F204" s="8" t="s">
        <v>1200</v>
      </c>
      <c r="G204" s="8" t="s">
        <v>1201</v>
      </c>
      <c r="H204" s="8" t="s">
        <v>990</v>
      </c>
      <c r="I204" s="8" t="s">
        <v>17</v>
      </c>
      <c r="J204" s="8" t="s">
        <v>1202</v>
      </c>
      <c r="K204" s="8" t="s">
        <v>17</v>
      </c>
      <c r="L204" s="8" t="s">
        <v>1203</v>
      </c>
      <c r="M204" s="8"/>
      <c r="N204" s="5"/>
      <c r="O204" s="5"/>
      <c r="P204" s="5"/>
      <c r="Q204" s="5"/>
      <c r="R204" s="5"/>
    </row>
    <row r="205" spans="1:18" ht="409.6">
      <c r="A205" s="7" t="s">
        <v>961</v>
      </c>
      <c r="B205" s="13" t="s">
        <v>1204</v>
      </c>
      <c r="C205" s="8" t="s">
        <v>1205</v>
      </c>
      <c r="D205" s="8" t="s">
        <v>1206</v>
      </c>
      <c r="E205" s="8" t="s">
        <v>88</v>
      </c>
      <c r="F205" s="8" t="s">
        <v>1207</v>
      </c>
      <c r="G205" s="8" t="s">
        <v>972</v>
      </c>
      <c r="H205" s="8" t="s">
        <v>1208</v>
      </c>
      <c r="I205" s="8" t="s">
        <v>17</v>
      </c>
      <c r="J205" s="8" t="s">
        <v>1209</v>
      </c>
      <c r="K205" s="8" t="s">
        <v>17</v>
      </c>
      <c r="L205" s="8" t="s">
        <v>1210</v>
      </c>
      <c r="M205" s="8"/>
      <c r="N205" s="5"/>
      <c r="O205" s="5"/>
      <c r="P205" s="5"/>
      <c r="Q205" s="5"/>
      <c r="R205" s="5"/>
    </row>
    <row r="206" spans="1:18" ht="409.6">
      <c r="A206" s="7" t="s">
        <v>961</v>
      </c>
      <c r="B206" s="13" t="s">
        <v>390</v>
      </c>
      <c r="C206" s="8" t="s">
        <v>1205</v>
      </c>
      <c r="D206" s="8" t="s">
        <v>1206</v>
      </c>
      <c r="E206" s="8" t="s">
        <v>88</v>
      </c>
      <c r="F206" s="8" t="s">
        <v>1211</v>
      </c>
      <c r="G206" s="8" t="s">
        <v>1212</v>
      </c>
      <c r="H206" s="8" t="s">
        <v>990</v>
      </c>
      <c r="I206" s="8" t="s">
        <v>17</v>
      </c>
      <c r="J206" s="8" t="s">
        <v>1213</v>
      </c>
      <c r="K206" s="8" t="s">
        <v>17</v>
      </c>
      <c r="L206" s="8" t="s">
        <v>1210</v>
      </c>
      <c r="M206" s="8"/>
      <c r="N206" s="5"/>
      <c r="O206" s="5"/>
      <c r="P206" s="5"/>
      <c r="Q206" s="5"/>
      <c r="R206" s="5"/>
    </row>
    <row r="207" spans="1:18" ht="335.6">
      <c r="A207" s="7" t="s">
        <v>50</v>
      </c>
      <c r="B207" s="13" t="s">
        <v>824</v>
      </c>
      <c r="C207" s="8" t="s">
        <v>1214</v>
      </c>
      <c r="D207" s="8" t="s">
        <v>60</v>
      </c>
      <c r="E207" s="8" t="s">
        <v>88</v>
      </c>
      <c r="F207" s="8" t="s">
        <v>17</v>
      </c>
      <c r="G207" s="8">
        <v>44750</v>
      </c>
      <c r="H207" s="8" t="s">
        <v>1215</v>
      </c>
      <c r="I207" s="8" t="s">
        <v>1216</v>
      </c>
      <c r="J207" s="8" t="s">
        <v>1217</v>
      </c>
      <c r="K207" s="8" t="s">
        <v>17</v>
      </c>
      <c r="L207" s="8" t="s">
        <v>17</v>
      </c>
      <c r="M207" s="8"/>
      <c r="N207" s="5"/>
      <c r="O207" s="5"/>
      <c r="P207" s="5"/>
      <c r="Q207" s="5"/>
      <c r="R207" s="5"/>
    </row>
    <row r="208" spans="1:18" ht="409.6">
      <c r="A208" s="7" t="s">
        <v>50</v>
      </c>
      <c r="B208" s="13" t="s">
        <v>1218</v>
      </c>
      <c r="C208" s="8" t="s">
        <v>1219</v>
      </c>
      <c r="D208" s="8" t="s">
        <v>1220</v>
      </c>
      <c r="E208" s="8" t="s">
        <v>88</v>
      </c>
      <c r="F208" s="8" t="s">
        <v>1221</v>
      </c>
      <c r="G208" s="8" t="s">
        <v>1222</v>
      </c>
      <c r="H208" s="8" t="s">
        <v>1223</v>
      </c>
      <c r="I208" s="8" t="s">
        <v>17</v>
      </c>
      <c r="J208" s="8" t="s">
        <v>1224</v>
      </c>
      <c r="K208" s="8" t="s">
        <v>17</v>
      </c>
      <c r="L208" s="8" t="s">
        <v>1225</v>
      </c>
      <c r="M208" s="8"/>
      <c r="N208" s="5"/>
      <c r="O208" s="5"/>
      <c r="P208" s="5"/>
      <c r="Q208" s="5"/>
      <c r="R208" s="5"/>
    </row>
    <row r="209" spans="1:18" ht="270">
      <c r="A209" s="7" t="s">
        <v>1226</v>
      </c>
      <c r="B209" s="13" t="s">
        <v>1227</v>
      </c>
      <c r="C209" s="8" t="s">
        <v>1228</v>
      </c>
      <c r="D209" s="8" t="s">
        <v>1229</v>
      </c>
      <c r="E209" s="8" t="s">
        <v>1230</v>
      </c>
      <c r="F209" s="8" t="s">
        <v>1231</v>
      </c>
      <c r="G209" s="8" t="s">
        <v>1232</v>
      </c>
      <c r="H209" s="8" t="s">
        <v>1233</v>
      </c>
      <c r="I209" s="8" t="s">
        <v>1234</v>
      </c>
      <c r="J209" s="8" t="s">
        <v>1235</v>
      </c>
      <c r="K209" s="8" t="s">
        <v>17</v>
      </c>
      <c r="L209" s="8" t="s">
        <v>1236</v>
      </c>
      <c r="M209" s="8"/>
      <c r="N209" s="5"/>
      <c r="O209" s="5"/>
      <c r="P209" s="5"/>
      <c r="Q209" s="5"/>
      <c r="R209" s="5"/>
    </row>
    <row r="210" spans="1:18" ht="270">
      <c r="A210" s="7" t="s">
        <v>1226</v>
      </c>
      <c r="B210" s="13" t="s">
        <v>1237</v>
      </c>
      <c r="C210" s="8" t="s">
        <v>1238</v>
      </c>
      <c r="D210" s="8" t="s">
        <v>17</v>
      </c>
      <c r="E210" s="8" t="s">
        <v>88</v>
      </c>
      <c r="F210" s="8" t="s">
        <v>1239</v>
      </c>
      <c r="G210" s="8" t="s">
        <v>1240</v>
      </c>
      <c r="H210" s="8" t="s">
        <v>1241</v>
      </c>
      <c r="I210" s="8" t="s">
        <v>17</v>
      </c>
      <c r="J210" s="8" t="s">
        <v>1242</v>
      </c>
      <c r="K210" s="8" t="s">
        <v>17</v>
      </c>
      <c r="L210" s="8" t="s">
        <v>17</v>
      </c>
      <c r="M210" s="8"/>
      <c r="N210" s="5"/>
      <c r="O210" s="5"/>
      <c r="P210" s="5"/>
      <c r="Q210" s="5"/>
      <c r="R210" s="5"/>
    </row>
    <row r="211" spans="1:18" ht="409.6">
      <c r="A211" s="7" t="s">
        <v>50</v>
      </c>
      <c r="B211" s="13" t="s">
        <v>1243</v>
      </c>
      <c r="C211" s="8" t="s">
        <v>1244</v>
      </c>
      <c r="D211" s="8" t="s">
        <v>17</v>
      </c>
      <c r="E211" s="8" t="s">
        <v>88</v>
      </c>
      <c r="F211" s="8" t="s">
        <v>1245</v>
      </c>
      <c r="G211" s="8" t="s">
        <v>1246</v>
      </c>
      <c r="H211" s="8">
        <v>44743</v>
      </c>
      <c r="I211" s="8" t="s">
        <v>17</v>
      </c>
      <c r="J211" s="8" t="s">
        <v>1247</v>
      </c>
      <c r="K211" s="8" t="s">
        <v>17</v>
      </c>
      <c r="L211" s="8" t="s">
        <v>17</v>
      </c>
      <c r="M211" s="8"/>
      <c r="N211" s="5"/>
      <c r="O211" s="5"/>
      <c r="P211" s="5"/>
      <c r="Q211" s="5"/>
      <c r="R211" s="5"/>
    </row>
    <row r="212" spans="1:18" ht="270">
      <c r="A212" s="7" t="s">
        <v>1226</v>
      </c>
      <c r="B212" s="13" t="s">
        <v>1248</v>
      </c>
      <c r="C212" s="8" t="s">
        <v>1249</v>
      </c>
      <c r="D212" s="8" t="s">
        <v>1250</v>
      </c>
      <c r="E212" s="8" t="s">
        <v>88</v>
      </c>
      <c r="F212" s="8" t="s">
        <v>1251</v>
      </c>
      <c r="G212" s="8" t="s">
        <v>1252</v>
      </c>
      <c r="H212" s="8" t="s">
        <v>1253</v>
      </c>
      <c r="I212" s="8" t="s">
        <v>1254</v>
      </c>
      <c r="J212" s="8" t="s">
        <v>1255</v>
      </c>
      <c r="K212" s="8" t="s">
        <v>17</v>
      </c>
      <c r="L212" s="8" t="s">
        <v>1256</v>
      </c>
      <c r="M212" s="8"/>
      <c r="N212" s="5"/>
      <c r="O212" s="5"/>
      <c r="P212" s="5"/>
      <c r="Q212" s="5"/>
      <c r="R212" s="5"/>
    </row>
    <row r="213" spans="1:18" ht="372.9">
      <c r="A213" s="7" t="s">
        <v>1257</v>
      </c>
      <c r="B213" s="13" t="s">
        <v>35</v>
      </c>
      <c r="C213" s="8" t="s">
        <v>1258</v>
      </c>
      <c r="D213" s="8" t="s">
        <v>60</v>
      </c>
      <c r="E213" s="8" t="s">
        <v>88</v>
      </c>
      <c r="F213" s="8" t="s">
        <v>1259</v>
      </c>
      <c r="G213" s="8" t="s">
        <v>913</v>
      </c>
      <c r="H213" s="8" t="s">
        <v>1260</v>
      </c>
      <c r="I213" s="8" t="s">
        <v>17</v>
      </c>
      <c r="J213" s="8" t="s">
        <v>1261</v>
      </c>
      <c r="K213" s="8" t="s">
        <v>17</v>
      </c>
      <c r="L213" s="8" t="s">
        <v>1262</v>
      </c>
      <c r="M213" s="8"/>
      <c r="N213" s="5"/>
      <c r="O213" s="5"/>
      <c r="P213" s="5"/>
      <c r="Q213" s="5"/>
      <c r="R213" s="5"/>
    </row>
    <row r="214" spans="1:18" ht="335.6">
      <c r="A214" s="7" t="s">
        <v>1263</v>
      </c>
      <c r="B214" s="13" t="s">
        <v>1264</v>
      </c>
      <c r="C214" s="8" t="s">
        <v>1265</v>
      </c>
      <c r="D214" s="8" t="s">
        <v>17</v>
      </c>
      <c r="E214" s="8" t="s">
        <v>1266</v>
      </c>
      <c r="F214" s="8" t="s">
        <v>1267</v>
      </c>
      <c r="G214" s="8" t="s">
        <v>1268</v>
      </c>
      <c r="H214" s="8" t="s">
        <v>1269</v>
      </c>
      <c r="I214" s="8" t="s">
        <v>1270</v>
      </c>
      <c r="J214" s="8" t="s">
        <v>1271</v>
      </c>
      <c r="K214" s="8" t="s">
        <v>1272</v>
      </c>
      <c r="L214" s="8" t="s">
        <v>1273</v>
      </c>
      <c r="M214" s="8"/>
      <c r="N214" s="5"/>
      <c r="O214" s="5"/>
      <c r="P214" s="5"/>
      <c r="Q214" s="5"/>
      <c r="R214" s="5"/>
    </row>
    <row r="215" spans="1:18" ht="298.3">
      <c r="A215" s="7" t="s">
        <v>50</v>
      </c>
      <c r="B215" s="13" t="s">
        <v>1274</v>
      </c>
      <c r="C215" s="8" t="s">
        <v>1275</v>
      </c>
      <c r="D215" s="8" t="s">
        <v>1276</v>
      </c>
      <c r="E215" s="8" t="s">
        <v>88</v>
      </c>
      <c r="F215" s="8" t="s">
        <v>17</v>
      </c>
      <c r="G215" s="8" t="s">
        <v>1277</v>
      </c>
      <c r="H215" s="8" t="s">
        <v>1278</v>
      </c>
      <c r="I215" s="8" t="s">
        <v>1279</v>
      </c>
      <c r="J215" s="8" t="s">
        <v>1280</v>
      </c>
      <c r="K215" s="8" t="s">
        <v>17</v>
      </c>
      <c r="L215" s="8" t="s">
        <v>17</v>
      </c>
      <c r="M215" s="8"/>
      <c r="N215" s="5"/>
      <c r="O215" s="5"/>
      <c r="P215" s="5"/>
      <c r="Q215" s="5"/>
      <c r="R215" s="5"/>
    </row>
    <row r="216" spans="1:18" ht="409.6">
      <c r="A216" s="7" t="s">
        <v>287</v>
      </c>
      <c r="B216" s="13" t="s">
        <v>1281</v>
      </c>
      <c r="C216" s="8" t="s">
        <v>1282</v>
      </c>
      <c r="D216" s="8" t="s">
        <v>17</v>
      </c>
      <c r="E216" s="8" t="s">
        <v>17</v>
      </c>
      <c r="F216" s="8" t="s">
        <v>17</v>
      </c>
      <c r="G216" s="8" t="s">
        <v>1145</v>
      </c>
      <c r="H216" s="8" t="s">
        <v>1283</v>
      </c>
      <c r="I216" s="8" t="s">
        <v>17</v>
      </c>
      <c r="J216" s="8" t="s">
        <v>1284</v>
      </c>
      <c r="K216" s="8" t="s">
        <v>17</v>
      </c>
      <c r="L216" s="8" t="s">
        <v>17</v>
      </c>
      <c r="M216" s="8"/>
      <c r="N216" s="5"/>
      <c r="O216" s="5"/>
      <c r="P216" s="5"/>
      <c r="Q216" s="5"/>
      <c r="R216" s="5"/>
    </row>
    <row r="217" spans="1:18" ht="409.6">
      <c r="A217" s="7" t="s">
        <v>245</v>
      </c>
      <c r="B217" s="13" t="s">
        <v>74</v>
      </c>
      <c r="C217" s="8" t="s">
        <v>271</v>
      </c>
      <c r="D217" s="8" t="s">
        <v>1285</v>
      </c>
      <c r="E217" s="8" t="s">
        <v>88</v>
      </c>
      <c r="F217" s="8" t="s">
        <v>1286</v>
      </c>
      <c r="G217" s="8" t="s">
        <v>1287</v>
      </c>
      <c r="H217" s="8" t="s">
        <v>1146</v>
      </c>
      <c r="I217" s="8" t="s">
        <v>17</v>
      </c>
      <c r="J217" s="8" t="s">
        <v>1288</v>
      </c>
      <c r="K217" s="8" t="s">
        <v>17</v>
      </c>
      <c r="L217" s="8" t="s">
        <v>17</v>
      </c>
      <c r="M217" s="8" t="s">
        <v>1289</v>
      </c>
      <c r="N217" s="5"/>
      <c r="O217" s="5"/>
      <c r="P217" s="5"/>
      <c r="Q217" s="5"/>
      <c r="R217" s="5"/>
    </row>
    <row r="218" spans="1:18" ht="409.6">
      <c r="A218" s="7" t="s">
        <v>50</v>
      </c>
      <c r="B218" s="13" t="s">
        <v>1167</v>
      </c>
      <c r="C218" s="8" t="s">
        <v>36</v>
      </c>
      <c r="D218" s="8" t="s">
        <v>1168</v>
      </c>
      <c r="E218" s="8" t="s">
        <v>88</v>
      </c>
      <c r="F218" s="8" t="s">
        <v>17</v>
      </c>
      <c r="G218" s="8" t="s">
        <v>1170</v>
      </c>
      <c r="H218" s="8" t="s">
        <v>1290</v>
      </c>
      <c r="I218" s="8" t="s">
        <v>1172</v>
      </c>
      <c r="J218" s="8" t="s">
        <v>1173</v>
      </c>
      <c r="K218" s="8" t="s">
        <v>17</v>
      </c>
      <c r="L218" s="8" t="s">
        <v>17</v>
      </c>
      <c r="M218" s="8"/>
      <c r="N218" s="5"/>
      <c r="O218" s="5"/>
      <c r="P218" s="5"/>
      <c r="Q218" s="5"/>
      <c r="R218" s="5"/>
    </row>
    <row r="219" spans="1:18" ht="372.9">
      <c r="A219" s="7" t="s">
        <v>333</v>
      </c>
      <c r="B219" s="13" t="s">
        <v>1291</v>
      </c>
      <c r="C219" s="8" t="s">
        <v>1292</v>
      </c>
      <c r="D219" s="8" t="s">
        <v>509</v>
      </c>
      <c r="E219" s="8" t="s">
        <v>1293</v>
      </c>
      <c r="F219" s="8" t="s">
        <v>1294</v>
      </c>
      <c r="G219" s="8" t="s">
        <v>1295</v>
      </c>
      <c r="H219" s="8" t="s">
        <v>1296</v>
      </c>
      <c r="I219" s="8" t="s">
        <v>17</v>
      </c>
      <c r="J219" s="8" t="s">
        <v>1297</v>
      </c>
      <c r="K219" s="8" t="s">
        <v>1298</v>
      </c>
      <c r="L219" s="8" t="s">
        <v>17</v>
      </c>
      <c r="M219" s="8" t="s">
        <v>1299</v>
      </c>
      <c r="N219" s="5"/>
      <c r="O219" s="5"/>
      <c r="P219" s="5"/>
      <c r="Q219" s="5"/>
      <c r="R219" s="5"/>
    </row>
    <row r="220" spans="1:18" ht="409.6">
      <c r="A220" s="7" t="s">
        <v>50</v>
      </c>
      <c r="B220" s="13" t="s">
        <v>1300</v>
      </c>
      <c r="C220" s="8" t="s">
        <v>1301</v>
      </c>
      <c r="D220" s="8" t="s">
        <v>1302</v>
      </c>
      <c r="E220" s="8" t="s">
        <v>88</v>
      </c>
      <c r="F220" s="8" t="s">
        <v>17</v>
      </c>
      <c r="G220" s="8" t="s">
        <v>1303</v>
      </c>
      <c r="H220" s="8" t="s">
        <v>1215</v>
      </c>
      <c r="I220" s="8" t="s">
        <v>1304</v>
      </c>
      <c r="J220" s="8" t="s">
        <v>1305</v>
      </c>
      <c r="K220" s="8" t="s">
        <v>17</v>
      </c>
      <c r="L220" s="8" t="s">
        <v>1306</v>
      </c>
      <c r="M220" s="8"/>
      <c r="N220" s="5"/>
      <c r="O220" s="5"/>
      <c r="P220" s="5"/>
      <c r="Q220" s="5"/>
      <c r="R220" s="5"/>
    </row>
    <row r="221" spans="1:18" ht="372.9">
      <c r="A221" s="7" t="s">
        <v>50</v>
      </c>
      <c r="B221" s="13" t="s">
        <v>1307</v>
      </c>
      <c r="C221" s="8" t="s">
        <v>1308</v>
      </c>
      <c r="D221" s="8" t="s">
        <v>1309</v>
      </c>
      <c r="E221" s="8" t="s">
        <v>88</v>
      </c>
      <c r="F221" s="8" t="s">
        <v>17</v>
      </c>
      <c r="G221" s="8" t="s">
        <v>1310</v>
      </c>
      <c r="H221" s="8" t="s">
        <v>1311</v>
      </c>
      <c r="I221" s="8" t="s">
        <v>1312</v>
      </c>
      <c r="J221" s="8" t="s">
        <v>1313</v>
      </c>
      <c r="K221" s="8" t="s">
        <v>17</v>
      </c>
      <c r="L221" s="8" t="s">
        <v>1314</v>
      </c>
      <c r="M221" s="8"/>
      <c r="N221" s="5"/>
      <c r="O221" s="5"/>
      <c r="P221" s="5"/>
      <c r="Q221" s="5"/>
      <c r="R221" s="5"/>
    </row>
    <row r="222" spans="1:18" ht="409.6">
      <c r="A222" s="7" t="s">
        <v>789</v>
      </c>
      <c r="B222" s="13" t="s">
        <v>1315</v>
      </c>
      <c r="C222" s="8" t="s">
        <v>1076</v>
      </c>
      <c r="D222" s="8" t="s">
        <v>1077</v>
      </c>
      <c r="E222" s="8" t="s">
        <v>88</v>
      </c>
      <c r="F222" s="8" t="s">
        <v>1316</v>
      </c>
      <c r="G222" s="8" t="s">
        <v>1317</v>
      </c>
      <c r="H222" s="8" t="s">
        <v>307</v>
      </c>
      <c r="I222" s="8" t="s">
        <v>1318</v>
      </c>
      <c r="J222" s="8" t="s">
        <v>1319</v>
      </c>
      <c r="K222" s="8" t="s">
        <v>17</v>
      </c>
      <c r="L222" s="8" t="s">
        <v>1320</v>
      </c>
      <c r="M222" s="8"/>
      <c r="N222" s="5"/>
      <c r="O222" s="5"/>
      <c r="P222" s="5"/>
      <c r="Q222" s="5"/>
      <c r="R222" s="5"/>
    </row>
    <row r="223" spans="1:18" ht="409.6">
      <c r="A223" s="7" t="s">
        <v>789</v>
      </c>
      <c r="B223" s="13" t="s">
        <v>1321</v>
      </c>
      <c r="C223" s="8" t="s">
        <v>1322</v>
      </c>
      <c r="D223" s="8" t="s">
        <v>1323</v>
      </c>
      <c r="E223" s="8" t="s">
        <v>88</v>
      </c>
      <c r="F223" s="8" t="s">
        <v>17</v>
      </c>
      <c r="G223" s="8" t="s">
        <v>1324</v>
      </c>
      <c r="H223" s="8" t="s">
        <v>1215</v>
      </c>
      <c r="I223" s="8" t="s">
        <v>17</v>
      </c>
      <c r="J223" s="8" t="s">
        <v>1325</v>
      </c>
      <c r="K223" s="8" t="s">
        <v>17</v>
      </c>
      <c r="L223" s="8" t="s">
        <v>17</v>
      </c>
      <c r="M223" s="8"/>
      <c r="N223" s="5"/>
      <c r="O223" s="5"/>
      <c r="P223" s="5"/>
      <c r="Q223" s="5"/>
      <c r="R223" s="5"/>
    </row>
    <row r="224" spans="1:18" ht="231.45">
      <c r="A224" s="7" t="s">
        <v>1326</v>
      </c>
      <c r="B224" s="13" t="s">
        <v>1326</v>
      </c>
      <c r="C224" s="8" t="s">
        <v>36</v>
      </c>
      <c r="D224" s="8" t="s">
        <v>1327</v>
      </c>
      <c r="E224" s="8" t="s">
        <v>88</v>
      </c>
      <c r="F224" s="8" t="s">
        <v>17</v>
      </c>
      <c r="G224" s="8" t="s">
        <v>1328</v>
      </c>
      <c r="H224" s="8" t="s">
        <v>17</v>
      </c>
      <c r="I224" s="8" t="s">
        <v>1329</v>
      </c>
      <c r="J224" s="8" t="s">
        <v>1330</v>
      </c>
      <c r="K224" s="8" t="s">
        <v>17</v>
      </c>
      <c r="L224" s="8" t="s">
        <v>1331</v>
      </c>
      <c r="M224" s="8"/>
      <c r="N224" s="5"/>
      <c r="O224" s="5"/>
      <c r="P224" s="5"/>
      <c r="Q224" s="5"/>
      <c r="R224" s="5"/>
    </row>
    <row r="225" spans="1:18" ht="372.9">
      <c r="A225" s="7" t="s">
        <v>333</v>
      </c>
      <c r="B225" s="13" t="s">
        <v>1332</v>
      </c>
      <c r="C225" s="8" t="s">
        <v>1333</v>
      </c>
      <c r="D225" s="8" t="s">
        <v>1334</v>
      </c>
      <c r="E225" s="8" t="s">
        <v>88</v>
      </c>
      <c r="F225" s="8" t="s">
        <v>17</v>
      </c>
      <c r="G225" s="8" t="s">
        <v>1335</v>
      </c>
      <c r="H225" s="8" t="s">
        <v>1336</v>
      </c>
      <c r="I225" s="8" t="s">
        <v>17</v>
      </c>
      <c r="J225" s="8" t="s">
        <v>1337</v>
      </c>
      <c r="K225" s="8" t="s">
        <v>17</v>
      </c>
      <c r="L225" s="8" t="s">
        <v>17</v>
      </c>
      <c r="M225" s="8"/>
      <c r="N225" s="5"/>
      <c r="O225" s="5"/>
      <c r="P225" s="5"/>
      <c r="Q225" s="5"/>
      <c r="R225" s="5"/>
    </row>
    <row r="226" spans="1:18" ht="231.45">
      <c r="A226" s="7" t="s">
        <v>1189</v>
      </c>
      <c r="B226" s="13" t="s">
        <v>1338</v>
      </c>
      <c r="C226" s="8" t="s">
        <v>1339</v>
      </c>
      <c r="D226" s="8" t="s">
        <v>1340</v>
      </c>
      <c r="E226" s="8" t="s">
        <v>88</v>
      </c>
      <c r="F226" s="8" t="s">
        <v>1341</v>
      </c>
      <c r="G226" s="8" t="s">
        <v>1342</v>
      </c>
      <c r="H226" s="8" t="s">
        <v>1066</v>
      </c>
      <c r="I226" s="8" t="s">
        <v>1343</v>
      </c>
      <c r="J226" s="8" t="s">
        <v>17</v>
      </c>
      <c r="K226" s="8" t="s">
        <v>1344</v>
      </c>
      <c r="L226" s="8" t="s">
        <v>1345</v>
      </c>
      <c r="M226" s="8"/>
      <c r="N226" s="5"/>
      <c r="O226" s="5"/>
      <c r="P226" s="5"/>
      <c r="Q226" s="5"/>
      <c r="R226" s="5"/>
    </row>
    <row r="227" spans="1:18" ht="372.9">
      <c r="A227" s="7" t="s">
        <v>1148</v>
      </c>
      <c r="B227" s="13" t="s">
        <v>1346</v>
      </c>
      <c r="C227" s="8" t="s">
        <v>17</v>
      </c>
      <c r="D227" s="8" t="s">
        <v>17</v>
      </c>
      <c r="E227" s="8" t="s">
        <v>88</v>
      </c>
      <c r="F227" s="8" t="s">
        <v>1347</v>
      </c>
      <c r="G227" s="8" t="s">
        <v>1348</v>
      </c>
      <c r="H227" s="8" t="s">
        <v>342</v>
      </c>
      <c r="I227" s="8" t="s">
        <v>1349</v>
      </c>
      <c r="J227" s="8" t="s">
        <v>1350</v>
      </c>
      <c r="K227" s="8" t="s">
        <v>17</v>
      </c>
      <c r="L227" s="8" t="s">
        <v>17</v>
      </c>
      <c r="M227" s="8"/>
      <c r="N227" s="5"/>
      <c r="O227" s="5"/>
      <c r="P227" s="5"/>
      <c r="Q227" s="5"/>
      <c r="R227" s="5"/>
    </row>
    <row r="228" spans="1:18" ht="335.6">
      <c r="A228" s="7" t="s">
        <v>1351</v>
      </c>
      <c r="B228" s="13" t="s">
        <v>191</v>
      </c>
      <c r="C228" s="8" t="s">
        <v>1352</v>
      </c>
      <c r="D228" s="8" t="s">
        <v>1353</v>
      </c>
      <c r="E228" s="8" t="s">
        <v>88</v>
      </c>
      <c r="F228" s="8" t="s">
        <v>17</v>
      </c>
      <c r="G228" s="8" t="s">
        <v>1354</v>
      </c>
      <c r="H228" s="8" t="s">
        <v>1355</v>
      </c>
      <c r="I228" s="8" t="s">
        <v>125</v>
      </c>
      <c r="J228" s="8" t="s">
        <v>1356</v>
      </c>
      <c r="K228" s="8" t="s">
        <v>17</v>
      </c>
      <c r="L228" s="8" t="s">
        <v>17</v>
      </c>
      <c r="M228" s="8"/>
      <c r="N228" s="5"/>
      <c r="O228" s="5"/>
      <c r="P228" s="5"/>
      <c r="Q228" s="5"/>
      <c r="R228" s="5"/>
    </row>
    <row r="229" spans="1:18" ht="409.6">
      <c r="A229" s="7" t="s">
        <v>1357</v>
      </c>
      <c r="B229" s="13" t="s">
        <v>35</v>
      </c>
      <c r="C229" s="8" t="s">
        <v>1358</v>
      </c>
      <c r="D229" s="8" t="s">
        <v>1359</v>
      </c>
      <c r="E229" s="8" t="s">
        <v>88</v>
      </c>
      <c r="F229" s="8" t="s">
        <v>1360</v>
      </c>
      <c r="G229" s="8" t="s">
        <v>1361</v>
      </c>
      <c r="H229" s="8" t="s">
        <v>1362</v>
      </c>
      <c r="I229" s="8" t="s">
        <v>1363</v>
      </c>
      <c r="J229" s="8" t="s">
        <v>1364</v>
      </c>
      <c r="K229" s="8" t="s">
        <v>17</v>
      </c>
      <c r="L229" s="8" t="s">
        <v>1365</v>
      </c>
      <c r="M229" s="8"/>
      <c r="N229" s="5"/>
      <c r="O229" s="5"/>
      <c r="P229" s="5"/>
      <c r="Q229" s="5"/>
      <c r="R229" s="5"/>
    </row>
    <row r="230" spans="1:18" ht="409.6">
      <c r="A230" s="7" t="s">
        <v>1357</v>
      </c>
      <c r="B230" s="13" t="s">
        <v>1366</v>
      </c>
      <c r="C230" s="8" t="s">
        <v>1367</v>
      </c>
      <c r="D230" s="8" t="s">
        <v>1368</v>
      </c>
      <c r="E230" s="8" t="s">
        <v>88</v>
      </c>
      <c r="F230" s="8" t="s">
        <v>1369</v>
      </c>
      <c r="G230" s="8" t="s">
        <v>1370</v>
      </c>
      <c r="H230" s="8" t="s">
        <v>1371</v>
      </c>
      <c r="I230" s="8" t="s">
        <v>1372</v>
      </c>
      <c r="J230" s="8" t="s">
        <v>1373</v>
      </c>
      <c r="K230" s="8" t="s">
        <v>17</v>
      </c>
      <c r="L230" s="8" t="s">
        <v>1374</v>
      </c>
      <c r="M230" s="8"/>
      <c r="N230" s="5"/>
      <c r="O230" s="5"/>
      <c r="P230" s="5"/>
      <c r="Q230" s="5"/>
      <c r="R230" s="5"/>
    </row>
    <row r="231" spans="1:18" ht="409.6">
      <c r="A231" s="7" t="s">
        <v>1357</v>
      </c>
      <c r="B231" s="13" t="s">
        <v>478</v>
      </c>
      <c r="C231" s="8" t="s">
        <v>1375</v>
      </c>
      <c r="D231" s="8" t="s">
        <v>1376</v>
      </c>
      <c r="E231" s="8" t="s">
        <v>88</v>
      </c>
      <c r="F231" s="8" t="s">
        <v>1377</v>
      </c>
      <c r="G231" s="8" t="s">
        <v>1378</v>
      </c>
      <c r="H231" s="8" t="s">
        <v>1379</v>
      </c>
      <c r="I231" s="8" t="s">
        <v>1380</v>
      </c>
      <c r="J231" s="8" t="s">
        <v>1381</v>
      </c>
      <c r="K231" s="8" t="s">
        <v>17</v>
      </c>
      <c r="L231" s="8" t="s">
        <v>1382</v>
      </c>
      <c r="M231" s="8"/>
      <c r="N231" s="5"/>
      <c r="O231" s="5"/>
      <c r="P231" s="5"/>
      <c r="Q231" s="5"/>
      <c r="R231" s="5"/>
    </row>
    <row r="232" spans="1:18" ht="154.30000000000001">
      <c r="A232" s="7" t="s">
        <v>371</v>
      </c>
      <c r="B232" s="13" t="s">
        <v>1383</v>
      </c>
      <c r="C232" s="8" t="s">
        <v>1238</v>
      </c>
      <c r="D232" s="8" t="s">
        <v>17</v>
      </c>
      <c r="E232" s="8" t="s">
        <v>88</v>
      </c>
      <c r="F232" s="8" t="s">
        <v>1384</v>
      </c>
      <c r="G232" s="8" t="s">
        <v>1385</v>
      </c>
      <c r="H232" s="8" t="s">
        <v>257</v>
      </c>
      <c r="I232" s="8" t="s">
        <v>17</v>
      </c>
      <c r="J232" s="8" t="s">
        <v>1386</v>
      </c>
      <c r="K232" s="8" t="s">
        <v>1387</v>
      </c>
      <c r="L232" s="8" t="s">
        <v>1387</v>
      </c>
      <c r="M232" s="8"/>
      <c r="N232" s="5"/>
      <c r="O232" s="5"/>
      <c r="P232" s="5"/>
      <c r="Q232" s="5"/>
      <c r="R232" s="5"/>
    </row>
    <row r="233" spans="1:18" ht="231.45">
      <c r="A233" s="7" t="s">
        <v>1388</v>
      </c>
      <c r="B233" s="13" t="s">
        <v>43</v>
      </c>
      <c r="C233" s="8" t="s">
        <v>17</v>
      </c>
      <c r="D233" s="8" t="s">
        <v>17</v>
      </c>
      <c r="E233" s="8" t="s">
        <v>88</v>
      </c>
      <c r="F233" s="8" t="s">
        <v>17</v>
      </c>
      <c r="G233" s="8" t="s">
        <v>1389</v>
      </c>
      <c r="H233" s="8">
        <v>44774</v>
      </c>
      <c r="I233" s="8" t="s">
        <v>17</v>
      </c>
      <c r="J233" s="8" t="s">
        <v>17</v>
      </c>
      <c r="K233" s="8" t="s">
        <v>17</v>
      </c>
      <c r="L233" s="8" t="s">
        <v>17</v>
      </c>
      <c r="M233" s="8"/>
      <c r="N233" s="5"/>
      <c r="O233" s="5"/>
      <c r="P233" s="5"/>
      <c r="Q233" s="5"/>
      <c r="R233" s="5"/>
    </row>
    <row r="234" spans="1:18" ht="372.9">
      <c r="A234" s="7" t="s">
        <v>1390</v>
      </c>
      <c r="B234" s="13" t="s">
        <v>1391</v>
      </c>
      <c r="C234" s="8" t="s">
        <v>1392</v>
      </c>
      <c r="D234" s="8" t="s">
        <v>1393</v>
      </c>
      <c r="E234" s="8" t="s">
        <v>88</v>
      </c>
      <c r="F234" s="8" t="s">
        <v>1394</v>
      </c>
      <c r="G234" s="8" t="s">
        <v>1354</v>
      </c>
      <c r="H234" s="8" t="s">
        <v>1395</v>
      </c>
      <c r="I234" s="8" t="s">
        <v>323</v>
      </c>
      <c r="J234" s="8" t="s">
        <v>17</v>
      </c>
      <c r="K234" s="8" t="s">
        <v>17</v>
      </c>
      <c r="L234" s="8" t="s">
        <v>1396</v>
      </c>
      <c r="M234" s="8"/>
      <c r="N234" s="5"/>
      <c r="O234" s="5"/>
      <c r="P234" s="5"/>
      <c r="Q234" s="5"/>
      <c r="R234" s="5"/>
    </row>
    <row r="235" spans="1:18" ht="409.6">
      <c r="A235" s="7" t="s">
        <v>1189</v>
      </c>
      <c r="B235" s="13" t="s">
        <v>1397</v>
      </c>
      <c r="C235" s="8" t="s">
        <v>1339</v>
      </c>
      <c r="D235" s="8" t="s">
        <v>1398</v>
      </c>
      <c r="E235" s="8" t="s">
        <v>88</v>
      </c>
      <c r="F235" s="8" t="s">
        <v>1399</v>
      </c>
      <c r="G235" s="8" t="s">
        <v>1400</v>
      </c>
      <c r="H235" s="8" t="s">
        <v>1401</v>
      </c>
      <c r="I235" s="8" t="s">
        <v>1402</v>
      </c>
      <c r="J235" s="8" t="s">
        <v>1403</v>
      </c>
      <c r="K235" s="8" t="s">
        <v>1404</v>
      </c>
      <c r="L235" s="8" t="s">
        <v>1405</v>
      </c>
      <c r="M235" s="8" t="s">
        <v>1406</v>
      </c>
      <c r="N235" s="5"/>
      <c r="O235" s="5"/>
      <c r="P235" s="5"/>
      <c r="Q235" s="5"/>
      <c r="R235" s="5"/>
    </row>
    <row r="236" spans="1:18" ht="409.6">
      <c r="A236" s="7" t="s">
        <v>333</v>
      </c>
      <c r="B236" s="13" t="s">
        <v>1407</v>
      </c>
      <c r="C236" s="8" t="s">
        <v>1408</v>
      </c>
      <c r="D236" s="8" t="s">
        <v>17</v>
      </c>
      <c r="E236" s="8" t="s">
        <v>88</v>
      </c>
      <c r="F236" s="8" t="s">
        <v>17</v>
      </c>
      <c r="G236" s="8" t="s">
        <v>1409</v>
      </c>
      <c r="H236" s="8" t="s">
        <v>1410</v>
      </c>
      <c r="I236" s="8" t="s">
        <v>1411</v>
      </c>
      <c r="J236" s="8" t="s">
        <v>1412</v>
      </c>
      <c r="K236" s="8" t="s">
        <v>17</v>
      </c>
      <c r="L236" s="8" t="s">
        <v>17</v>
      </c>
      <c r="M236" s="8"/>
      <c r="N236" s="5"/>
      <c r="O236" s="5"/>
      <c r="P236" s="5"/>
      <c r="Q236" s="5"/>
      <c r="R236" s="5"/>
    </row>
    <row r="237" spans="1:18" ht="409.6">
      <c r="A237" s="7" t="s">
        <v>287</v>
      </c>
      <c r="B237" s="13" t="s">
        <v>1413</v>
      </c>
      <c r="C237" s="8" t="s">
        <v>52</v>
      </c>
      <c r="D237" s="8" t="s">
        <v>1414</v>
      </c>
      <c r="E237" s="8" t="s">
        <v>88</v>
      </c>
      <c r="F237" s="8" t="s">
        <v>17</v>
      </c>
      <c r="G237" s="8" t="s">
        <v>1415</v>
      </c>
      <c r="H237" s="8" t="s">
        <v>1416</v>
      </c>
      <c r="I237" s="8" t="s">
        <v>17</v>
      </c>
      <c r="J237" s="8" t="s">
        <v>1417</v>
      </c>
      <c r="K237" s="8" t="s">
        <v>1418</v>
      </c>
      <c r="L237" s="8" t="s">
        <v>1419</v>
      </c>
      <c r="M237" s="8" t="s">
        <v>1420</v>
      </c>
      <c r="N237" s="5"/>
      <c r="O237" s="5"/>
      <c r="P237" s="5"/>
      <c r="Q237" s="5"/>
      <c r="R237" s="5"/>
    </row>
    <row r="238" spans="1:18" ht="335.6">
      <c r="A238" s="7" t="s">
        <v>50</v>
      </c>
      <c r="B238" s="13" t="s">
        <v>1421</v>
      </c>
      <c r="C238" s="8" t="s">
        <v>1422</v>
      </c>
      <c r="D238" s="8" t="s">
        <v>1423</v>
      </c>
      <c r="E238" s="8" t="s">
        <v>88</v>
      </c>
      <c r="F238" s="8" t="s">
        <v>17</v>
      </c>
      <c r="G238" s="8" t="s">
        <v>1424</v>
      </c>
      <c r="H238" s="8" t="s">
        <v>17</v>
      </c>
      <c r="I238" s="8" t="s">
        <v>1425</v>
      </c>
      <c r="J238" s="8" t="s">
        <v>1426</v>
      </c>
      <c r="K238" s="8" t="s">
        <v>17</v>
      </c>
      <c r="L238" s="8" t="s">
        <v>1427</v>
      </c>
      <c r="M238" s="8"/>
      <c r="N238" s="5"/>
      <c r="O238" s="5"/>
      <c r="P238" s="5"/>
      <c r="Q238" s="5"/>
      <c r="R238" s="5"/>
    </row>
    <row r="239" spans="1:18" ht="270">
      <c r="A239" s="7" t="s">
        <v>1226</v>
      </c>
      <c r="B239" s="13" t="s">
        <v>1428</v>
      </c>
      <c r="C239" s="8" t="s">
        <v>1228</v>
      </c>
      <c r="D239" s="8" t="s">
        <v>1429</v>
      </c>
      <c r="E239" s="8" t="s">
        <v>1430</v>
      </c>
      <c r="F239" s="8" t="s">
        <v>1431</v>
      </c>
      <c r="G239" s="8" t="s">
        <v>1432</v>
      </c>
      <c r="H239" s="8">
        <v>44774</v>
      </c>
      <c r="I239" s="8" t="s">
        <v>1433</v>
      </c>
      <c r="J239" s="8" t="s">
        <v>1434</v>
      </c>
      <c r="K239" s="8" t="s">
        <v>17</v>
      </c>
      <c r="L239" s="8" t="s">
        <v>17</v>
      </c>
      <c r="M239" s="8"/>
      <c r="N239" s="5"/>
      <c r="O239" s="5"/>
      <c r="P239" s="5"/>
      <c r="Q239" s="5"/>
      <c r="R239" s="5"/>
    </row>
    <row r="240" spans="1:18" ht="372.9">
      <c r="A240" s="7" t="s">
        <v>333</v>
      </c>
      <c r="B240" s="13" t="s">
        <v>1435</v>
      </c>
      <c r="C240" s="8" t="s">
        <v>1436</v>
      </c>
      <c r="D240" s="8" t="s">
        <v>1437</v>
      </c>
      <c r="E240" s="8" t="s">
        <v>88</v>
      </c>
      <c r="F240" s="8" t="s">
        <v>1438</v>
      </c>
      <c r="G240" s="8" t="s">
        <v>1439</v>
      </c>
      <c r="H240" s="8" t="s">
        <v>17</v>
      </c>
      <c r="I240" s="8" t="s">
        <v>1440</v>
      </c>
      <c r="J240" s="8" t="s">
        <v>1441</v>
      </c>
      <c r="K240" s="8" t="s">
        <v>17</v>
      </c>
      <c r="L240" s="8" t="s">
        <v>17</v>
      </c>
      <c r="M240" s="8"/>
      <c r="N240" s="5"/>
      <c r="O240" s="5"/>
      <c r="P240" s="5"/>
      <c r="Q240" s="5"/>
      <c r="R240" s="5"/>
    </row>
    <row r="241" spans="1:18" ht="335.6">
      <c r="A241" s="7" t="s">
        <v>1226</v>
      </c>
      <c r="B241" s="13" t="s">
        <v>1442</v>
      </c>
      <c r="C241" s="8" t="s">
        <v>1443</v>
      </c>
      <c r="D241" s="8" t="s">
        <v>1444</v>
      </c>
      <c r="E241" s="8" t="s">
        <v>88</v>
      </c>
      <c r="F241" s="8" t="s">
        <v>1445</v>
      </c>
      <c r="G241" s="8" t="s">
        <v>1439</v>
      </c>
      <c r="H241" s="8" t="s">
        <v>1446</v>
      </c>
      <c r="I241" s="8" t="s">
        <v>1447</v>
      </c>
      <c r="J241" s="8" t="s">
        <v>1448</v>
      </c>
      <c r="K241" s="8" t="s">
        <v>17</v>
      </c>
      <c r="L241" s="8" t="s">
        <v>1449</v>
      </c>
      <c r="M241" s="8"/>
      <c r="N241" s="5"/>
      <c r="O241" s="5"/>
      <c r="P241" s="5"/>
      <c r="Q241" s="5"/>
      <c r="R241" s="5"/>
    </row>
    <row r="242" spans="1:18" ht="409.6">
      <c r="A242" s="7" t="s">
        <v>1189</v>
      </c>
      <c r="B242" s="13" t="s">
        <v>1450</v>
      </c>
      <c r="C242" s="8" t="s">
        <v>1339</v>
      </c>
      <c r="D242" s="8" t="s">
        <v>1398</v>
      </c>
      <c r="E242" s="8" t="s">
        <v>88</v>
      </c>
      <c r="F242" s="8" t="s">
        <v>1451</v>
      </c>
      <c r="G242" s="8" t="s">
        <v>1452</v>
      </c>
      <c r="H242" s="8" t="s">
        <v>651</v>
      </c>
      <c r="I242" s="8" t="s">
        <v>1453</v>
      </c>
      <c r="J242" s="8" t="s">
        <v>1454</v>
      </c>
      <c r="K242" s="8" t="s">
        <v>17</v>
      </c>
      <c r="L242" s="8" t="s">
        <v>1455</v>
      </c>
      <c r="M242" s="8" t="s">
        <v>1456</v>
      </c>
      <c r="N242" s="5"/>
      <c r="O242" s="5"/>
      <c r="P242" s="5"/>
      <c r="Q242" s="5"/>
      <c r="R242" s="5"/>
    </row>
    <row r="243" spans="1:18" ht="409.6">
      <c r="A243" s="7" t="s">
        <v>1189</v>
      </c>
      <c r="B243" s="13" t="s">
        <v>295</v>
      </c>
      <c r="C243" s="8" t="s">
        <v>1339</v>
      </c>
      <c r="D243" s="8" t="s">
        <v>1340</v>
      </c>
      <c r="E243" s="8" t="s">
        <v>88</v>
      </c>
      <c r="F243" s="8" t="s">
        <v>1457</v>
      </c>
      <c r="G243" s="8" t="s">
        <v>1458</v>
      </c>
      <c r="H243" s="8" t="s">
        <v>1459</v>
      </c>
      <c r="I243" s="8" t="s">
        <v>1460</v>
      </c>
      <c r="J243" s="8" t="s">
        <v>1461</v>
      </c>
      <c r="K243" s="8" t="s">
        <v>17</v>
      </c>
      <c r="L243" s="8" t="s">
        <v>1462</v>
      </c>
      <c r="M243" s="8" t="s">
        <v>1456</v>
      </c>
      <c r="N243" s="5"/>
      <c r="O243" s="5"/>
      <c r="P243" s="5"/>
      <c r="Q243" s="5"/>
      <c r="R243" s="5"/>
    </row>
    <row r="244" spans="1:18" ht="409.6">
      <c r="A244" s="7" t="s">
        <v>287</v>
      </c>
      <c r="B244" s="13" t="s">
        <v>1463</v>
      </c>
      <c r="C244" s="8" t="s">
        <v>36</v>
      </c>
      <c r="D244" s="8" t="s">
        <v>1464</v>
      </c>
      <c r="E244" s="8" t="s">
        <v>88</v>
      </c>
      <c r="F244" s="8" t="s">
        <v>17</v>
      </c>
      <c r="G244" s="8" t="s">
        <v>1465</v>
      </c>
      <c r="H244" s="8" t="s">
        <v>1466</v>
      </c>
      <c r="I244" s="8" t="s">
        <v>17</v>
      </c>
      <c r="J244" s="8" t="s">
        <v>1467</v>
      </c>
      <c r="K244" s="8" t="s">
        <v>17</v>
      </c>
      <c r="L244" s="8" t="s">
        <v>1468</v>
      </c>
      <c r="M244" s="8"/>
      <c r="N244" s="5"/>
      <c r="O244" s="5"/>
      <c r="P244" s="5"/>
      <c r="Q244" s="5"/>
      <c r="R244" s="5"/>
    </row>
    <row r="245" spans="1:18" ht="409.6">
      <c r="A245" s="7" t="s">
        <v>1388</v>
      </c>
      <c r="B245" s="13" t="s">
        <v>647</v>
      </c>
      <c r="C245" s="8" t="s">
        <v>1469</v>
      </c>
      <c r="D245" s="8" t="s">
        <v>1470</v>
      </c>
      <c r="E245" s="8" t="s">
        <v>88</v>
      </c>
      <c r="F245" s="8" t="s">
        <v>1471</v>
      </c>
      <c r="G245" s="8" t="s">
        <v>1472</v>
      </c>
      <c r="H245" s="8">
        <v>44774</v>
      </c>
      <c r="I245" s="8" t="s">
        <v>17</v>
      </c>
      <c r="J245" s="8" t="s">
        <v>1473</v>
      </c>
      <c r="K245" s="8" t="s">
        <v>17</v>
      </c>
      <c r="L245" s="8" t="s">
        <v>1474</v>
      </c>
      <c r="M245" s="8"/>
      <c r="N245" s="5"/>
      <c r="O245" s="5"/>
      <c r="P245" s="5"/>
      <c r="Q245" s="5"/>
      <c r="R245" s="5"/>
    </row>
    <row r="246" spans="1:18" ht="409.6">
      <c r="A246" s="7" t="s">
        <v>1388</v>
      </c>
      <c r="B246" s="13" t="s">
        <v>1475</v>
      </c>
      <c r="C246" s="8" t="s">
        <v>1476</v>
      </c>
      <c r="D246" s="8" t="s">
        <v>1477</v>
      </c>
      <c r="E246" s="8" t="s">
        <v>1478</v>
      </c>
      <c r="F246" s="8" t="s">
        <v>1479</v>
      </c>
      <c r="G246" s="8" t="s">
        <v>1480</v>
      </c>
      <c r="H246" s="8" t="s">
        <v>1481</v>
      </c>
      <c r="I246" s="8" t="s">
        <v>17</v>
      </c>
      <c r="J246" s="8" t="s">
        <v>1482</v>
      </c>
      <c r="K246" s="8" t="s">
        <v>17</v>
      </c>
      <c r="L246" s="8" t="s">
        <v>17</v>
      </c>
      <c r="M246" s="8"/>
      <c r="N246" s="5"/>
      <c r="O246" s="5"/>
      <c r="P246" s="5"/>
      <c r="Q246" s="5"/>
      <c r="R246" s="5"/>
    </row>
    <row r="247" spans="1:18" ht="409.6">
      <c r="A247" s="7" t="s">
        <v>1483</v>
      </c>
      <c r="B247" s="13" t="s">
        <v>1484</v>
      </c>
      <c r="C247" s="8" t="s">
        <v>1485</v>
      </c>
      <c r="D247" s="8" t="s">
        <v>1486</v>
      </c>
      <c r="E247" s="8" t="s">
        <v>1487</v>
      </c>
      <c r="F247" s="8" t="s">
        <v>17</v>
      </c>
      <c r="G247" s="8" t="s">
        <v>1488</v>
      </c>
      <c r="H247" s="8" t="s">
        <v>17</v>
      </c>
      <c r="I247" s="8" t="s">
        <v>1489</v>
      </c>
      <c r="J247" s="8" t="s">
        <v>1490</v>
      </c>
      <c r="K247" s="8" t="s">
        <v>17</v>
      </c>
      <c r="L247" s="8" t="s">
        <v>1491</v>
      </c>
      <c r="M247" s="8"/>
      <c r="N247" s="5"/>
      <c r="O247" s="5"/>
      <c r="P247" s="5"/>
      <c r="Q247" s="5"/>
      <c r="R247" s="5"/>
    </row>
    <row r="248" spans="1:18" ht="409.6">
      <c r="A248" s="7" t="s">
        <v>789</v>
      </c>
      <c r="B248" s="13" t="s">
        <v>1492</v>
      </c>
      <c r="C248" s="8" t="s">
        <v>1076</v>
      </c>
      <c r="D248" s="8" t="s">
        <v>1493</v>
      </c>
      <c r="E248" s="8" t="s">
        <v>88</v>
      </c>
      <c r="F248" s="8" t="s">
        <v>1494</v>
      </c>
      <c r="G248" s="8" t="s">
        <v>1495</v>
      </c>
      <c r="H248" s="8">
        <v>44770</v>
      </c>
      <c r="I248" s="8" t="s">
        <v>323</v>
      </c>
      <c r="J248" s="8" t="s">
        <v>1496</v>
      </c>
      <c r="K248" s="8" t="s">
        <v>17</v>
      </c>
      <c r="L248" s="8" t="s">
        <v>17</v>
      </c>
      <c r="M248" s="8"/>
      <c r="N248" s="5"/>
      <c r="O248" s="5"/>
      <c r="P248" s="5"/>
      <c r="Q248" s="5"/>
      <c r="R248" s="5"/>
    </row>
    <row r="249" spans="1:18" ht="409.6">
      <c r="A249" s="7" t="s">
        <v>1148</v>
      </c>
      <c r="B249" s="13" t="s">
        <v>1497</v>
      </c>
      <c r="C249" s="8" t="s">
        <v>1498</v>
      </c>
      <c r="D249" s="8" t="s">
        <v>17</v>
      </c>
      <c r="E249" s="8" t="s">
        <v>1499</v>
      </c>
      <c r="F249" s="8" t="s">
        <v>1500</v>
      </c>
      <c r="G249" s="8" t="s">
        <v>1501</v>
      </c>
      <c r="H249" s="8" t="s">
        <v>1502</v>
      </c>
      <c r="I249" s="8" t="s">
        <v>17</v>
      </c>
      <c r="J249" s="8" t="s">
        <v>1153</v>
      </c>
      <c r="K249" s="8" t="s">
        <v>17</v>
      </c>
      <c r="L249" s="8" t="s">
        <v>17</v>
      </c>
      <c r="M249" s="8"/>
      <c r="N249" s="5"/>
      <c r="O249" s="5"/>
      <c r="P249" s="5"/>
      <c r="Q249" s="5"/>
      <c r="R249" s="5"/>
    </row>
    <row r="250" spans="1:18" ht="409.6">
      <c r="A250" s="7" t="s">
        <v>1503</v>
      </c>
      <c r="B250" s="13" t="s">
        <v>43</v>
      </c>
      <c r="C250" s="8" t="s">
        <v>1469</v>
      </c>
      <c r="D250" s="8" t="s">
        <v>1504</v>
      </c>
      <c r="E250" s="8" t="s">
        <v>1505</v>
      </c>
      <c r="F250" s="8" t="s">
        <v>1506</v>
      </c>
      <c r="G250" s="8" t="s">
        <v>1507</v>
      </c>
      <c r="H250" s="8">
        <v>44774</v>
      </c>
      <c r="I250" s="8" t="s">
        <v>17</v>
      </c>
      <c r="J250" s="8" t="s">
        <v>1508</v>
      </c>
      <c r="K250" s="8" t="s">
        <v>17</v>
      </c>
      <c r="L250" s="8" t="s">
        <v>1509</v>
      </c>
      <c r="M250" s="8"/>
      <c r="N250" s="5"/>
      <c r="O250" s="5"/>
      <c r="P250" s="5"/>
      <c r="Q250" s="5"/>
      <c r="R250" s="5"/>
    </row>
    <row r="251" spans="1:18" ht="335.6">
      <c r="A251" s="7" t="s">
        <v>1510</v>
      </c>
      <c r="B251" s="13" t="s">
        <v>43</v>
      </c>
      <c r="C251" s="8" t="s">
        <v>1511</v>
      </c>
      <c r="D251" s="8" t="s">
        <v>1512</v>
      </c>
      <c r="E251" s="8" t="s">
        <v>29</v>
      </c>
      <c r="F251" s="8" t="s">
        <v>1513</v>
      </c>
      <c r="G251" s="8" t="s">
        <v>1514</v>
      </c>
      <c r="H251" s="8" t="s">
        <v>1515</v>
      </c>
      <c r="I251" s="8" t="s">
        <v>1516</v>
      </c>
      <c r="J251" s="8" t="s">
        <v>1517</v>
      </c>
      <c r="K251" s="8" t="s">
        <v>1518</v>
      </c>
      <c r="L251" s="8" t="s">
        <v>1519</v>
      </c>
      <c r="M251" s="8"/>
      <c r="N251" s="5"/>
      <c r="O251" s="5"/>
      <c r="P251" s="5"/>
      <c r="Q251" s="5"/>
      <c r="R251" s="5"/>
    </row>
    <row r="252" spans="1:18" ht="372.9">
      <c r="A252" s="7" t="s">
        <v>371</v>
      </c>
      <c r="B252" s="13" t="s">
        <v>1520</v>
      </c>
      <c r="C252" s="8" t="s">
        <v>1521</v>
      </c>
      <c r="D252" s="8" t="s">
        <v>1522</v>
      </c>
      <c r="E252" s="8" t="s">
        <v>88</v>
      </c>
      <c r="F252" s="8" t="s">
        <v>1523</v>
      </c>
      <c r="G252" s="8" t="s">
        <v>1524</v>
      </c>
      <c r="H252" s="8" t="s">
        <v>1146</v>
      </c>
      <c r="I252" s="8" t="s">
        <v>17</v>
      </c>
      <c r="J252" s="8" t="s">
        <v>1525</v>
      </c>
      <c r="K252" s="8" t="s">
        <v>17</v>
      </c>
      <c r="L252" s="8" t="s">
        <v>1526</v>
      </c>
      <c r="M252" s="8"/>
      <c r="N252" s="5"/>
      <c r="O252" s="5"/>
      <c r="P252" s="5"/>
      <c r="Q252" s="5"/>
      <c r="R252" s="5"/>
    </row>
    <row r="253" spans="1:18" ht="409.6">
      <c r="A253" s="7" t="s">
        <v>1015</v>
      </c>
      <c r="B253" s="13" t="s">
        <v>1527</v>
      </c>
      <c r="C253" s="8" t="s">
        <v>1528</v>
      </c>
      <c r="D253" s="8" t="s">
        <v>1529</v>
      </c>
      <c r="E253" s="8" t="s">
        <v>88</v>
      </c>
      <c r="F253" s="8" t="s">
        <v>1530</v>
      </c>
      <c r="G253" s="8" t="s">
        <v>1531</v>
      </c>
      <c r="H253" s="8" t="s">
        <v>1532</v>
      </c>
      <c r="I253" s="8" t="s">
        <v>1533</v>
      </c>
      <c r="J253" s="8" t="s">
        <v>1534</v>
      </c>
      <c r="K253" s="8" t="s">
        <v>1535</v>
      </c>
      <c r="L253" s="8" t="s">
        <v>1536</v>
      </c>
      <c r="M253" s="8"/>
      <c r="N253" s="5"/>
      <c r="O253" s="5"/>
      <c r="P253" s="5"/>
      <c r="Q253" s="5"/>
      <c r="R253" s="5"/>
    </row>
    <row r="254" spans="1:18" ht="409.6">
      <c r="A254" s="7" t="s">
        <v>1148</v>
      </c>
      <c r="B254" s="13" t="s">
        <v>1537</v>
      </c>
      <c r="C254" s="8" t="s">
        <v>17</v>
      </c>
      <c r="D254" s="8" t="s">
        <v>17</v>
      </c>
      <c r="E254" s="8" t="s">
        <v>17</v>
      </c>
      <c r="F254" s="8" t="s">
        <v>1538</v>
      </c>
      <c r="G254" s="8" t="s">
        <v>1539</v>
      </c>
      <c r="H254" s="8" t="s">
        <v>1540</v>
      </c>
      <c r="I254" s="8" t="s">
        <v>17</v>
      </c>
      <c r="J254" s="8" t="s">
        <v>1541</v>
      </c>
      <c r="K254" s="8" t="s">
        <v>17</v>
      </c>
      <c r="L254" s="8" t="s">
        <v>1542</v>
      </c>
      <c r="M254" s="8"/>
      <c r="N254" s="5"/>
      <c r="O254" s="5"/>
      <c r="P254" s="5"/>
      <c r="Q254" s="5"/>
      <c r="R254" s="5"/>
    </row>
    <row r="255" spans="1:18" ht="223.75">
      <c r="A255" s="7" t="s">
        <v>809</v>
      </c>
      <c r="B255" s="13" t="s">
        <v>1543</v>
      </c>
      <c r="C255" s="8" t="s">
        <v>1544</v>
      </c>
      <c r="D255" s="8" t="s">
        <v>17</v>
      </c>
      <c r="E255" s="8" t="s">
        <v>17</v>
      </c>
      <c r="F255" s="8" t="s">
        <v>17</v>
      </c>
      <c r="G255" s="8" t="s">
        <v>1545</v>
      </c>
      <c r="H255" s="8" t="s">
        <v>17</v>
      </c>
      <c r="I255" s="8" t="s">
        <v>17</v>
      </c>
      <c r="J255" s="8" t="s">
        <v>1546</v>
      </c>
      <c r="K255" s="8" t="s">
        <v>17</v>
      </c>
      <c r="L255" s="8" t="s">
        <v>17</v>
      </c>
      <c r="M255" s="8" t="s">
        <v>1547</v>
      </c>
      <c r="N255" s="5"/>
      <c r="O255" s="5"/>
      <c r="P255" s="5"/>
      <c r="Q255" s="5"/>
      <c r="R255" s="5"/>
    </row>
    <row r="256" spans="1:18" ht="409.6">
      <c r="A256" s="7" t="s">
        <v>1548</v>
      </c>
      <c r="B256" s="13" t="s">
        <v>1549</v>
      </c>
      <c r="C256" s="8" t="s">
        <v>1550</v>
      </c>
      <c r="D256" s="8" t="s">
        <v>1551</v>
      </c>
      <c r="E256" s="8" t="s">
        <v>1552</v>
      </c>
      <c r="F256" s="8" t="s">
        <v>1553</v>
      </c>
      <c r="G256" s="8" t="s">
        <v>1554</v>
      </c>
      <c r="H256" s="8" t="s">
        <v>1555</v>
      </c>
      <c r="I256" s="8" t="s">
        <v>1556</v>
      </c>
      <c r="J256" s="8" t="s">
        <v>1557</v>
      </c>
      <c r="K256" s="8" t="s">
        <v>17</v>
      </c>
      <c r="L256" s="8" t="s">
        <v>1558</v>
      </c>
      <c r="M256" s="8"/>
      <c r="N256" s="5"/>
      <c r="O256" s="5"/>
      <c r="P256" s="5"/>
      <c r="Q256" s="5"/>
      <c r="R256" s="5"/>
    </row>
    <row r="257" spans="1:18" ht="409.6">
      <c r="A257" s="7" t="s">
        <v>1015</v>
      </c>
      <c r="B257" s="13" t="s">
        <v>1559</v>
      </c>
      <c r="C257" s="8" t="s">
        <v>1560</v>
      </c>
      <c r="D257" s="8" t="s">
        <v>1561</v>
      </c>
      <c r="E257" s="8" t="s">
        <v>1562</v>
      </c>
      <c r="F257" s="8" t="s">
        <v>1563</v>
      </c>
      <c r="G257" s="8" t="s">
        <v>1564</v>
      </c>
      <c r="H257" s="8" t="s">
        <v>1565</v>
      </c>
      <c r="I257" s="8" t="s">
        <v>32</v>
      </c>
      <c r="J257" s="8" t="s">
        <v>1566</v>
      </c>
      <c r="K257" s="8" t="s">
        <v>1567</v>
      </c>
      <c r="L257" s="8" t="s">
        <v>1568</v>
      </c>
      <c r="M257" s="8" t="s">
        <v>1569</v>
      </c>
      <c r="N257" s="5"/>
      <c r="O257" s="5"/>
      <c r="P257" s="5"/>
      <c r="Q257" s="5"/>
      <c r="R257" s="5"/>
    </row>
    <row r="258" spans="1:18" ht="409.6">
      <c r="A258" s="7" t="s">
        <v>1388</v>
      </c>
      <c r="B258" s="13" t="s">
        <v>1570</v>
      </c>
      <c r="C258" s="8" t="s">
        <v>1571</v>
      </c>
      <c r="D258" s="8" t="s">
        <v>1572</v>
      </c>
      <c r="E258" s="8" t="s">
        <v>88</v>
      </c>
      <c r="F258" s="8" t="s">
        <v>1573</v>
      </c>
      <c r="G258" s="8" t="s">
        <v>1574</v>
      </c>
      <c r="H258" s="8" t="s">
        <v>17</v>
      </c>
      <c r="I258" s="8" t="s">
        <v>1575</v>
      </c>
      <c r="J258" s="8" t="s">
        <v>1576</v>
      </c>
      <c r="K258" s="8" t="s">
        <v>17</v>
      </c>
      <c r="L258" s="8" t="s">
        <v>1577</v>
      </c>
      <c r="M258" s="8"/>
      <c r="N258" s="5"/>
      <c r="O258" s="5"/>
      <c r="P258" s="5"/>
      <c r="Q258" s="5"/>
      <c r="R258" s="5"/>
    </row>
    <row r="259" spans="1:18" ht="409.6">
      <c r="A259" s="7" t="s">
        <v>1548</v>
      </c>
      <c r="B259" s="13" t="s">
        <v>390</v>
      </c>
      <c r="C259" s="8" t="s">
        <v>1550</v>
      </c>
      <c r="D259" s="8" t="s">
        <v>1551</v>
      </c>
      <c r="E259" s="8" t="s">
        <v>88</v>
      </c>
      <c r="F259" s="8" t="s">
        <v>1578</v>
      </c>
      <c r="G259" s="8" t="s">
        <v>1579</v>
      </c>
      <c r="H259" s="8" t="s">
        <v>1580</v>
      </c>
      <c r="I259" s="8" t="s">
        <v>1581</v>
      </c>
      <c r="J259" s="8" t="s">
        <v>1582</v>
      </c>
      <c r="K259" s="8" t="s">
        <v>17</v>
      </c>
      <c r="L259" s="8" t="s">
        <v>1583</v>
      </c>
      <c r="M259" s="8"/>
      <c r="N259" s="5"/>
      <c r="O259" s="5"/>
      <c r="P259" s="5"/>
      <c r="Q259" s="5"/>
      <c r="R259" s="5"/>
    </row>
    <row r="260" spans="1:18" ht="231.45">
      <c r="A260" s="7" t="s">
        <v>287</v>
      </c>
      <c r="B260" s="13" t="s">
        <v>1584</v>
      </c>
      <c r="C260" s="8" t="s">
        <v>1585</v>
      </c>
      <c r="D260" s="8" t="s">
        <v>1586</v>
      </c>
      <c r="E260" s="8" t="s">
        <v>17</v>
      </c>
      <c r="F260" s="8" t="s">
        <v>17</v>
      </c>
      <c r="G260" s="8" t="s">
        <v>1587</v>
      </c>
      <c r="H260" s="8">
        <v>44774</v>
      </c>
      <c r="I260" s="8" t="s">
        <v>17</v>
      </c>
      <c r="J260" s="8" t="s">
        <v>17</v>
      </c>
      <c r="K260" s="8" t="s">
        <v>17</v>
      </c>
      <c r="L260" s="8" t="s">
        <v>17</v>
      </c>
      <c r="M260" s="8"/>
      <c r="N260" s="5"/>
      <c r="O260" s="5"/>
      <c r="P260" s="5"/>
      <c r="Q260" s="5"/>
      <c r="R260" s="5"/>
    </row>
    <row r="261" spans="1:18" ht="409.6">
      <c r="A261" s="7" t="s">
        <v>760</v>
      </c>
      <c r="B261" s="13" t="s">
        <v>1588</v>
      </c>
      <c r="C261" s="8" t="s">
        <v>1589</v>
      </c>
      <c r="D261" s="8" t="s">
        <v>60</v>
      </c>
      <c r="E261" s="8" t="s">
        <v>1590</v>
      </c>
      <c r="F261" s="8" t="s">
        <v>1591</v>
      </c>
      <c r="G261" s="8" t="s">
        <v>1592</v>
      </c>
      <c r="H261" s="8" t="s">
        <v>1593</v>
      </c>
      <c r="I261" s="8" t="s">
        <v>17</v>
      </c>
      <c r="J261" s="8" t="s">
        <v>1594</v>
      </c>
      <c r="K261" s="8" t="s">
        <v>17</v>
      </c>
      <c r="L261" s="8" t="s">
        <v>1595</v>
      </c>
      <c r="M261" s="8"/>
      <c r="N261" s="5"/>
      <c r="O261" s="5"/>
      <c r="P261" s="5"/>
      <c r="Q261" s="5"/>
      <c r="R261" s="5"/>
    </row>
    <row r="262" spans="1:18" ht="409.6">
      <c r="A262" s="7" t="s">
        <v>760</v>
      </c>
      <c r="B262" s="13" t="s">
        <v>1596</v>
      </c>
      <c r="C262" s="8" t="s">
        <v>1597</v>
      </c>
      <c r="D262" s="8" t="s">
        <v>17</v>
      </c>
      <c r="E262" s="8" t="s">
        <v>1598</v>
      </c>
      <c r="F262" s="8" t="s">
        <v>1599</v>
      </c>
      <c r="G262" s="8" t="s">
        <v>1600</v>
      </c>
      <c r="H262" s="8" t="s">
        <v>1601</v>
      </c>
      <c r="I262" s="8" t="s">
        <v>1602</v>
      </c>
      <c r="J262" s="8" t="s">
        <v>1603</v>
      </c>
      <c r="K262" s="8" t="s">
        <v>17</v>
      </c>
      <c r="L262" s="8" t="s">
        <v>1604</v>
      </c>
      <c r="M262" s="8"/>
      <c r="N262" s="5"/>
      <c r="O262" s="5"/>
      <c r="P262" s="5"/>
      <c r="Q262" s="5"/>
      <c r="R262" s="5"/>
    </row>
    <row r="263" spans="1:18" ht="409.6">
      <c r="A263" s="7" t="s">
        <v>287</v>
      </c>
      <c r="B263" s="13" t="s">
        <v>1605</v>
      </c>
      <c r="C263" s="8" t="s">
        <v>36</v>
      </c>
      <c r="D263" s="8" t="s">
        <v>1606</v>
      </c>
      <c r="E263" s="8" t="s">
        <v>88</v>
      </c>
      <c r="F263" s="8" t="s">
        <v>17</v>
      </c>
      <c r="G263" s="8" t="s">
        <v>1607</v>
      </c>
      <c r="H263" s="8" t="s">
        <v>1608</v>
      </c>
      <c r="I263" s="8" t="s">
        <v>17</v>
      </c>
      <c r="J263" s="8" t="s">
        <v>1609</v>
      </c>
      <c r="K263" s="8"/>
      <c r="L263" s="8" t="s">
        <v>1468</v>
      </c>
      <c r="M263" s="8"/>
      <c r="N263" s="5"/>
      <c r="O263" s="5"/>
      <c r="P263" s="5"/>
      <c r="Q263" s="5"/>
      <c r="R263" s="5"/>
    </row>
    <row r="264" spans="1:18" ht="335.6">
      <c r="A264" s="7" t="s">
        <v>1610</v>
      </c>
      <c r="B264" s="13" t="s">
        <v>43</v>
      </c>
      <c r="C264" s="8" t="s">
        <v>1611</v>
      </c>
      <c r="D264" s="8" t="s">
        <v>1611</v>
      </c>
      <c r="E264" s="8" t="s">
        <v>88</v>
      </c>
      <c r="F264" s="8" t="s">
        <v>1673</v>
      </c>
      <c r="G264" s="8" t="s">
        <v>1612</v>
      </c>
      <c r="H264" s="8">
        <v>44798</v>
      </c>
      <c r="I264" s="8" t="s">
        <v>1613</v>
      </c>
      <c r="J264" s="8" t="s">
        <v>1614</v>
      </c>
      <c r="K264" s="8" t="s">
        <v>17</v>
      </c>
      <c r="L264" s="8" t="s">
        <v>1615</v>
      </c>
      <c r="M264" s="8"/>
      <c r="N264" s="5"/>
      <c r="O264" s="5"/>
      <c r="P264" s="5"/>
      <c r="Q264" s="5"/>
      <c r="R264" s="5"/>
    </row>
    <row r="265" spans="1:18" ht="154.30000000000001">
      <c r="A265" s="7" t="s">
        <v>309</v>
      </c>
      <c r="B265" s="13" t="s">
        <v>116</v>
      </c>
      <c r="C265" s="8"/>
      <c r="D265" s="8"/>
      <c r="E265" s="8"/>
      <c r="F265" s="8"/>
      <c r="G265" s="8"/>
      <c r="H265" s="8"/>
      <c r="I265" s="8"/>
      <c r="J265" s="8"/>
      <c r="K265" s="8"/>
      <c r="L265" s="8"/>
      <c r="M265" s="8" t="s">
        <v>1616</v>
      </c>
      <c r="N265" s="5"/>
      <c r="O265" s="5"/>
      <c r="P265" s="5"/>
      <c r="Q265" s="5"/>
      <c r="R265" s="5"/>
    </row>
    <row r="266" spans="1:18" ht="154.30000000000001">
      <c r="A266" s="7" t="s">
        <v>13</v>
      </c>
      <c r="B266" s="13" t="s">
        <v>59</v>
      </c>
      <c r="C266" s="8"/>
      <c r="D266" s="8"/>
      <c r="E266" s="8"/>
      <c r="F266" s="8"/>
      <c r="G266" s="8"/>
      <c r="H266" s="8"/>
      <c r="I266" s="8"/>
      <c r="J266" s="8"/>
      <c r="K266" s="8"/>
      <c r="L266" s="8"/>
      <c r="M266" s="8" t="s">
        <v>1616</v>
      </c>
      <c r="N266" s="5"/>
      <c r="O266" s="5"/>
      <c r="P266" s="5"/>
      <c r="Q266" s="5"/>
      <c r="R266" s="5"/>
    </row>
    <row r="267" spans="1:18" ht="154.30000000000001">
      <c r="A267" s="7" t="s">
        <v>1617</v>
      </c>
      <c r="B267" s="13" t="s">
        <v>1618</v>
      </c>
      <c r="C267" s="8"/>
      <c r="D267" s="8"/>
      <c r="E267" s="8"/>
      <c r="F267" s="8"/>
      <c r="G267" s="8"/>
      <c r="H267" s="8"/>
      <c r="I267" s="8"/>
      <c r="J267" s="8"/>
      <c r="K267" s="8"/>
      <c r="L267" s="8"/>
      <c r="M267" s="8" t="s">
        <v>1616</v>
      </c>
      <c r="N267" s="5"/>
      <c r="O267" s="5"/>
      <c r="P267" s="5"/>
      <c r="Q267" s="5"/>
      <c r="R267" s="5"/>
    </row>
    <row r="268" spans="1:18" ht="270">
      <c r="A268" s="7" t="s">
        <v>1619</v>
      </c>
      <c r="B268" s="13" t="s">
        <v>1620</v>
      </c>
      <c r="C268" s="8"/>
      <c r="D268" s="8"/>
      <c r="E268" s="8"/>
      <c r="F268" s="8"/>
      <c r="G268" s="8"/>
      <c r="H268" s="8"/>
      <c r="I268" s="8"/>
      <c r="J268" s="8"/>
      <c r="K268" s="8"/>
      <c r="L268" s="8"/>
      <c r="M268" s="8" t="s">
        <v>1616</v>
      </c>
      <c r="N268" s="5"/>
      <c r="O268" s="5"/>
      <c r="P268" s="5"/>
      <c r="Q268" s="5"/>
      <c r="R268" s="5"/>
    </row>
    <row r="269" spans="1:18" ht="303.45">
      <c r="A269" s="7" t="s">
        <v>109</v>
      </c>
      <c r="B269" s="13" t="s">
        <v>1621</v>
      </c>
      <c r="C269" s="8"/>
      <c r="D269" s="8"/>
      <c r="E269" s="8"/>
      <c r="F269" s="8"/>
      <c r="G269" s="8"/>
      <c r="H269" s="8"/>
      <c r="I269" s="8"/>
      <c r="J269" s="8"/>
      <c r="K269" s="8"/>
      <c r="L269" s="8"/>
      <c r="M269" s="8" t="s">
        <v>1616</v>
      </c>
      <c r="N269" s="5"/>
      <c r="O269" s="5"/>
      <c r="P269" s="5"/>
      <c r="Q269" s="5"/>
      <c r="R269" s="5"/>
    </row>
    <row r="270" spans="1:18" ht="231.45">
      <c r="A270" s="7" t="s">
        <v>760</v>
      </c>
      <c r="B270" s="13" t="s">
        <v>1622</v>
      </c>
      <c r="C270" s="8"/>
      <c r="D270" s="8"/>
      <c r="E270" s="8"/>
      <c r="F270" s="8"/>
      <c r="G270" s="8"/>
      <c r="H270" s="8"/>
      <c r="I270" s="8"/>
      <c r="J270" s="8"/>
      <c r="K270" s="8"/>
      <c r="L270" s="8"/>
      <c r="M270" s="8" t="s">
        <v>1616</v>
      </c>
      <c r="N270" s="5"/>
      <c r="O270" s="5"/>
      <c r="P270" s="5"/>
      <c r="Q270" s="5"/>
      <c r="R270" s="5"/>
    </row>
    <row r="271" spans="1:18" ht="154.30000000000001">
      <c r="A271" s="7" t="s">
        <v>383</v>
      </c>
      <c r="B271" s="13" t="s">
        <v>1623</v>
      </c>
      <c r="C271" s="8"/>
      <c r="D271" s="8"/>
      <c r="E271" s="8"/>
      <c r="F271" s="8"/>
      <c r="G271" s="8"/>
      <c r="H271" s="8"/>
      <c r="I271" s="8"/>
      <c r="J271" s="8"/>
      <c r="K271" s="8"/>
      <c r="L271" s="8"/>
      <c r="M271" s="8" t="s">
        <v>1616</v>
      </c>
      <c r="N271" s="5"/>
      <c r="O271" s="5"/>
      <c r="P271" s="5"/>
      <c r="Q271" s="5"/>
      <c r="R271" s="5"/>
    </row>
    <row r="272" spans="1:18" ht="154.30000000000001">
      <c r="A272" s="7" t="s">
        <v>530</v>
      </c>
      <c r="B272" s="13" t="s">
        <v>654</v>
      </c>
      <c r="C272" s="8"/>
      <c r="D272" s="8"/>
      <c r="E272" s="8"/>
      <c r="F272" s="8"/>
      <c r="G272" s="8"/>
      <c r="H272" s="8"/>
      <c r="I272" s="8"/>
      <c r="J272" s="8"/>
      <c r="K272" s="8"/>
      <c r="L272" s="8"/>
      <c r="M272" s="8" t="s">
        <v>1616</v>
      </c>
      <c r="N272" s="5"/>
      <c r="O272" s="5"/>
      <c r="P272" s="5"/>
      <c r="Q272" s="5"/>
      <c r="R272" s="5"/>
    </row>
    <row r="273" spans="1:18" ht="154.30000000000001">
      <c r="A273" s="7" t="s">
        <v>1624</v>
      </c>
      <c r="B273" s="13" t="s">
        <v>74</v>
      </c>
      <c r="C273" s="8"/>
      <c r="D273" s="8"/>
      <c r="E273" s="8"/>
      <c r="F273" s="8"/>
      <c r="G273" s="8"/>
      <c r="H273" s="8"/>
      <c r="I273" s="8"/>
      <c r="J273" s="8"/>
      <c r="K273" s="8"/>
      <c r="L273" s="8"/>
      <c r="M273" s="8" t="s">
        <v>1616</v>
      </c>
      <c r="N273" s="5"/>
      <c r="O273" s="5"/>
      <c r="P273" s="5"/>
      <c r="Q273" s="5"/>
      <c r="R273" s="5"/>
    </row>
    <row r="274" spans="1:18" ht="270">
      <c r="A274" s="7" t="s">
        <v>50</v>
      </c>
      <c r="B274" s="13" t="s">
        <v>1625</v>
      </c>
      <c r="C274" s="8"/>
      <c r="D274" s="8"/>
      <c r="E274" s="8"/>
      <c r="F274" s="8"/>
      <c r="G274" s="8"/>
      <c r="H274" s="8"/>
      <c r="I274" s="8"/>
      <c r="J274" s="8"/>
      <c r="K274" s="8"/>
      <c r="L274" s="8"/>
      <c r="M274" s="8" t="s">
        <v>1616</v>
      </c>
      <c r="N274" s="5"/>
      <c r="O274" s="5"/>
      <c r="P274" s="5"/>
      <c r="Q274" s="5"/>
      <c r="R274" s="5"/>
    </row>
    <row r="275" spans="1:18" ht="404.6">
      <c r="A275" s="7" t="s">
        <v>455</v>
      </c>
      <c r="B275" s="13" t="s">
        <v>1626</v>
      </c>
      <c r="C275" s="8"/>
      <c r="D275" s="8"/>
      <c r="E275" s="8"/>
      <c r="F275" s="8"/>
      <c r="G275" s="8"/>
      <c r="H275" s="8"/>
      <c r="I275" s="8"/>
      <c r="J275" s="8"/>
      <c r="K275" s="8"/>
      <c r="L275" s="8"/>
      <c r="M275" s="8" t="s">
        <v>1616</v>
      </c>
      <c r="N275" s="5"/>
      <c r="O275" s="5"/>
      <c r="P275" s="5"/>
      <c r="Q275" s="5"/>
      <c r="R275" s="5"/>
    </row>
    <row r="276" spans="1:18" ht="202.3">
      <c r="A276" s="7" t="s">
        <v>20</v>
      </c>
      <c r="B276" s="13" t="s">
        <v>1627</v>
      </c>
      <c r="C276" s="8"/>
      <c r="D276" s="8"/>
      <c r="E276" s="8"/>
      <c r="F276" s="8"/>
      <c r="G276" s="8"/>
      <c r="H276" s="8"/>
      <c r="I276" s="8"/>
      <c r="J276" s="8"/>
      <c r="K276" s="8"/>
      <c r="L276" s="8"/>
      <c r="M276" s="8" t="s">
        <v>1616</v>
      </c>
      <c r="N276" s="5"/>
      <c r="O276" s="5"/>
      <c r="P276" s="5"/>
      <c r="Q276" s="5"/>
      <c r="R276" s="5"/>
    </row>
    <row r="277" spans="1:18" ht="154.30000000000001">
      <c r="A277" s="7" t="s">
        <v>333</v>
      </c>
      <c r="B277" s="13" t="s">
        <v>1628</v>
      </c>
      <c r="C277" s="8"/>
      <c r="D277" s="8"/>
      <c r="E277" s="8"/>
      <c r="F277" s="8"/>
      <c r="G277" s="8"/>
      <c r="H277" s="8"/>
      <c r="I277" s="8"/>
      <c r="J277" s="8"/>
      <c r="K277" s="8"/>
      <c r="L277" s="8"/>
      <c r="M277" s="8" t="s">
        <v>1616</v>
      </c>
      <c r="N277" s="5"/>
      <c r="O277" s="5"/>
      <c r="P277" s="5"/>
      <c r="Q277" s="5"/>
      <c r="R277" s="5"/>
    </row>
    <row r="278" spans="1:18" ht="154.30000000000001">
      <c r="A278" s="7" t="s">
        <v>589</v>
      </c>
      <c r="B278" s="13" t="s">
        <v>1629</v>
      </c>
      <c r="C278" s="8"/>
      <c r="D278" s="8"/>
      <c r="E278" s="8"/>
      <c r="F278" s="8"/>
      <c r="G278" s="8"/>
      <c r="H278" s="8"/>
      <c r="I278" s="8"/>
      <c r="J278" s="8"/>
      <c r="K278" s="8"/>
      <c r="L278" s="8"/>
      <c r="M278" s="8" t="s">
        <v>1616</v>
      </c>
      <c r="N278" s="5"/>
      <c r="O278" s="5"/>
      <c r="P278" s="5"/>
      <c r="Q278" s="5"/>
      <c r="R278" s="5"/>
    </row>
    <row r="279" spans="1:18" ht="154.30000000000001">
      <c r="A279" s="7" t="s">
        <v>530</v>
      </c>
      <c r="B279" s="13" t="s">
        <v>1630</v>
      </c>
      <c r="C279" s="8"/>
      <c r="D279" s="8"/>
      <c r="E279" s="8"/>
      <c r="F279" s="8"/>
      <c r="G279" s="8"/>
      <c r="H279" s="8"/>
      <c r="I279" s="8"/>
      <c r="J279" s="8"/>
      <c r="K279" s="8"/>
      <c r="L279" s="8"/>
      <c r="M279" s="8" t="s">
        <v>1616</v>
      </c>
      <c r="N279" s="5"/>
      <c r="O279" s="5"/>
      <c r="P279" s="5"/>
      <c r="Q279" s="5"/>
      <c r="R279" s="5"/>
    </row>
    <row r="280" spans="1:18" ht="252.9">
      <c r="A280" s="7" t="s">
        <v>20</v>
      </c>
      <c r="B280" s="13" t="s">
        <v>1631</v>
      </c>
      <c r="C280" s="8"/>
      <c r="D280" s="8"/>
      <c r="E280" s="8"/>
      <c r="F280" s="8"/>
      <c r="G280" s="8"/>
      <c r="H280" s="8"/>
      <c r="I280" s="8"/>
      <c r="J280" s="8"/>
      <c r="K280" s="8"/>
      <c r="L280" s="8"/>
      <c r="M280" s="8" t="s">
        <v>1616</v>
      </c>
      <c r="N280" s="5"/>
      <c r="O280" s="5"/>
      <c r="P280" s="5"/>
      <c r="Q280" s="5"/>
      <c r="R280" s="5"/>
    </row>
    <row r="281" spans="1:18" ht="154.30000000000001">
      <c r="A281" s="7" t="s">
        <v>1632</v>
      </c>
      <c r="B281" s="13" t="s">
        <v>758</v>
      </c>
      <c r="C281" s="8"/>
      <c r="D281" s="8"/>
      <c r="E281" s="8"/>
      <c r="F281" s="8"/>
      <c r="G281" s="8"/>
      <c r="H281" s="8"/>
      <c r="I281" s="8"/>
      <c r="J281" s="8"/>
      <c r="K281" s="8"/>
      <c r="L281" s="8"/>
      <c r="M281" s="8" t="s">
        <v>1616</v>
      </c>
      <c r="N281" s="5"/>
      <c r="O281" s="5"/>
      <c r="P281" s="5"/>
      <c r="Q281" s="5"/>
      <c r="R281" s="5"/>
    </row>
    <row r="282" spans="1:18" ht="154.30000000000001">
      <c r="A282" s="7" t="s">
        <v>589</v>
      </c>
      <c r="B282" s="13" t="s">
        <v>1633</v>
      </c>
      <c r="C282" s="8"/>
      <c r="D282" s="8"/>
      <c r="E282" s="8"/>
      <c r="F282" s="8"/>
      <c r="G282" s="8"/>
      <c r="H282" s="8"/>
      <c r="I282" s="8"/>
      <c r="J282" s="8"/>
      <c r="K282" s="8"/>
      <c r="L282" s="8"/>
      <c r="M282" s="8" t="s">
        <v>1616</v>
      </c>
      <c r="N282" s="5"/>
      <c r="O282" s="5"/>
      <c r="P282" s="5"/>
      <c r="Q282" s="5"/>
      <c r="R282" s="5"/>
    </row>
    <row r="283" spans="1:18" ht="231.45">
      <c r="A283" s="7" t="s">
        <v>287</v>
      </c>
      <c r="B283" s="13" t="s">
        <v>1634</v>
      </c>
      <c r="C283" s="8"/>
      <c r="D283" s="8"/>
      <c r="E283" s="8"/>
      <c r="F283" s="8"/>
      <c r="G283" s="8"/>
      <c r="H283" s="8"/>
      <c r="I283" s="8"/>
      <c r="J283" s="8"/>
      <c r="K283" s="8"/>
      <c r="L283" s="8"/>
      <c r="M283" s="8" t="s">
        <v>1616</v>
      </c>
      <c r="N283" s="5"/>
      <c r="O283" s="5"/>
      <c r="P283" s="5"/>
      <c r="Q283" s="5"/>
      <c r="R283" s="5"/>
    </row>
    <row r="284" spans="1:18" ht="231.45">
      <c r="A284" s="7" t="s">
        <v>789</v>
      </c>
      <c r="B284" s="13" t="s">
        <v>1635</v>
      </c>
      <c r="C284" s="8"/>
      <c r="D284" s="8"/>
      <c r="E284" s="8"/>
      <c r="F284" s="8"/>
      <c r="G284" s="8"/>
      <c r="H284" s="8"/>
      <c r="I284" s="8"/>
      <c r="J284" s="8"/>
      <c r="K284" s="8"/>
      <c r="L284" s="8"/>
      <c r="M284" s="8" t="s">
        <v>1616</v>
      </c>
      <c r="N284" s="5"/>
      <c r="O284" s="5"/>
      <c r="P284" s="5"/>
      <c r="Q284" s="5"/>
      <c r="R284" s="5"/>
    </row>
    <row r="285" spans="1:18" ht="270">
      <c r="A285" s="7" t="s">
        <v>50</v>
      </c>
      <c r="B285" s="13" t="s">
        <v>201</v>
      </c>
      <c r="C285" s="8"/>
      <c r="D285" s="8"/>
      <c r="E285" s="8"/>
      <c r="F285" s="8"/>
      <c r="G285" s="8"/>
      <c r="H285" s="8"/>
      <c r="I285" s="8"/>
      <c r="J285" s="8"/>
      <c r="K285" s="8"/>
      <c r="L285" s="8"/>
      <c r="M285" s="8" t="s">
        <v>1616</v>
      </c>
      <c r="N285" s="5"/>
      <c r="O285" s="5"/>
      <c r="P285" s="5"/>
      <c r="Q285" s="5"/>
      <c r="R285" s="5"/>
    </row>
    <row r="286" spans="1:18" ht="154.30000000000001">
      <c r="A286" s="7" t="s">
        <v>58</v>
      </c>
      <c r="B286" s="13" t="s">
        <v>390</v>
      </c>
      <c r="C286" s="8"/>
      <c r="D286" s="8"/>
      <c r="E286" s="8"/>
      <c r="F286" s="8"/>
      <c r="G286" s="8"/>
      <c r="H286" s="8"/>
      <c r="I286" s="8"/>
      <c r="J286" s="8"/>
      <c r="K286" s="8"/>
      <c r="L286" s="8"/>
      <c r="M286" s="8" t="s">
        <v>1616</v>
      </c>
      <c r="N286" s="5"/>
      <c r="O286" s="5"/>
      <c r="P286" s="5"/>
      <c r="Q286" s="5"/>
      <c r="R286" s="5"/>
    </row>
    <row r="287" spans="1:18" ht="231.45">
      <c r="A287" s="7" t="s">
        <v>1636</v>
      </c>
      <c r="B287" s="13" t="s">
        <v>1366</v>
      </c>
      <c r="C287" s="8"/>
      <c r="D287" s="8"/>
      <c r="E287" s="8"/>
      <c r="F287" s="8"/>
      <c r="G287" s="8"/>
      <c r="H287" s="8"/>
      <c r="I287" s="8"/>
      <c r="J287" s="8"/>
      <c r="K287" s="8"/>
      <c r="L287" s="8"/>
      <c r="M287" s="8" t="s">
        <v>1616</v>
      </c>
      <c r="N287" s="5"/>
      <c r="O287" s="5"/>
      <c r="P287" s="5"/>
      <c r="Q287" s="5"/>
      <c r="R287" s="5"/>
    </row>
    <row r="288" spans="1:18" ht="252.9">
      <c r="A288" s="7" t="s">
        <v>789</v>
      </c>
      <c r="B288" s="13" t="s">
        <v>1637</v>
      </c>
      <c r="C288" s="8"/>
      <c r="D288" s="8"/>
      <c r="E288" s="8"/>
      <c r="F288" s="8"/>
      <c r="G288" s="8"/>
      <c r="H288" s="8"/>
      <c r="I288" s="8"/>
      <c r="J288" s="8"/>
      <c r="K288" s="8"/>
      <c r="L288" s="8"/>
      <c r="M288" s="8" t="s">
        <v>1616</v>
      </c>
      <c r="N288" s="5"/>
      <c r="O288" s="5"/>
      <c r="P288" s="5"/>
      <c r="Q288" s="5"/>
      <c r="R288" s="5"/>
    </row>
    <row r="289" spans="1:18" ht="231.45">
      <c r="A289" s="7" t="s">
        <v>789</v>
      </c>
      <c r="B289" s="13" t="s">
        <v>1638</v>
      </c>
      <c r="C289" s="8"/>
      <c r="D289" s="8"/>
      <c r="E289" s="8"/>
      <c r="F289" s="8"/>
      <c r="G289" s="8"/>
      <c r="H289" s="8"/>
      <c r="I289" s="8"/>
      <c r="J289" s="8"/>
      <c r="K289" s="8"/>
      <c r="L289" s="8"/>
      <c r="M289" s="8" t="s">
        <v>1616</v>
      </c>
      <c r="N289" s="5"/>
      <c r="O289" s="5"/>
      <c r="P289" s="5"/>
      <c r="Q289" s="5"/>
      <c r="R289" s="5"/>
    </row>
    <row r="290" spans="1:18" ht="231.45">
      <c r="A290" s="7" t="s">
        <v>789</v>
      </c>
      <c r="B290" s="13" t="s">
        <v>1639</v>
      </c>
      <c r="C290" s="8"/>
      <c r="D290" s="8"/>
      <c r="E290" s="8"/>
      <c r="F290" s="8"/>
      <c r="G290" s="8"/>
      <c r="H290" s="8"/>
      <c r="I290" s="8"/>
      <c r="J290" s="8"/>
      <c r="K290" s="8"/>
      <c r="L290" s="8"/>
      <c r="M290" s="8" t="s">
        <v>1616</v>
      </c>
      <c r="N290" s="5"/>
      <c r="O290" s="5"/>
      <c r="P290" s="5"/>
      <c r="Q290" s="5"/>
      <c r="R290" s="5"/>
    </row>
    <row r="291" spans="1:18" ht="154.30000000000001">
      <c r="A291" s="7" t="s">
        <v>1632</v>
      </c>
      <c r="B291" s="13" t="s">
        <v>116</v>
      </c>
      <c r="C291" s="8"/>
      <c r="D291" s="8"/>
      <c r="E291" s="8"/>
      <c r="F291" s="8"/>
      <c r="G291" s="8"/>
      <c r="H291" s="8"/>
      <c r="I291" s="8"/>
      <c r="J291" s="8"/>
      <c r="K291" s="8"/>
      <c r="L291" s="8"/>
      <c r="M291" s="8" t="s">
        <v>1616</v>
      </c>
      <c r="N291" s="5"/>
      <c r="O291" s="5"/>
      <c r="P291" s="5"/>
      <c r="Q291" s="5"/>
      <c r="R291" s="5"/>
    </row>
    <row r="292" spans="1:18" ht="231.45">
      <c r="A292" s="7" t="s">
        <v>789</v>
      </c>
      <c r="B292" s="13" t="s">
        <v>1640</v>
      </c>
      <c r="C292" s="8"/>
      <c r="D292" s="8"/>
      <c r="E292" s="8"/>
      <c r="F292" s="8"/>
      <c r="G292" s="8"/>
      <c r="H292" s="8"/>
      <c r="I292" s="8"/>
      <c r="J292" s="8"/>
      <c r="K292" s="8"/>
      <c r="L292" s="8"/>
      <c r="M292" s="8" t="s">
        <v>1616</v>
      </c>
      <c r="N292" s="5"/>
      <c r="O292" s="5"/>
      <c r="P292" s="5"/>
      <c r="Q292" s="5"/>
      <c r="R292" s="5"/>
    </row>
    <row r="293" spans="1:18" ht="231.45">
      <c r="A293" s="7" t="s">
        <v>789</v>
      </c>
      <c r="B293" s="13" t="s">
        <v>116</v>
      </c>
      <c r="C293" s="8"/>
      <c r="D293" s="8"/>
      <c r="E293" s="8"/>
      <c r="F293" s="8"/>
      <c r="G293" s="8"/>
      <c r="H293" s="8"/>
      <c r="I293" s="8"/>
      <c r="J293" s="8"/>
      <c r="K293" s="8"/>
      <c r="L293" s="8"/>
      <c r="M293" s="8" t="s">
        <v>1616</v>
      </c>
      <c r="N293" s="5"/>
      <c r="O293" s="5"/>
      <c r="P293" s="5"/>
      <c r="Q293" s="5"/>
      <c r="R293" s="5"/>
    </row>
    <row r="294" spans="1:18" ht="231.45">
      <c r="A294" s="7" t="s">
        <v>789</v>
      </c>
      <c r="B294" s="13" t="s">
        <v>1641</v>
      </c>
      <c r="C294" s="8"/>
      <c r="D294" s="8"/>
      <c r="E294" s="8"/>
      <c r="F294" s="8"/>
      <c r="G294" s="8"/>
      <c r="H294" s="8"/>
      <c r="I294" s="8"/>
      <c r="J294" s="8"/>
      <c r="K294" s="8"/>
      <c r="L294" s="8"/>
      <c r="M294" s="8" t="s">
        <v>1616</v>
      </c>
      <c r="N294" s="5"/>
      <c r="O294" s="5"/>
      <c r="P294" s="5"/>
      <c r="Q294" s="5"/>
      <c r="R294" s="5"/>
    </row>
    <row r="295" spans="1:18" ht="231.45">
      <c r="A295" s="7" t="s">
        <v>1642</v>
      </c>
      <c r="B295" s="13" t="s">
        <v>1643</v>
      </c>
      <c r="C295" s="8"/>
      <c r="D295" s="8"/>
      <c r="E295" s="8"/>
      <c r="F295" s="8"/>
      <c r="G295" s="8"/>
      <c r="H295" s="8"/>
      <c r="I295" s="8"/>
      <c r="J295" s="8"/>
      <c r="K295" s="8"/>
      <c r="L295" s="8"/>
      <c r="M295" s="8" t="s">
        <v>1616</v>
      </c>
      <c r="N295" s="5"/>
      <c r="O295" s="5"/>
      <c r="P295" s="5"/>
      <c r="Q295" s="5"/>
      <c r="R295" s="5"/>
    </row>
    <row r="296" spans="1:18" ht="347.15">
      <c r="A296" s="7" t="s">
        <v>288</v>
      </c>
      <c r="B296" s="13" t="s">
        <v>288</v>
      </c>
      <c r="C296" s="8"/>
      <c r="D296" s="8"/>
      <c r="E296" s="8"/>
      <c r="F296" s="8"/>
      <c r="G296" s="8"/>
      <c r="H296" s="8"/>
      <c r="I296" s="8"/>
      <c r="J296" s="8"/>
      <c r="K296" s="8"/>
      <c r="L296" s="8"/>
      <c r="M296" s="8" t="s">
        <v>1616</v>
      </c>
      <c r="N296" s="5"/>
      <c r="O296" s="5"/>
      <c r="P296" s="5"/>
      <c r="Q296" s="5"/>
      <c r="R296" s="5"/>
    </row>
    <row r="297" spans="1:18" ht="270">
      <c r="A297" s="7" t="s">
        <v>1644</v>
      </c>
      <c r="B297" s="13" t="s">
        <v>1366</v>
      </c>
      <c r="C297" s="8"/>
      <c r="D297" s="8"/>
      <c r="E297" s="8"/>
      <c r="F297" s="8"/>
      <c r="G297" s="8"/>
      <c r="H297" s="8"/>
      <c r="I297" s="8"/>
      <c r="J297" s="8"/>
      <c r="K297" s="8"/>
      <c r="L297" s="8"/>
      <c r="M297" s="8" t="s">
        <v>1616</v>
      </c>
      <c r="N297" s="5"/>
      <c r="O297" s="5"/>
      <c r="P297" s="5"/>
      <c r="Q297" s="5"/>
      <c r="R297" s="5"/>
    </row>
    <row r="298" spans="1:18" ht="154.30000000000001">
      <c r="A298" s="7" t="s">
        <v>1645</v>
      </c>
      <c r="B298" s="13" t="s">
        <v>1646</v>
      </c>
      <c r="C298" s="8"/>
      <c r="D298" s="8"/>
      <c r="E298" s="8"/>
      <c r="F298" s="8"/>
      <c r="G298" s="8"/>
      <c r="H298" s="8"/>
      <c r="I298" s="8"/>
      <c r="J298" s="8"/>
      <c r="K298" s="8"/>
      <c r="L298" s="8"/>
      <c r="M298" s="8" t="s">
        <v>1616</v>
      </c>
      <c r="N298" s="5"/>
      <c r="O298" s="5"/>
      <c r="P298" s="5"/>
      <c r="Q298" s="5"/>
      <c r="R298" s="5"/>
    </row>
    <row r="299" spans="1:18" ht="270">
      <c r="A299" s="7" t="s">
        <v>50</v>
      </c>
      <c r="B299" s="13" t="s">
        <v>1647</v>
      </c>
      <c r="C299" s="8"/>
      <c r="D299" s="8"/>
      <c r="E299" s="8"/>
      <c r="F299" s="8"/>
      <c r="G299" s="8"/>
      <c r="H299" s="8"/>
      <c r="I299" s="8"/>
      <c r="J299" s="8"/>
      <c r="K299" s="8"/>
      <c r="L299" s="8"/>
      <c r="M299" s="8" t="s">
        <v>1616</v>
      </c>
      <c r="N299" s="5"/>
      <c r="O299" s="5"/>
      <c r="P299" s="5"/>
      <c r="Q299" s="5"/>
      <c r="R299" s="5"/>
    </row>
    <row r="300" spans="1:18" ht="154.30000000000001">
      <c r="A300" s="7" t="s">
        <v>1148</v>
      </c>
      <c r="B300" s="13" t="s">
        <v>59</v>
      </c>
      <c r="C300" s="8"/>
      <c r="D300" s="8"/>
      <c r="E300" s="8"/>
      <c r="F300" s="8"/>
      <c r="G300" s="8"/>
      <c r="H300" s="8"/>
      <c r="I300" s="8"/>
      <c r="J300" s="8"/>
      <c r="K300" s="8"/>
      <c r="L300" s="8"/>
      <c r="M300" s="8" t="s">
        <v>1616</v>
      </c>
      <c r="N300" s="5"/>
      <c r="O300" s="5"/>
      <c r="P300" s="5"/>
      <c r="Q300" s="5"/>
      <c r="R300" s="5"/>
    </row>
    <row r="301" spans="1:18" ht="154.30000000000001">
      <c r="A301" s="7" t="s">
        <v>1148</v>
      </c>
      <c r="B301" s="13" t="s">
        <v>295</v>
      </c>
      <c r="C301" s="8"/>
      <c r="D301" s="8"/>
      <c r="E301" s="8"/>
      <c r="F301" s="8"/>
      <c r="G301" s="8"/>
      <c r="H301" s="8"/>
      <c r="I301" s="8"/>
      <c r="J301" s="8"/>
      <c r="K301" s="8"/>
      <c r="L301" s="8"/>
      <c r="M301" s="8" t="s">
        <v>1616</v>
      </c>
      <c r="N301" s="5"/>
      <c r="O301" s="5"/>
      <c r="P301" s="5"/>
      <c r="Q301" s="5"/>
      <c r="R301" s="5"/>
    </row>
    <row r="302" spans="1:18" ht="231.45">
      <c r="A302" s="7" t="s">
        <v>287</v>
      </c>
      <c r="B302" s="13" t="s">
        <v>1648</v>
      </c>
      <c r="C302" s="8"/>
      <c r="D302" s="8"/>
      <c r="E302" s="8"/>
      <c r="F302" s="8"/>
      <c r="G302" s="8"/>
      <c r="H302" s="8"/>
      <c r="I302" s="8"/>
      <c r="J302" s="8"/>
      <c r="K302" s="8"/>
      <c r="L302" s="8"/>
      <c r="M302" s="8" t="s">
        <v>1616</v>
      </c>
      <c r="N302" s="5"/>
      <c r="O302" s="5"/>
      <c r="P302" s="5"/>
      <c r="Q302" s="5"/>
      <c r="R302" s="5"/>
    </row>
    <row r="303" spans="1:18" ht="231.45">
      <c r="A303" s="7" t="s">
        <v>1015</v>
      </c>
      <c r="B303" s="13" t="s">
        <v>59</v>
      </c>
      <c r="C303" s="8"/>
      <c r="D303" s="8"/>
      <c r="E303" s="8"/>
      <c r="F303" s="8"/>
      <c r="G303" s="8"/>
      <c r="H303" s="8"/>
      <c r="I303" s="8"/>
      <c r="J303" s="8"/>
      <c r="K303" s="8"/>
      <c r="L303" s="8"/>
      <c r="M303" s="8" t="s">
        <v>1616</v>
      </c>
      <c r="N303" s="5"/>
      <c r="O303" s="5"/>
      <c r="P303" s="5"/>
      <c r="Q303" s="5"/>
      <c r="R303" s="5"/>
    </row>
    <row r="304" spans="1:18" ht="231.45">
      <c r="A304" s="7" t="s">
        <v>1015</v>
      </c>
      <c r="B304" s="13" t="s">
        <v>1649</v>
      </c>
      <c r="C304" s="8"/>
      <c r="D304" s="8"/>
      <c r="E304" s="8"/>
      <c r="F304" s="8"/>
      <c r="G304" s="8"/>
      <c r="H304" s="8"/>
      <c r="I304" s="8"/>
      <c r="J304" s="8"/>
      <c r="K304" s="8"/>
      <c r="L304" s="8"/>
      <c r="M304" s="8" t="s">
        <v>1616</v>
      </c>
      <c r="N304" s="5"/>
      <c r="O304" s="5"/>
      <c r="P304" s="5"/>
      <c r="Q304" s="5"/>
      <c r="R304" s="5"/>
    </row>
    <row r="305" spans="1:18" ht="154.30000000000001">
      <c r="A305" s="7" t="s">
        <v>58</v>
      </c>
      <c r="B305" s="13" t="s">
        <v>1650</v>
      </c>
      <c r="C305" s="8"/>
      <c r="D305" s="8"/>
      <c r="E305" s="8"/>
      <c r="F305" s="8"/>
      <c r="G305" s="8"/>
      <c r="H305" s="8"/>
      <c r="I305" s="8"/>
      <c r="J305" s="8"/>
      <c r="K305" s="8"/>
      <c r="L305" s="8"/>
      <c r="M305" s="8" t="s">
        <v>1616</v>
      </c>
      <c r="N305" s="5"/>
      <c r="O305" s="5"/>
      <c r="P305" s="5"/>
      <c r="Q305" s="5"/>
      <c r="R305" s="5"/>
    </row>
    <row r="306" spans="1:18" ht="270">
      <c r="A306" s="7" t="s">
        <v>1357</v>
      </c>
      <c r="B306" s="13" t="s">
        <v>1651</v>
      </c>
      <c r="C306" s="8"/>
      <c r="D306" s="8"/>
      <c r="E306" s="8"/>
      <c r="F306" s="8"/>
      <c r="G306" s="8"/>
      <c r="H306" s="8"/>
      <c r="I306" s="8"/>
      <c r="J306" s="8"/>
      <c r="K306" s="8"/>
      <c r="L306" s="8"/>
      <c r="M306" s="8" t="s">
        <v>1616</v>
      </c>
      <c r="N306" s="5"/>
      <c r="O306" s="5"/>
      <c r="P306" s="5"/>
      <c r="Q306" s="5"/>
      <c r="R306" s="5"/>
    </row>
    <row r="307" spans="1:18" ht="270">
      <c r="A307" s="7" t="s">
        <v>1357</v>
      </c>
      <c r="B307" s="13" t="s">
        <v>1652</v>
      </c>
      <c r="C307" s="8"/>
      <c r="D307" s="8"/>
      <c r="E307" s="8"/>
      <c r="F307" s="8"/>
      <c r="G307" s="8"/>
      <c r="H307" s="8"/>
      <c r="I307" s="8"/>
      <c r="J307" s="8"/>
      <c r="K307" s="8"/>
      <c r="L307" s="8"/>
      <c r="M307" s="8" t="s">
        <v>1616</v>
      </c>
      <c r="N307" s="5"/>
      <c r="O307" s="5"/>
      <c r="P307" s="5"/>
      <c r="Q307" s="5"/>
      <c r="R307" s="5"/>
    </row>
    <row r="308" spans="1:18" ht="409.6">
      <c r="A308" s="7" t="s">
        <v>287</v>
      </c>
      <c r="B308" s="13" t="s">
        <v>1653</v>
      </c>
      <c r="C308" s="8" t="s">
        <v>36</v>
      </c>
      <c r="D308" s="8" t="s">
        <v>1654</v>
      </c>
      <c r="E308" s="8" t="s">
        <v>1655</v>
      </c>
      <c r="F308" s="8" t="s">
        <v>17</v>
      </c>
      <c r="G308" s="8" t="s">
        <v>1656</v>
      </c>
      <c r="H308" s="8" t="s">
        <v>1657</v>
      </c>
      <c r="I308" s="8" t="s">
        <v>402</v>
      </c>
      <c r="J308" s="8" t="s">
        <v>1658</v>
      </c>
      <c r="K308" s="8" t="s">
        <v>1659</v>
      </c>
      <c r="L308" s="8" t="s">
        <v>1660</v>
      </c>
      <c r="M308" s="8"/>
      <c r="N308" s="5"/>
      <c r="O308" s="5"/>
      <c r="P308" s="5"/>
      <c r="Q308" s="5"/>
      <c r="R308" s="5"/>
    </row>
    <row r="309" spans="1:18" ht="231.45">
      <c r="A309" s="7" t="s">
        <v>653</v>
      </c>
      <c r="B309" s="13" t="s">
        <v>1661</v>
      </c>
      <c r="C309" s="8"/>
      <c r="D309" s="8"/>
      <c r="E309" s="8"/>
      <c r="F309" s="8"/>
      <c r="G309" s="8"/>
      <c r="H309" s="8"/>
      <c r="I309" s="8"/>
      <c r="J309" s="8"/>
      <c r="K309" s="8"/>
      <c r="L309" s="8"/>
      <c r="M309" s="8" t="s">
        <v>1616</v>
      </c>
      <c r="N309" s="5"/>
      <c r="O309" s="5"/>
      <c r="P309" s="5"/>
      <c r="Q309" s="5"/>
      <c r="R309" s="5"/>
    </row>
    <row r="310" spans="1:18" ht="154.30000000000001">
      <c r="A310" s="7" t="s">
        <v>318</v>
      </c>
      <c r="B310" s="13" t="s">
        <v>1662</v>
      </c>
      <c r="C310" s="8"/>
      <c r="D310" s="8"/>
      <c r="E310" s="8"/>
      <c r="F310" s="8"/>
      <c r="G310" s="8"/>
      <c r="H310" s="8"/>
      <c r="I310" s="8"/>
      <c r="J310" s="8"/>
      <c r="K310" s="8"/>
      <c r="L310" s="8"/>
      <c r="M310" s="8" t="s">
        <v>1616</v>
      </c>
      <c r="N310" s="5"/>
      <c r="O310" s="5"/>
      <c r="P310" s="5"/>
      <c r="Q310" s="5"/>
      <c r="R310" s="5"/>
    </row>
    <row r="311" spans="1:18" ht="270">
      <c r="A311" s="7" t="s">
        <v>1357</v>
      </c>
      <c r="B311" s="13" t="s">
        <v>1663</v>
      </c>
      <c r="C311" s="8"/>
      <c r="D311" s="8"/>
      <c r="E311" s="8"/>
      <c r="F311" s="8"/>
      <c r="G311" s="8"/>
      <c r="H311" s="8"/>
      <c r="I311" s="8"/>
      <c r="J311" s="8"/>
      <c r="K311" s="8"/>
      <c r="L311" s="8"/>
      <c r="M311" s="8" t="s">
        <v>1616</v>
      </c>
      <c r="N311" s="5"/>
      <c r="O311" s="5"/>
      <c r="P311" s="5"/>
      <c r="Q311" s="5"/>
      <c r="R311" s="5"/>
    </row>
  </sheetData>
  <phoneticPr fontId="5"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726C-F8BF-4825-9C5A-20BD0D51E250}">
  <dimension ref="A1:W522"/>
  <sheetViews>
    <sheetView topLeftCell="A206" zoomScale="50" zoomScaleNormal="50" workbookViewId="0">
      <selection activeCell="X234" sqref="X234"/>
    </sheetView>
  </sheetViews>
  <sheetFormatPr defaultRowHeight="15"/>
  <sheetData>
    <row r="1" spans="1:23">
      <c r="A1" s="16" t="s">
        <v>0</v>
      </c>
      <c r="B1" s="16" t="s">
        <v>1</v>
      </c>
      <c r="C1" s="176" t="s">
        <v>2</v>
      </c>
      <c r="D1" s="177"/>
      <c r="E1" s="176" t="s">
        <v>3</v>
      </c>
      <c r="F1" s="177"/>
      <c r="G1" s="176" t="s">
        <v>4</v>
      </c>
      <c r="H1" s="177"/>
      <c r="I1" s="176" t="s">
        <v>5</v>
      </c>
      <c r="J1" s="177"/>
      <c r="K1" s="176" t="s">
        <v>6</v>
      </c>
      <c r="L1" s="177"/>
      <c r="M1" s="176" t="s">
        <v>7</v>
      </c>
      <c r="N1" s="177"/>
      <c r="O1" s="176" t="s">
        <v>8</v>
      </c>
      <c r="P1" s="177"/>
      <c r="Q1" s="176" t="s">
        <v>9</v>
      </c>
      <c r="R1" s="176"/>
      <c r="S1" s="176" t="s">
        <v>10</v>
      </c>
      <c r="T1" s="176"/>
      <c r="U1" s="176" t="s">
        <v>11</v>
      </c>
      <c r="V1" s="176"/>
      <c r="W1" s="16" t="s">
        <v>12</v>
      </c>
    </row>
    <row r="2" spans="1:23" ht="409.6">
      <c r="A2" s="156" t="s">
        <v>13</v>
      </c>
      <c r="B2" s="156" t="s">
        <v>1674</v>
      </c>
      <c r="C2" s="17" t="s">
        <v>1675</v>
      </c>
      <c r="D2" s="18" t="s">
        <v>36</v>
      </c>
      <c r="E2" s="17" t="s">
        <v>1675</v>
      </c>
      <c r="F2" s="18" t="s">
        <v>60</v>
      </c>
      <c r="G2" s="17" t="s">
        <v>1675</v>
      </c>
      <c r="H2" s="18" t="s">
        <v>29</v>
      </c>
      <c r="I2" s="17" t="s">
        <v>1675</v>
      </c>
      <c r="J2" s="18" t="s">
        <v>1676</v>
      </c>
      <c r="K2" s="17" t="s">
        <v>1675</v>
      </c>
      <c r="L2" s="18" t="s">
        <v>1677</v>
      </c>
      <c r="M2" s="17" t="s">
        <v>1675</v>
      </c>
      <c r="N2" s="18" t="s">
        <v>1678</v>
      </c>
      <c r="O2" s="17" t="s">
        <v>1675</v>
      </c>
      <c r="P2" s="18" t="s">
        <v>17</v>
      </c>
      <c r="Q2" s="17" t="s">
        <v>1675</v>
      </c>
      <c r="R2" s="17" t="s">
        <v>1679</v>
      </c>
      <c r="S2" s="17" t="s">
        <v>1675</v>
      </c>
      <c r="T2" s="17" t="s">
        <v>1680</v>
      </c>
      <c r="U2" s="17" t="s">
        <v>1675</v>
      </c>
      <c r="V2" s="17" t="s">
        <v>17</v>
      </c>
      <c r="W2" s="17"/>
    </row>
    <row r="3" spans="1:23" ht="409.6">
      <c r="A3" s="156"/>
      <c r="B3" s="156"/>
      <c r="C3" s="17" t="s">
        <v>1681</v>
      </c>
      <c r="D3" s="18" t="s">
        <v>36</v>
      </c>
      <c r="E3" s="17" t="s">
        <v>1681</v>
      </c>
      <c r="F3" s="18" t="s">
        <v>60</v>
      </c>
      <c r="G3" s="17" t="s">
        <v>1681</v>
      </c>
      <c r="H3" s="18" t="s">
        <v>29</v>
      </c>
      <c r="I3" s="17" t="s">
        <v>1681</v>
      </c>
      <c r="J3" s="18" t="s">
        <v>1676</v>
      </c>
      <c r="K3" s="17" t="s">
        <v>1681</v>
      </c>
      <c r="L3" s="18" t="s">
        <v>1682</v>
      </c>
      <c r="M3" s="17" t="s">
        <v>1681</v>
      </c>
      <c r="N3" s="18" t="s">
        <v>1683</v>
      </c>
      <c r="O3" s="17" t="s">
        <v>1681</v>
      </c>
      <c r="P3" s="18" t="s">
        <v>17</v>
      </c>
      <c r="Q3" s="17" t="s">
        <v>1681</v>
      </c>
      <c r="R3" s="17" t="s">
        <v>1684</v>
      </c>
      <c r="S3" s="17" t="s">
        <v>1681</v>
      </c>
      <c r="T3" s="17" t="s">
        <v>1680</v>
      </c>
      <c r="U3" s="17" t="s">
        <v>1681</v>
      </c>
      <c r="V3" s="17" t="s">
        <v>17</v>
      </c>
      <c r="W3" s="17"/>
    </row>
    <row r="4" spans="1:23" ht="409.6">
      <c r="A4" s="156"/>
      <c r="B4" s="156"/>
      <c r="C4" s="17" t="s">
        <v>1685</v>
      </c>
      <c r="D4" s="18" t="s">
        <v>36</v>
      </c>
      <c r="E4" s="17" t="s">
        <v>1685</v>
      </c>
      <c r="F4" s="18" t="s">
        <v>60</v>
      </c>
      <c r="G4" s="17" t="s">
        <v>1685</v>
      </c>
      <c r="H4" s="18" t="s">
        <v>17</v>
      </c>
      <c r="I4" s="17" t="s">
        <v>1685</v>
      </c>
      <c r="J4" s="18" t="s">
        <v>17</v>
      </c>
      <c r="K4" s="17" t="s">
        <v>1685</v>
      </c>
      <c r="L4" s="18" t="s">
        <v>1686</v>
      </c>
      <c r="M4" s="17" t="s">
        <v>1685</v>
      </c>
      <c r="N4" s="18" t="s">
        <v>17</v>
      </c>
      <c r="O4" s="17" t="s">
        <v>1685</v>
      </c>
      <c r="P4" s="18" t="s">
        <v>17</v>
      </c>
      <c r="Q4" s="17" t="s">
        <v>1685</v>
      </c>
      <c r="R4" s="17" t="s">
        <v>1687</v>
      </c>
      <c r="S4" s="17" t="s">
        <v>1685</v>
      </c>
      <c r="T4" s="17" t="s">
        <v>17</v>
      </c>
      <c r="U4" s="17" t="s">
        <v>1685</v>
      </c>
      <c r="V4" s="17" t="s">
        <v>17</v>
      </c>
      <c r="W4" s="17"/>
    </row>
    <row r="5" spans="1:23" ht="409.6">
      <c r="A5" s="156"/>
      <c r="B5" s="156"/>
      <c r="C5" s="17" t="s">
        <v>1688</v>
      </c>
      <c r="D5" s="18" t="s">
        <v>36</v>
      </c>
      <c r="E5" s="17" t="s">
        <v>1688</v>
      </c>
      <c r="F5" s="18" t="s">
        <v>60</v>
      </c>
      <c r="G5" s="17" t="s">
        <v>1688</v>
      </c>
      <c r="H5" s="18" t="s">
        <v>17</v>
      </c>
      <c r="I5" s="17" t="s">
        <v>1688</v>
      </c>
      <c r="J5" s="18" t="s">
        <v>17</v>
      </c>
      <c r="K5" s="17" t="s">
        <v>1688</v>
      </c>
      <c r="L5" s="18" t="s">
        <v>1689</v>
      </c>
      <c r="M5" s="17" t="s">
        <v>1688</v>
      </c>
      <c r="N5" s="18" t="s">
        <v>1690</v>
      </c>
      <c r="O5" s="17" t="s">
        <v>1688</v>
      </c>
      <c r="P5" s="18" t="s">
        <v>17</v>
      </c>
      <c r="Q5" s="17" t="s">
        <v>1688</v>
      </c>
      <c r="R5" s="17" t="s">
        <v>1691</v>
      </c>
      <c r="S5" s="17" t="s">
        <v>1688</v>
      </c>
      <c r="T5" s="17" t="s">
        <v>17</v>
      </c>
      <c r="U5" s="17" t="s">
        <v>1688</v>
      </c>
      <c r="V5" s="17" t="s">
        <v>17</v>
      </c>
      <c r="W5" s="17"/>
    </row>
    <row r="6" spans="1:23" ht="409.6">
      <c r="A6" s="156" t="s">
        <v>58</v>
      </c>
      <c r="B6" s="165" t="s">
        <v>59</v>
      </c>
      <c r="C6" s="17" t="s">
        <v>1681</v>
      </c>
      <c r="D6" s="18" t="s">
        <v>17</v>
      </c>
      <c r="E6" s="17" t="s">
        <v>1681</v>
      </c>
      <c r="F6" s="18" t="s">
        <v>17</v>
      </c>
      <c r="G6" s="17" t="s">
        <v>1681</v>
      </c>
      <c r="H6" s="18" t="s">
        <v>29</v>
      </c>
      <c r="I6" s="17" t="s">
        <v>1681</v>
      </c>
      <c r="J6" s="18" t="s">
        <v>1692</v>
      </c>
      <c r="K6" s="17" t="s">
        <v>1681</v>
      </c>
      <c r="L6" s="18" t="s">
        <v>1693</v>
      </c>
      <c r="M6" s="17" t="s">
        <v>1681</v>
      </c>
      <c r="N6" s="18" t="s">
        <v>1694</v>
      </c>
      <c r="O6" s="17" t="s">
        <v>1681</v>
      </c>
      <c r="P6" s="18" t="s">
        <v>402</v>
      </c>
      <c r="Q6" s="17" t="s">
        <v>1681</v>
      </c>
      <c r="R6" s="17" t="s">
        <v>1695</v>
      </c>
      <c r="S6" s="17" t="s">
        <v>1681</v>
      </c>
      <c r="T6" s="17" t="s">
        <v>1696</v>
      </c>
      <c r="U6" s="17" t="s">
        <v>1681</v>
      </c>
      <c r="V6" s="167" t="s">
        <v>17</v>
      </c>
      <c r="W6" s="17" t="s">
        <v>1697</v>
      </c>
    </row>
    <row r="7" spans="1:23" ht="409.6">
      <c r="A7" s="156"/>
      <c r="B7" s="153"/>
      <c r="C7" s="17" t="s">
        <v>1675</v>
      </c>
      <c r="D7" s="18" t="s">
        <v>36</v>
      </c>
      <c r="E7" s="17" t="s">
        <v>1675</v>
      </c>
      <c r="F7" s="18" t="s">
        <v>60</v>
      </c>
      <c r="G7" s="17" t="s">
        <v>1675</v>
      </c>
      <c r="H7" s="18" t="s">
        <v>17</v>
      </c>
      <c r="I7" s="17" t="s">
        <v>1675</v>
      </c>
      <c r="J7" s="18" t="s">
        <v>17</v>
      </c>
      <c r="K7" s="17" t="s">
        <v>1675</v>
      </c>
      <c r="L7" s="18" t="s">
        <v>1698</v>
      </c>
      <c r="M7" s="17" t="s">
        <v>1675</v>
      </c>
      <c r="N7" s="18" t="s">
        <v>1699</v>
      </c>
      <c r="O7" s="17" t="s">
        <v>1675</v>
      </c>
      <c r="P7" s="18" t="s">
        <v>17</v>
      </c>
      <c r="Q7" s="17" t="s">
        <v>1675</v>
      </c>
      <c r="R7" s="17" t="s">
        <v>1700</v>
      </c>
      <c r="S7" s="17" t="s">
        <v>1675</v>
      </c>
      <c r="T7" s="17"/>
      <c r="U7" s="17" t="s">
        <v>1675</v>
      </c>
      <c r="V7" s="167" t="s">
        <v>1701</v>
      </c>
      <c r="W7" s="17"/>
    </row>
    <row r="8" spans="1:23" ht="300">
      <c r="A8" s="156"/>
      <c r="B8" s="153"/>
      <c r="C8" s="17" t="s">
        <v>1685</v>
      </c>
      <c r="D8" s="18" t="s">
        <v>17</v>
      </c>
      <c r="E8" s="17" t="s">
        <v>1685</v>
      </c>
      <c r="F8" s="18" t="s">
        <v>17</v>
      </c>
      <c r="G8" s="17" t="s">
        <v>1685</v>
      </c>
      <c r="H8" s="18" t="s">
        <v>1702</v>
      </c>
      <c r="I8" s="17" t="s">
        <v>1685</v>
      </c>
      <c r="J8" s="18" t="s">
        <v>1703</v>
      </c>
      <c r="K8" s="17" t="s">
        <v>1685</v>
      </c>
      <c r="L8" s="18" t="s">
        <v>1704</v>
      </c>
      <c r="M8" s="17" t="s">
        <v>1685</v>
      </c>
      <c r="N8" s="18" t="s">
        <v>1705</v>
      </c>
      <c r="O8" s="17" t="s">
        <v>1685</v>
      </c>
      <c r="P8" s="18" t="s">
        <v>928</v>
      </c>
      <c r="Q8" s="17" t="s">
        <v>1685</v>
      </c>
      <c r="R8" s="17" t="s">
        <v>1706</v>
      </c>
      <c r="S8" s="17" t="s">
        <v>1685</v>
      </c>
      <c r="T8" s="17" t="s">
        <v>17</v>
      </c>
      <c r="U8" s="17" t="s">
        <v>1685</v>
      </c>
      <c r="V8" s="167"/>
      <c r="W8" s="17"/>
    </row>
    <row r="9" spans="1:23" ht="315">
      <c r="A9" s="156" t="s">
        <v>13</v>
      </c>
      <c r="B9" s="154"/>
      <c r="C9" s="17" t="s">
        <v>1688</v>
      </c>
      <c r="D9" s="18" t="s">
        <v>36</v>
      </c>
      <c r="E9" s="17" t="s">
        <v>1688</v>
      </c>
      <c r="F9" s="18" t="s">
        <v>60</v>
      </c>
      <c r="G9" s="17" t="s">
        <v>1688</v>
      </c>
      <c r="H9" s="18" t="s">
        <v>1707</v>
      </c>
      <c r="I9" s="17" t="s">
        <v>1688</v>
      </c>
      <c r="J9" s="18" t="s">
        <v>1708</v>
      </c>
      <c r="K9" s="17" t="s">
        <v>1688</v>
      </c>
      <c r="L9" s="18" t="s">
        <v>1709</v>
      </c>
      <c r="M9" s="17" t="s">
        <v>1688</v>
      </c>
      <c r="N9" s="18" t="s">
        <v>1710</v>
      </c>
      <c r="O9" s="17" t="s">
        <v>1688</v>
      </c>
      <c r="P9" s="18" t="s">
        <v>32</v>
      </c>
      <c r="Q9" s="17" t="s">
        <v>1688</v>
      </c>
      <c r="R9" s="17" t="s">
        <v>64</v>
      </c>
      <c r="S9" s="17" t="s">
        <v>1688</v>
      </c>
      <c r="T9" s="17" t="s">
        <v>1711</v>
      </c>
      <c r="U9" s="17" t="s">
        <v>1688</v>
      </c>
      <c r="V9" s="167" t="s">
        <v>17</v>
      </c>
      <c r="W9" s="17" t="s">
        <v>1712</v>
      </c>
    </row>
    <row r="10" spans="1:23" ht="409.6">
      <c r="A10" s="156" t="s">
        <v>13</v>
      </c>
      <c r="B10" s="165" t="s">
        <v>1713</v>
      </c>
      <c r="C10" s="17" t="s">
        <v>1681</v>
      </c>
      <c r="D10" s="18" t="s">
        <v>36</v>
      </c>
      <c r="E10" s="17" t="s">
        <v>1681</v>
      </c>
      <c r="F10" s="18" t="s">
        <v>60</v>
      </c>
      <c r="G10" s="17" t="s">
        <v>1681</v>
      </c>
      <c r="H10" s="18" t="s">
        <v>17</v>
      </c>
      <c r="I10" s="17" t="s">
        <v>1681</v>
      </c>
      <c r="J10" s="18" t="s">
        <v>17</v>
      </c>
      <c r="K10" s="17" t="s">
        <v>1681</v>
      </c>
      <c r="L10" s="18" t="s">
        <v>1714</v>
      </c>
      <c r="M10" s="17" t="s">
        <v>1681</v>
      </c>
      <c r="N10" s="18" t="s">
        <v>1715</v>
      </c>
      <c r="O10" s="17" t="s">
        <v>1681</v>
      </c>
      <c r="P10" s="18" t="s">
        <v>1716</v>
      </c>
      <c r="Q10" s="17" t="s">
        <v>1681</v>
      </c>
      <c r="R10" s="17" t="s">
        <v>1717</v>
      </c>
      <c r="S10" s="17" t="s">
        <v>1681</v>
      </c>
      <c r="T10" s="17" t="s">
        <v>1718</v>
      </c>
      <c r="U10" s="17" t="s">
        <v>1681</v>
      </c>
      <c r="V10" s="167" t="s">
        <v>17</v>
      </c>
      <c r="W10" s="17" t="s">
        <v>1719</v>
      </c>
    </row>
    <row r="11" spans="1:23" ht="409.6">
      <c r="A11" s="156"/>
      <c r="B11" s="153"/>
      <c r="C11" s="17" t="s">
        <v>1685</v>
      </c>
      <c r="D11" s="18" t="s">
        <v>36</v>
      </c>
      <c r="E11" s="17" t="s">
        <v>1685</v>
      </c>
      <c r="F11" s="18" t="s">
        <v>1720</v>
      </c>
      <c r="G11" s="17" t="s">
        <v>1685</v>
      </c>
      <c r="H11" s="18" t="s">
        <v>17</v>
      </c>
      <c r="I11" s="17" t="s">
        <v>1685</v>
      </c>
      <c r="J11" s="18" t="s">
        <v>17</v>
      </c>
      <c r="K11" s="17" t="s">
        <v>1685</v>
      </c>
      <c r="L11" s="18" t="s">
        <v>1721</v>
      </c>
      <c r="M11" s="17" t="s">
        <v>1685</v>
      </c>
      <c r="N11" s="18" t="s">
        <v>17</v>
      </c>
      <c r="O11" s="17" t="s">
        <v>1685</v>
      </c>
      <c r="P11" s="18" t="s">
        <v>1716</v>
      </c>
      <c r="Q11" s="17" t="s">
        <v>1685</v>
      </c>
      <c r="R11" s="17" t="s">
        <v>1722</v>
      </c>
      <c r="S11" s="17" t="s">
        <v>1685</v>
      </c>
      <c r="T11" s="17" t="s">
        <v>17</v>
      </c>
      <c r="U11" s="17" t="s">
        <v>1685</v>
      </c>
      <c r="V11" s="167"/>
      <c r="W11" s="17" t="s">
        <v>1723</v>
      </c>
    </row>
    <row r="12" spans="1:23" ht="409.6">
      <c r="A12" s="156"/>
      <c r="B12" s="153"/>
      <c r="C12" s="17" t="s">
        <v>1688</v>
      </c>
      <c r="D12" s="18" t="s">
        <v>36</v>
      </c>
      <c r="E12" s="17" t="s">
        <v>1724</v>
      </c>
      <c r="F12" s="18" t="s">
        <v>82</v>
      </c>
      <c r="G12" s="17" t="s">
        <v>1688</v>
      </c>
      <c r="H12" s="18" t="s">
        <v>88</v>
      </c>
      <c r="I12" s="17" t="s">
        <v>1688</v>
      </c>
      <c r="J12" s="18" t="s">
        <v>17</v>
      </c>
      <c r="K12" s="17" t="s">
        <v>1724</v>
      </c>
      <c r="L12" s="18" t="s">
        <v>1725</v>
      </c>
      <c r="M12" s="17" t="s">
        <v>1724</v>
      </c>
      <c r="N12" s="18" t="s">
        <v>1726</v>
      </c>
      <c r="O12" s="17" t="s">
        <v>1724</v>
      </c>
      <c r="P12" s="18" t="s">
        <v>928</v>
      </c>
      <c r="Q12" s="17" t="s">
        <v>1724</v>
      </c>
      <c r="R12" s="17" t="s">
        <v>1727</v>
      </c>
      <c r="S12" s="17" t="s">
        <v>1688</v>
      </c>
      <c r="T12" s="17" t="s">
        <v>17</v>
      </c>
      <c r="U12" s="17" t="s">
        <v>1688</v>
      </c>
      <c r="V12" s="167" t="s">
        <v>17</v>
      </c>
      <c r="W12" s="20"/>
    </row>
    <row r="13" spans="1:23" ht="409.6">
      <c r="A13" s="156" t="s">
        <v>239</v>
      </c>
      <c r="B13" s="156" t="s">
        <v>1728</v>
      </c>
      <c r="C13" s="17" t="s">
        <v>1729</v>
      </c>
      <c r="D13" s="18" t="s">
        <v>1730</v>
      </c>
      <c r="E13" s="17" t="s">
        <v>1729</v>
      </c>
      <c r="F13" s="18" t="s">
        <v>87</v>
      </c>
      <c r="G13" s="17" t="s">
        <v>1729</v>
      </c>
      <c r="H13" s="168" t="s">
        <v>29</v>
      </c>
      <c r="I13" s="17" t="s">
        <v>1729</v>
      </c>
      <c r="J13" s="168" t="s">
        <v>1731</v>
      </c>
      <c r="K13" s="17" t="s">
        <v>1729</v>
      </c>
      <c r="L13" s="18" t="s">
        <v>1732</v>
      </c>
      <c r="M13" s="17" t="s">
        <v>1729</v>
      </c>
      <c r="N13" s="18" t="s">
        <v>1733</v>
      </c>
      <c r="O13" s="17" t="s">
        <v>1729</v>
      </c>
      <c r="P13" s="18" t="s">
        <v>32</v>
      </c>
      <c r="Q13" s="17" t="s">
        <v>1729</v>
      </c>
      <c r="R13" s="167" t="s">
        <v>1734</v>
      </c>
      <c r="S13" s="17" t="s">
        <v>1729</v>
      </c>
      <c r="T13" s="17" t="s">
        <v>1735</v>
      </c>
      <c r="U13" s="17" t="s">
        <v>1729</v>
      </c>
      <c r="V13" s="17" t="s">
        <v>17</v>
      </c>
      <c r="W13" s="167" t="s">
        <v>1736</v>
      </c>
    </row>
    <row r="14" spans="1:23" ht="180">
      <c r="A14" s="156"/>
      <c r="B14" s="156"/>
      <c r="C14" s="17" t="s">
        <v>1737</v>
      </c>
      <c r="D14" s="18" t="s">
        <v>36</v>
      </c>
      <c r="E14" s="17" t="s">
        <v>1737</v>
      </c>
      <c r="F14" s="18" t="s">
        <v>87</v>
      </c>
      <c r="G14" s="17" t="s">
        <v>1737</v>
      </c>
      <c r="H14" s="168"/>
      <c r="I14" s="17" t="s">
        <v>1737</v>
      </c>
      <c r="J14" s="168"/>
      <c r="K14" s="17" t="s">
        <v>1737</v>
      </c>
      <c r="L14" s="18" t="s">
        <v>1738</v>
      </c>
      <c r="M14" s="17" t="s">
        <v>1737</v>
      </c>
      <c r="N14" s="18" t="s">
        <v>1678</v>
      </c>
      <c r="O14" s="17" t="s">
        <v>1737</v>
      </c>
      <c r="P14" s="18" t="s">
        <v>17</v>
      </c>
      <c r="Q14" s="17" t="s">
        <v>1737</v>
      </c>
      <c r="R14" s="167"/>
      <c r="S14" s="17" t="s">
        <v>1737</v>
      </c>
      <c r="T14" s="17" t="s">
        <v>1739</v>
      </c>
      <c r="U14" s="17" t="s">
        <v>1737</v>
      </c>
      <c r="V14" s="17" t="s">
        <v>17</v>
      </c>
      <c r="W14" s="167"/>
    </row>
    <row r="15" spans="1:23" ht="409.6">
      <c r="A15" s="156"/>
      <c r="B15" s="156"/>
      <c r="C15" s="17" t="s">
        <v>1740</v>
      </c>
      <c r="D15" s="18" t="s">
        <v>1741</v>
      </c>
      <c r="E15" s="17" t="s">
        <v>1740</v>
      </c>
      <c r="F15" s="18" t="s">
        <v>87</v>
      </c>
      <c r="G15" s="17" t="s">
        <v>1740</v>
      </c>
      <c r="H15" s="18" t="s">
        <v>29</v>
      </c>
      <c r="I15" s="17" t="s">
        <v>1740</v>
      </c>
      <c r="J15" s="18" t="s">
        <v>1742</v>
      </c>
      <c r="K15" s="17" t="s">
        <v>1740</v>
      </c>
      <c r="L15" s="18" t="s">
        <v>1743</v>
      </c>
      <c r="M15" s="17" t="s">
        <v>1740</v>
      </c>
      <c r="N15" s="18" t="s">
        <v>1744</v>
      </c>
      <c r="O15" s="17" t="s">
        <v>1740</v>
      </c>
      <c r="P15" s="18" t="s">
        <v>32</v>
      </c>
      <c r="Q15" s="17" t="s">
        <v>1740</v>
      </c>
      <c r="R15" s="17" t="s">
        <v>1745</v>
      </c>
      <c r="S15" s="17" t="s">
        <v>1740</v>
      </c>
      <c r="T15" s="17" t="s">
        <v>1746</v>
      </c>
      <c r="U15" s="17" t="s">
        <v>1740</v>
      </c>
      <c r="V15" s="17" t="s">
        <v>17</v>
      </c>
      <c r="W15" s="17" t="s">
        <v>1747</v>
      </c>
    </row>
    <row r="16" spans="1:23" ht="409.6">
      <c r="A16" s="156"/>
      <c r="B16" s="156"/>
      <c r="C16" s="17" t="s">
        <v>1748</v>
      </c>
      <c r="D16" s="18" t="s">
        <v>36</v>
      </c>
      <c r="E16" s="17" t="s">
        <v>1748</v>
      </c>
      <c r="F16" s="18" t="s">
        <v>87</v>
      </c>
      <c r="G16" s="17" t="s">
        <v>1748</v>
      </c>
      <c r="H16" s="18" t="s">
        <v>29</v>
      </c>
      <c r="I16" s="17" t="s">
        <v>1748</v>
      </c>
      <c r="J16" s="18" t="s">
        <v>1749</v>
      </c>
      <c r="K16" s="17" t="s">
        <v>1748</v>
      </c>
      <c r="L16" s="21" t="s">
        <v>1750</v>
      </c>
      <c r="M16" s="17" t="s">
        <v>1748</v>
      </c>
      <c r="N16" s="18" t="s">
        <v>1683</v>
      </c>
      <c r="O16" s="17" t="s">
        <v>1748</v>
      </c>
      <c r="P16" s="18" t="s">
        <v>17</v>
      </c>
      <c r="Q16" s="17" t="s">
        <v>1748</v>
      </c>
      <c r="R16" s="17" t="s">
        <v>1751</v>
      </c>
      <c r="S16" s="17" t="s">
        <v>1748</v>
      </c>
      <c r="T16" s="17" t="s">
        <v>1739</v>
      </c>
      <c r="U16" s="17" t="s">
        <v>1748</v>
      </c>
      <c r="V16" s="17" t="s">
        <v>17</v>
      </c>
      <c r="W16" s="17"/>
    </row>
    <row r="17" spans="1:23" ht="409.6">
      <c r="A17" s="156"/>
      <c r="B17" s="156"/>
      <c r="C17" s="17" t="s">
        <v>1752</v>
      </c>
      <c r="D17" s="18" t="s">
        <v>1753</v>
      </c>
      <c r="E17" s="17" t="s">
        <v>1752</v>
      </c>
      <c r="F17" s="18" t="s">
        <v>87</v>
      </c>
      <c r="G17" s="17" t="s">
        <v>1752</v>
      </c>
      <c r="H17" s="18" t="s">
        <v>88</v>
      </c>
      <c r="I17" s="17" t="s">
        <v>1752</v>
      </c>
      <c r="J17" s="169" t="s">
        <v>1754</v>
      </c>
      <c r="K17" s="17" t="s">
        <v>1752</v>
      </c>
      <c r="L17" s="18" t="s">
        <v>1755</v>
      </c>
      <c r="M17" s="17" t="s">
        <v>1752</v>
      </c>
      <c r="N17" s="172" t="s">
        <v>1756</v>
      </c>
      <c r="O17" s="17" t="s">
        <v>1752</v>
      </c>
      <c r="P17" s="18" t="s">
        <v>17</v>
      </c>
      <c r="Q17" s="17" t="s">
        <v>1752</v>
      </c>
      <c r="R17" s="17" t="s">
        <v>1757</v>
      </c>
      <c r="S17" s="17" t="s">
        <v>1752</v>
      </c>
      <c r="T17" s="173" t="s">
        <v>1758</v>
      </c>
      <c r="U17" s="17" t="s">
        <v>1752</v>
      </c>
      <c r="V17" s="17" t="s">
        <v>17</v>
      </c>
      <c r="W17" s="17" t="s">
        <v>1759</v>
      </c>
    </row>
    <row r="18" spans="1:23" ht="409.6">
      <c r="A18" s="156"/>
      <c r="B18" s="156"/>
      <c r="C18" s="17" t="s">
        <v>1760</v>
      </c>
      <c r="D18" s="18" t="s">
        <v>36</v>
      </c>
      <c r="E18" s="17" t="s">
        <v>1760</v>
      </c>
      <c r="F18" s="18" t="s">
        <v>87</v>
      </c>
      <c r="G18" s="17" t="s">
        <v>1760</v>
      </c>
      <c r="H18" s="18" t="s">
        <v>88</v>
      </c>
      <c r="I18" s="17" t="s">
        <v>1760</v>
      </c>
      <c r="J18" s="170"/>
      <c r="K18" s="17" t="s">
        <v>1760</v>
      </c>
      <c r="L18" s="18" t="s">
        <v>1761</v>
      </c>
      <c r="M18" s="17" t="s">
        <v>1760</v>
      </c>
      <c r="N18" s="172"/>
      <c r="O18" s="17" t="s">
        <v>1760</v>
      </c>
      <c r="P18" s="18" t="s">
        <v>17</v>
      </c>
      <c r="Q18" s="17" t="s">
        <v>1760</v>
      </c>
      <c r="R18" s="17" t="s">
        <v>1762</v>
      </c>
      <c r="S18" s="17" t="s">
        <v>1760</v>
      </c>
      <c r="T18" s="174"/>
      <c r="U18" s="17"/>
      <c r="V18" s="17"/>
      <c r="W18" s="17"/>
    </row>
    <row r="19" spans="1:23" ht="409.6">
      <c r="A19" s="156"/>
      <c r="B19" s="156"/>
      <c r="C19" s="17" t="s">
        <v>1763</v>
      </c>
      <c r="D19" s="18" t="s">
        <v>36</v>
      </c>
      <c r="E19" s="17" t="s">
        <v>1763</v>
      </c>
      <c r="F19" s="18" t="s">
        <v>60</v>
      </c>
      <c r="G19" s="17" t="s">
        <v>1763</v>
      </c>
      <c r="H19" s="18" t="s">
        <v>17</v>
      </c>
      <c r="I19" s="17" t="s">
        <v>1763</v>
      </c>
      <c r="J19" s="170"/>
      <c r="K19" s="17" t="s">
        <v>1763</v>
      </c>
      <c r="L19" s="18" t="s">
        <v>1689</v>
      </c>
      <c r="M19" s="17" t="s">
        <v>1763</v>
      </c>
      <c r="N19" s="172"/>
      <c r="O19" s="17" t="s">
        <v>1763</v>
      </c>
      <c r="P19" s="18" t="s">
        <v>17</v>
      </c>
      <c r="Q19" s="17" t="s">
        <v>1763</v>
      </c>
      <c r="R19" s="17" t="s">
        <v>1691</v>
      </c>
      <c r="S19" s="17" t="s">
        <v>1763</v>
      </c>
      <c r="T19" s="174"/>
      <c r="U19" s="17" t="s">
        <v>1763</v>
      </c>
      <c r="V19" s="17" t="s">
        <v>17</v>
      </c>
      <c r="W19" s="17"/>
    </row>
    <row r="20" spans="1:23" ht="409.6">
      <c r="A20" s="156"/>
      <c r="B20" s="156"/>
      <c r="C20" s="17" t="s">
        <v>1764</v>
      </c>
      <c r="D20" s="18" t="s">
        <v>1765</v>
      </c>
      <c r="E20" s="17" t="s">
        <v>1764</v>
      </c>
      <c r="F20" s="18" t="s">
        <v>87</v>
      </c>
      <c r="G20" s="17" t="s">
        <v>1764</v>
      </c>
      <c r="H20" s="18" t="s">
        <v>17</v>
      </c>
      <c r="I20" s="17" t="s">
        <v>1764</v>
      </c>
      <c r="J20" s="171"/>
      <c r="K20" s="17" t="s">
        <v>1764</v>
      </c>
      <c r="L20" s="18" t="s">
        <v>1766</v>
      </c>
      <c r="M20" s="17" t="s">
        <v>1764</v>
      </c>
      <c r="N20" s="172"/>
      <c r="O20" s="17" t="s">
        <v>1764</v>
      </c>
      <c r="P20" s="18" t="s">
        <v>32</v>
      </c>
      <c r="Q20" s="17" t="s">
        <v>1764</v>
      </c>
      <c r="R20" s="17" t="s">
        <v>1767</v>
      </c>
      <c r="S20" s="17" t="s">
        <v>1764</v>
      </c>
      <c r="T20" s="175"/>
      <c r="U20" s="17" t="s">
        <v>1764</v>
      </c>
      <c r="V20" s="17" t="s">
        <v>17</v>
      </c>
      <c r="W20" s="17"/>
    </row>
    <row r="21" spans="1:23" ht="409.6">
      <c r="A21" s="156" t="s">
        <v>20</v>
      </c>
      <c r="B21" s="165" t="s">
        <v>86</v>
      </c>
      <c r="C21" s="17" t="s">
        <v>1675</v>
      </c>
      <c r="D21" s="18" t="s">
        <v>1768</v>
      </c>
      <c r="E21" s="17" t="s">
        <v>1675</v>
      </c>
      <c r="F21" s="18" t="s">
        <v>87</v>
      </c>
      <c r="G21" s="17" t="s">
        <v>1675</v>
      </c>
      <c r="H21" s="18" t="s">
        <v>29</v>
      </c>
      <c r="I21" s="17" t="s">
        <v>1675</v>
      </c>
      <c r="J21" s="18" t="s">
        <v>1769</v>
      </c>
      <c r="K21" s="17" t="s">
        <v>1675</v>
      </c>
      <c r="L21" s="18" t="s">
        <v>1770</v>
      </c>
      <c r="M21" s="17" t="s">
        <v>1675</v>
      </c>
      <c r="N21" s="18" t="s">
        <v>1733</v>
      </c>
      <c r="O21" s="17" t="s">
        <v>1675</v>
      </c>
      <c r="P21" s="18" t="s">
        <v>32</v>
      </c>
      <c r="Q21" s="17" t="s">
        <v>1675</v>
      </c>
      <c r="R21" s="17" t="s">
        <v>1771</v>
      </c>
      <c r="S21" s="17" t="s">
        <v>1675</v>
      </c>
      <c r="T21" s="17" t="s">
        <v>1772</v>
      </c>
      <c r="U21" s="17" t="s">
        <v>1675</v>
      </c>
      <c r="V21" s="167" t="s">
        <v>17</v>
      </c>
      <c r="W21" s="17" t="s">
        <v>1773</v>
      </c>
    </row>
    <row r="22" spans="1:23" ht="409.6">
      <c r="A22" s="156"/>
      <c r="B22" s="153"/>
      <c r="C22" s="17" t="s">
        <v>1681</v>
      </c>
      <c r="D22" s="18" t="s">
        <v>1774</v>
      </c>
      <c r="E22" s="17" t="s">
        <v>1681</v>
      </c>
      <c r="F22" s="18" t="s">
        <v>87</v>
      </c>
      <c r="G22" s="17" t="s">
        <v>1681</v>
      </c>
      <c r="H22" s="18" t="s">
        <v>29</v>
      </c>
      <c r="I22" s="17" t="s">
        <v>1681</v>
      </c>
      <c r="J22" s="18" t="s">
        <v>1775</v>
      </c>
      <c r="K22" s="17" t="s">
        <v>1681</v>
      </c>
      <c r="L22" s="18" t="s">
        <v>1743</v>
      </c>
      <c r="M22" s="17" t="s">
        <v>1681</v>
      </c>
      <c r="N22" s="18" t="s">
        <v>1744</v>
      </c>
      <c r="O22" s="17" t="s">
        <v>1681</v>
      </c>
      <c r="P22" s="18" t="s">
        <v>32</v>
      </c>
      <c r="Q22" s="17" t="s">
        <v>1681</v>
      </c>
      <c r="R22" s="17" t="s">
        <v>1776</v>
      </c>
      <c r="S22" s="17" t="s">
        <v>1681</v>
      </c>
      <c r="T22" s="17" t="s">
        <v>1772</v>
      </c>
      <c r="U22" s="17" t="s">
        <v>1681</v>
      </c>
      <c r="V22" s="167" t="s">
        <v>17</v>
      </c>
      <c r="W22" s="17" t="s">
        <v>1777</v>
      </c>
    </row>
    <row r="23" spans="1:23" ht="409.6">
      <c r="A23" s="156"/>
      <c r="B23" s="153"/>
      <c r="C23" s="17" t="s">
        <v>1685</v>
      </c>
      <c r="D23" s="18" t="s">
        <v>1778</v>
      </c>
      <c r="E23" s="17" t="s">
        <v>1685</v>
      </c>
      <c r="F23" s="18" t="s">
        <v>87</v>
      </c>
      <c r="G23" s="17" t="s">
        <v>1685</v>
      </c>
      <c r="H23" s="18" t="s">
        <v>88</v>
      </c>
      <c r="I23" s="17" t="s">
        <v>1685</v>
      </c>
      <c r="J23" s="18" t="s">
        <v>1779</v>
      </c>
      <c r="K23" s="17" t="s">
        <v>1685</v>
      </c>
      <c r="L23" s="18" t="s">
        <v>1780</v>
      </c>
      <c r="M23" s="17" t="s">
        <v>1685</v>
      </c>
      <c r="N23" s="18" t="s">
        <v>1781</v>
      </c>
      <c r="O23" s="17" t="s">
        <v>1685</v>
      </c>
      <c r="P23" s="18" t="s">
        <v>32</v>
      </c>
      <c r="Q23" s="17" t="s">
        <v>1685</v>
      </c>
      <c r="R23" s="17" t="s">
        <v>1782</v>
      </c>
      <c r="S23" s="17" t="s">
        <v>1685</v>
      </c>
      <c r="T23" s="17" t="s">
        <v>17</v>
      </c>
      <c r="U23" s="17" t="s">
        <v>1685</v>
      </c>
      <c r="V23" s="167"/>
      <c r="W23" s="17"/>
    </row>
    <row r="24" spans="1:23" ht="409.6">
      <c r="A24" s="156"/>
      <c r="B24" s="154"/>
      <c r="C24" s="17" t="s">
        <v>1724</v>
      </c>
      <c r="D24" s="18" t="s">
        <v>36</v>
      </c>
      <c r="E24" s="17" t="s">
        <v>1724</v>
      </c>
      <c r="F24" s="18" t="s">
        <v>87</v>
      </c>
      <c r="G24" s="17" t="s">
        <v>1724</v>
      </c>
      <c r="H24" s="18" t="s">
        <v>1783</v>
      </c>
      <c r="I24" s="17" t="s">
        <v>1724</v>
      </c>
      <c r="J24" s="18" t="s">
        <v>1784</v>
      </c>
      <c r="K24" s="17" t="s">
        <v>1724</v>
      </c>
      <c r="L24" s="18" t="s">
        <v>1785</v>
      </c>
      <c r="M24" s="17" t="s">
        <v>1724</v>
      </c>
      <c r="N24" s="18" t="s">
        <v>1786</v>
      </c>
      <c r="O24" s="17"/>
      <c r="P24" s="18" t="s">
        <v>32</v>
      </c>
      <c r="Q24" s="17" t="s">
        <v>1724</v>
      </c>
      <c r="R24" s="17" t="s">
        <v>1787</v>
      </c>
      <c r="S24" s="17"/>
      <c r="T24" s="17" t="s">
        <v>1788</v>
      </c>
      <c r="U24" s="17" t="s">
        <v>1688</v>
      </c>
      <c r="V24" s="167" t="s">
        <v>17</v>
      </c>
      <c r="W24" s="17" t="s">
        <v>1789</v>
      </c>
    </row>
    <row r="25" spans="1:23" ht="409.6">
      <c r="A25" s="156" t="s">
        <v>309</v>
      </c>
      <c r="B25" s="165" t="s">
        <v>390</v>
      </c>
      <c r="C25" s="17" t="s">
        <v>1681</v>
      </c>
      <c r="D25" s="18" t="s">
        <v>1790</v>
      </c>
      <c r="E25" s="17" t="s">
        <v>1681</v>
      </c>
      <c r="F25" s="18" t="s">
        <v>1791</v>
      </c>
      <c r="G25" s="17" t="s">
        <v>1681</v>
      </c>
      <c r="H25" s="18" t="s">
        <v>29</v>
      </c>
      <c r="I25" s="17" t="s">
        <v>1681</v>
      </c>
      <c r="J25" s="18" t="s">
        <v>1792</v>
      </c>
      <c r="K25" s="17" t="s">
        <v>1681</v>
      </c>
      <c r="L25" s="18" t="s">
        <v>1793</v>
      </c>
      <c r="M25" s="17" t="s">
        <v>1681</v>
      </c>
      <c r="N25" s="18" t="s">
        <v>1794</v>
      </c>
      <c r="O25" s="17" t="s">
        <v>1681</v>
      </c>
      <c r="P25" s="18" t="s">
        <v>1795</v>
      </c>
      <c r="Q25" s="17" t="s">
        <v>1681</v>
      </c>
      <c r="R25" s="17" t="s">
        <v>1796</v>
      </c>
      <c r="S25" s="17" t="s">
        <v>1681</v>
      </c>
      <c r="T25" s="17" t="s">
        <v>1797</v>
      </c>
      <c r="U25" s="17" t="s">
        <v>1681</v>
      </c>
      <c r="V25" s="167" t="s">
        <v>1798</v>
      </c>
      <c r="W25" s="17"/>
    </row>
    <row r="26" spans="1:23" ht="409.6">
      <c r="A26" s="156"/>
      <c r="B26" s="153"/>
      <c r="C26" s="17" t="s">
        <v>1685</v>
      </c>
      <c r="D26" s="18" t="s">
        <v>1790</v>
      </c>
      <c r="E26" s="17" t="s">
        <v>1685</v>
      </c>
      <c r="F26" s="18" t="s">
        <v>1791</v>
      </c>
      <c r="G26" s="17" t="s">
        <v>1685</v>
      </c>
      <c r="H26" s="18" t="s">
        <v>88</v>
      </c>
      <c r="I26" s="17" t="s">
        <v>1685</v>
      </c>
      <c r="J26" s="18" t="s">
        <v>1799</v>
      </c>
      <c r="K26" s="17" t="s">
        <v>1685</v>
      </c>
      <c r="L26" s="18" t="s">
        <v>1800</v>
      </c>
      <c r="M26" s="17" t="s">
        <v>1685</v>
      </c>
      <c r="N26" s="18" t="s">
        <v>1801</v>
      </c>
      <c r="O26" s="17" t="s">
        <v>1685</v>
      </c>
      <c r="P26" s="18" t="s">
        <v>1802</v>
      </c>
      <c r="Q26" s="17" t="s">
        <v>1685</v>
      </c>
      <c r="R26" s="17" t="s">
        <v>1803</v>
      </c>
      <c r="S26" s="17" t="s">
        <v>1685</v>
      </c>
      <c r="T26" s="17" t="s">
        <v>1804</v>
      </c>
      <c r="U26" s="17" t="s">
        <v>1685</v>
      </c>
      <c r="V26" s="167"/>
      <c r="W26" s="17"/>
    </row>
    <row r="27" spans="1:23" ht="409.6">
      <c r="A27" s="156"/>
      <c r="B27" s="153"/>
      <c r="C27" s="17" t="s">
        <v>1724</v>
      </c>
      <c r="D27" s="18" t="s">
        <v>1805</v>
      </c>
      <c r="E27" s="17" t="s">
        <v>1724</v>
      </c>
      <c r="F27" s="18" t="s">
        <v>1806</v>
      </c>
      <c r="G27" s="17" t="s">
        <v>1688</v>
      </c>
      <c r="H27" s="18" t="s">
        <v>29</v>
      </c>
      <c r="I27" s="17" t="s">
        <v>1688</v>
      </c>
      <c r="J27" s="18" t="s">
        <v>1807</v>
      </c>
      <c r="K27" s="17" t="s">
        <v>1724</v>
      </c>
      <c r="L27" s="18" t="s">
        <v>1808</v>
      </c>
      <c r="M27" s="17" t="s">
        <v>1688</v>
      </c>
      <c r="N27" s="18" t="s">
        <v>1809</v>
      </c>
      <c r="O27" s="17" t="s">
        <v>1724</v>
      </c>
      <c r="P27" s="18"/>
      <c r="Q27" s="17" t="s">
        <v>1688</v>
      </c>
      <c r="R27" s="17" t="s">
        <v>1810</v>
      </c>
      <c r="S27" s="17" t="s">
        <v>1688</v>
      </c>
      <c r="T27" s="17" t="s">
        <v>1811</v>
      </c>
      <c r="U27" s="17" t="s">
        <v>1688</v>
      </c>
      <c r="V27" s="167" t="s">
        <v>1812</v>
      </c>
      <c r="W27" s="17"/>
    </row>
    <row r="28" spans="1:23" ht="409.6">
      <c r="A28" s="156" t="s">
        <v>73</v>
      </c>
      <c r="B28" s="165" t="s">
        <v>261</v>
      </c>
      <c r="C28" s="17" t="s">
        <v>1675</v>
      </c>
      <c r="D28" s="18" t="s">
        <v>918</v>
      </c>
      <c r="E28" s="17" t="s">
        <v>1675</v>
      </c>
      <c r="F28" s="18" t="s">
        <v>1813</v>
      </c>
      <c r="G28" s="17" t="s">
        <v>1675</v>
      </c>
      <c r="H28" s="18" t="s">
        <v>29</v>
      </c>
      <c r="I28" s="17" t="s">
        <v>1675</v>
      </c>
      <c r="J28" s="18" t="s">
        <v>1814</v>
      </c>
      <c r="K28" s="17" t="s">
        <v>1675</v>
      </c>
      <c r="L28" s="18" t="s">
        <v>1815</v>
      </c>
      <c r="M28" s="17" t="s">
        <v>1675</v>
      </c>
      <c r="N28" s="18" t="s">
        <v>1816</v>
      </c>
      <c r="O28" s="17" t="s">
        <v>1675</v>
      </c>
      <c r="P28" s="18" t="s">
        <v>17</v>
      </c>
      <c r="Q28" s="17" t="s">
        <v>1675</v>
      </c>
      <c r="R28" s="17" t="s">
        <v>1817</v>
      </c>
      <c r="S28" s="17" t="s">
        <v>1675</v>
      </c>
      <c r="T28" s="17" t="s">
        <v>17</v>
      </c>
      <c r="U28" s="17" t="s">
        <v>1675</v>
      </c>
      <c r="V28" s="167" t="s">
        <v>1818</v>
      </c>
      <c r="W28" s="17"/>
    </row>
    <row r="29" spans="1:23" ht="409.6">
      <c r="A29" s="156"/>
      <c r="B29" s="153"/>
      <c r="C29" s="17" t="s">
        <v>1681</v>
      </c>
      <c r="D29" s="18" t="s">
        <v>1819</v>
      </c>
      <c r="E29" s="17" t="s">
        <v>1681</v>
      </c>
      <c r="F29" s="18" t="s">
        <v>17</v>
      </c>
      <c r="G29" s="17" t="s">
        <v>1681</v>
      </c>
      <c r="H29" s="18" t="s">
        <v>29</v>
      </c>
      <c r="I29" s="17" t="s">
        <v>1681</v>
      </c>
      <c r="J29" s="18" t="s">
        <v>1820</v>
      </c>
      <c r="K29" s="17" t="s">
        <v>1681</v>
      </c>
      <c r="L29" s="18" t="s">
        <v>1821</v>
      </c>
      <c r="M29" s="17" t="s">
        <v>1681</v>
      </c>
      <c r="N29" s="18" t="s">
        <v>1822</v>
      </c>
      <c r="O29" s="17" t="s">
        <v>1681</v>
      </c>
      <c r="P29" s="18" t="s">
        <v>1823</v>
      </c>
      <c r="Q29" s="17" t="s">
        <v>1681</v>
      </c>
      <c r="R29" s="17" t="s">
        <v>1824</v>
      </c>
      <c r="S29" s="17" t="s">
        <v>1681</v>
      </c>
      <c r="T29" s="17" t="s">
        <v>1825</v>
      </c>
      <c r="U29" s="17" t="s">
        <v>1681</v>
      </c>
      <c r="V29" s="167" t="s">
        <v>1826</v>
      </c>
      <c r="W29" s="17"/>
    </row>
    <row r="30" spans="1:23" ht="409.6">
      <c r="A30" s="156"/>
      <c r="B30" s="153"/>
      <c r="C30" s="17" t="s">
        <v>1685</v>
      </c>
      <c r="D30" s="18" t="s">
        <v>1827</v>
      </c>
      <c r="E30" s="17" t="s">
        <v>1685</v>
      </c>
      <c r="F30" s="18" t="s">
        <v>17</v>
      </c>
      <c r="G30" s="17" t="s">
        <v>1685</v>
      </c>
      <c r="H30" s="18" t="s">
        <v>1828</v>
      </c>
      <c r="I30" s="17" t="s">
        <v>1685</v>
      </c>
      <c r="J30" s="18" t="s">
        <v>1829</v>
      </c>
      <c r="K30" s="17" t="s">
        <v>1685</v>
      </c>
      <c r="L30" s="18" t="s">
        <v>1830</v>
      </c>
      <c r="M30" s="17" t="s">
        <v>1685</v>
      </c>
      <c r="N30" s="18" t="s">
        <v>1831</v>
      </c>
      <c r="O30" s="17" t="s">
        <v>1685</v>
      </c>
      <c r="P30" s="18" t="s">
        <v>942</v>
      </c>
      <c r="Q30" s="17" t="s">
        <v>1685</v>
      </c>
      <c r="R30" s="17" t="s">
        <v>1832</v>
      </c>
      <c r="S30" s="17" t="s">
        <v>1685</v>
      </c>
      <c r="T30" s="17" t="s">
        <v>1833</v>
      </c>
      <c r="U30" s="17" t="s">
        <v>1685</v>
      </c>
      <c r="V30" s="167"/>
      <c r="W30" s="17"/>
    </row>
    <row r="31" spans="1:23" ht="409.6">
      <c r="A31" s="156"/>
      <c r="B31" s="154"/>
      <c r="C31" s="17" t="s">
        <v>1688</v>
      </c>
      <c r="D31" s="18" t="s">
        <v>1834</v>
      </c>
      <c r="E31" s="17" t="s">
        <v>1688</v>
      </c>
      <c r="F31" s="18" t="s">
        <v>17</v>
      </c>
      <c r="G31" s="17" t="s">
        <v>1688</v>
      </c>
      <c r="H31" s="18" t="s">
        <v>29</v>
      </c>
      <c r="I31" s="17" t="s">
        <v>1688</v>
      </c>
      <c r="J31" s="18" t="s">
        <v>1835</v>
      </c>
      <c r="K31" s="17" t="s">
        <v>1688</v>
      </c>
      <c r="L31" s="18" t="s">
        <v>1836</v>
      </c>
      <c r="M31" s="17" t="s">
        <v>1688</v>
      </c>
      <c r="N31" s="18" t="s">
        <v>1837</v>
      </c>
      <c r="O31" s="17" t="s">
        <v>1688</v>
      </c>
      <c r="P31" s="18" t="s">
        <v>17</v>
      </c>
      <c r="Q31" s="17" t="s">
        <v>1688</v>
      </c>
      <c r="R31" s="17" t="s">
        <v>1838</v>
      </c>
      <c r="S31" s="17" t="s">
        <v>1688</v>
      </c>
      <c r="T31" s="25" t="s">
        <v>1839</v>
      </c>
      <c r="U31" s="17" t="s">
        <v>1688</v>
      </c>
      <c r="V31" s="167" t="s">
        <v>1826</v>
      </c>
      <c r="W31" s="17" t="s">
        <v>1840</v>
      </c>
    </row>
    <row r="32" spans="1:23" ht="409.6">
      <c r="A32" s="165" t="s">
        <v>1841</v>
      </c>
      <c r="B32" s="165" t="s">
        <v>1842</v>
      </c>
      <c r="C32" s="17" t="s">
        <v>1685</v>
      </c>
      <c r="D32" s="18" t="s">
        <v>1843</v>
      </c>
      <c r="E32" s="17" t="s">
        <v>1685</v>
      </c>
      <c r="F32" s="18" t="s">
        <v>1844</v>
      </c>
      <c r="G32" s="17" t="s">
        <v>1685</v>
      </c>
      <c r="H32" s="18" t="s">
        <v>29</v>
      </c>
      <c r="I32" s="17" t="s">
        <v>1685</v>
      </c>
      <c r="J32" s="18" t="s">
        <v>1845</v>
      </c>
      <c r="K32" s="17" t="s">
        <v>1685</v>
      </c>
      <c r="L32" s="18" t="s">
        <v>1846</v>
      </c>
      <c r="M32" s="17" t="s">
        <v>1685</v>
      </c>
      <c r="N32" s="18" t="s">
        <v>1847</v>
      </c>
      <c r="O32" s="17" t="s">
        <v>1685</v>
      </c>
      <c r="P32" s="18" t="s">
        <v>17</v>
      </c>
      <c r="Q32" s="17" t="s">
        <v>1685</v>
      </c>
      <c r="R32" s="17" t="s">
        <v>1848</v>
      </c>
      <c r="S32" s="17" t="s">
        <v>1685</v>
      </c>
      <c r="T32" s="17" t="s">
        <v>1849</v>
      </c>
      <c r="U32" s="17" t="s">
        <v>1685</v>
      </c>
      <c r="V32" s="19" t="s">
        <v>1850</v>
      </c>
      <c r="W32" s="17"/>
    </row>
    <row r="33" spans="1:23" ht="409.6">
      <c r="A33" s="154"/>
      <c r="B33" s="154"/>
      <c r="C33" s="17" t="s">
        <v>1688</v>
      </c>
      <c r="D33" s="18" t="s">
        <v>1851</v>
      </c>
      <c r="E33" s="17" t="s">
        <v>1688</v>
      </c>
      <c r="F33" s="18" t="s">
        <v>1852</v>
      </c>
      <c r="G33" s="17" t="s">
        <v>1688</v>
      </c>
      <c r="H33" s="18" t="s">
        <v>29</v>
      </c>
      <c r="I33" s="17" t="s">
        <v>1688</v>
      </c>
      <c r="J33" s="18" t="s">
        <v>1853</v>
      </c>
      <c r="K33" s="17" t="s">
        <v>1688</v>
      </c>
      <c r="L33" s="18" t="s">
        <v>1854</v>
      </c>
      <c r="M33" s="17" t="s">
        <v>1688</v>
      </c>
      <c r="N33" s="18" t="s">
        <v>1855</v>
      </c>
      <c r="O33" s="17" t="s">
        <v>1688</v>
      </c>
      <c r="P33" s="18" t="s">
        <v>17</v>
      </c>
      <c r="Q33" s="17" t="s">
        <v>1688</v>
      </c>
      <c r="R33" s="17" t="s">
        <v>1856</v>
      </c>
      <c r="S33" s="17" t="s">
        <v>1688</v>
      </c>
      <c r="T33" s="17" t="s">
        <v>1857</v>
      </c>
      <c r="U33" s="17" t="s">
        <v>1688</v>
      </c>
      <c r="V33" s="19" t="s">
        <v>1850</v>
      </c>
      <c r="W33" s="17"/>
    </row>
    <row r="34" spans="1:23" ht="409.6">
      <c r="A34" s="156" t="s">
        <v>50</v>
      </c>
      <c r="B34" s="165" t="s">
        <v>1167</v>
      </c>
      <c r="C34" s="17" t="s">
        <v>1675</v>
      </c>
      <c r="D34" s="18" t="s">
        <v>36</v>
      </c>
      <c r="E34" s="17" t="s">
        <v>1675</v>
      </c>
      <c r="F34" s="18" t="s">
        <v>60</v>
      </c>
      <c r="G34" s="17" t="s">
        <v>1675</v>
      </c>
      <c r="H34" s="18" t="s">
        <v>29</v>
      </c>
      <c r="I34" s="17" t="s">
        <v>1675</v>
      </c>
      <c r="J34" s="18" t="s">
        <v>17</v>
      </c>
      <c r="K34" s="17" t="s">
        <v>1675</v>
      </c>
      <c r="L34" s="18" t="s">
        <v>1858</v>
      </c>
      <c r="M34" s="17" t="s">
        <v>1675</v>
      </c>
      <c r="N34" s="18" t="s">
        <v>1859</v>
      </c>
      <c r="O34" s="17" t="s">
        <v>1675</v>
      </c>
      <c r="P34" s="18" t="s">
        <v>1860</v>
      </c>
      <c r="Q34" s="17" t="s">
        <v>1675</v>
      </c>
      <c r="R34" s="17" t="s">
        <v>1861</v>
      </c>
      <c r="S34" s="17" t="s">
        <v>1675</v>
      </c>
      <c r="T34" s="17" t="s">
        <v>1862</v>
      </c>
      <c r="U34" s="17" t="s">
        <v>1675</v>
      </c>
      <c r="V34" s="167" t="s">
        <v>17</v>
      </c>
      <c r="W34" s="17" t="s">
        <v>1863</v>
      </c>
    </row>
    <row r="35" spans="1:23" ht="165">
      <c r="A35" s="156"/>
      <c r="B35" s="153"/>
      <c r="C35" s="17" t="s">
        <v>1681</v>
      </c>
      <c r="D35" s="18" t="s">
        <v>36</v>
      </c>
      <c r="E35" s="17" t="s">
        <v>1681</v>
      </c>
      <c r="F35" s="18" t="s">
        <v>60</v>
      </c>
      <c r="G35" s="17" t="s">
        <v>1681</v>
      </c>
      <c r="H35" s="18" t="s">
        <v>29</v>
      </c>
      <c r="I35" s="17" t="s">
        <v>1681</v>
      </c>
      <c r="J35" s="18" t="s">
        <v>1864</v>
      </c>
      <c r="K35" s="17" t="s">
        <v>1681</v>
      </c>
      <c r="L35" s="18" t="s">
        <v>17</v>
      </c>
      <c r="M35" s="17" t="s">
        <v>1681</v>
      </c>
      <c r="N35" s="18" t="s">
        <v>1865</v>
      </c>
      <c r="O35" s="17" t="s">
        <v>1681</v>
      </c>
      <c r="P35" s="18" t="s">
        <v>1866</v>
      </c>
      <c r="Q35" s="17" t="s">
        <v>1681</v>
      </c>
      <c r="R35" s="17" t="s">
        <v>17</v>
      </c>
      <c r="S35" s="17" t="s">
        <v>1681</v>
      </c>
      <c r="T35" s="17" t="s">
        <v>1867</v>
      </c>
      <c r="U35" s="17" t="s">
        <v>1681</v>
      </c>
      <c r="V35" s="167" t="s">
        <v>17</v>
      </c>
      <c r="W35" s="17"/>
    </row>
    <row r="36" spans="1:23" ht="409.6">
      <c r="A36" s="156"/>
      <c r="B36" s="153"/>
      <c r="C36" s="17" t="s">
        <v>1685</v>
      </c>
      <c r="D36" s="18" t="s">
        <v>36</v>
      </c>
      <c r="E36" s="17" t="s">
        <v>1685</v>
      </c>
      <c r="F36" s="18" t="s">
        <v>60</v>
      </c>
      <c r="G36" s="17" t="s">
        <v>1685</v>
      </c>
      <c r="H36" s="18" t="s">
        <v>88</v>
      </c>
      <c r="I36" s="17" t="s">
        <v>1685</v>
      </c>
      <c r="J36" s="18" t="s">
        <v>17</v>
      </c>
      <c r="K36" s="17" t="s">
        <v>1685</v>
      </c>
      <c r="L36" s="18" t="s">
        <v>1868</v>
      </c>
      <c r="M36" s="17" t="s">
        <v>1685</v>
      </c>
      <c r="N36" s="18" t="s">
        <v>1869</v>
      </c>
      <c r="O36" s="17" t="s">
        <v>1685</v>
      </c>
      <c r="P36" s="18" t="s">
        <v>1870</v>
      </c>
      <c r="Q36" s="17" t="s">
        <v>1685</v>
      </c>
      <c r="R36" s="17" t="s">
        <v>1871</v>
      </c>
      <c r="S36" s="17" t="s">
        <v>1685</v>
      </c>
      <c r="T36" s="17" t="s">
        <v>1872</v>
      </c>
      <c r="U36" s="17" t="s">
        <v>1685</v>
      </c>
      <c r="V36" s="167"/>
      <c r="W36" s="17"/>
    </row>
    <row r="37" spans="1:23" ht="409.6">
      <c r="A37" s="156"/>
      <c r="B37" s="154"/>
      <c r="C37" s="17" t="s">
        <v>1688</v>
      </c>
      <c r="D37" s="18" t="s">
        <v>36</v>
      </c>
      <c r="E37" s="17" t="s">
        <v>1688</v>
      </c>
      <c r="F37" s="18" t="s">
        <v>60</v>
      </c>
      <c r="G37" s="17" t="s">
        <v>1688</v>
      </c>
      <c r="H37" s="18" t="s">
        <v>1783</v>
      </c>
      <c r="I37" s="17" t="s">
        <v>1688</v>
      </c>
      <c r="J37" s="18" t="s">
        <v>1873</v>
      </c>
      <c r="K37" s="17" t="s">
        <v>1688</v>
      </c>
      <c r="L37" s="26" t="s">
        <v>1874</v>
      </c>
      <c r="M37" s="17" t="s">
        <v>1688</v>
      </c>
      <c r="N37" s="18" t="s">
        <v>1875</v>
      </c>
      <c r="O37" s="17" t="s">
        <v>1688</v>
      </c>
      <c r="P37" s="18" t="s">
        <v>258</v>
      </c>
      <c r="Q37" s="17" t="s">
        <v>1688</v>
      </c>
      <c r="R37" s="17" t="s">
        <v>1876</v>
      </c>
      <c r="S37" s="17" t="s">
        <v>1688</v>
      </c>
      <c r="T37" s="17" t="s">
        <v>1877</v>
      </c>
      <c r="U37" s="17" t="s">
        <v>1688</v>
      </c>
      <c r="V37" s="167" t="s">
        <v>17</v>
      </c>
      <c r="W37" s="17"/>
    </row>
    <row r="38" spans="1:23" ht="409.6">
      <c r="A38" s="156" t="s">
        <v>109</v>
      </c>
      <c r="B38" s="165" t="s">
        <v>165</v>
      </c>
      <c r="C38" s="17" t="s">
        <v>1675</v>
      </c>
      <c r="D38" s="18" t="s">
        <v>1878</v>
      </c>
      <c r="E38" s="17" t="s">
        <v>1675</v>
      </c>
      <c r="F38" s="18" t="s">
        <v>17</v>
      </c>
      <c r="G38" s="17" t="s">
        <v>1675</v>
      </c>
      <c r="H38" s="18" t="s">
        <v>29</v>
      </c>
      <c r="I38" s="17" t="s">
        <v>1675</v>
      </c>
      <c r="J38" s="18" t="s">
        <v>17</v>
      </c>
      <c r="K38" s="17" t="s">
        <v>1675</v>
      </c>
      <c r="L38" s="18" t="s">
        <v>1879</v>
      </c>
      <c r="M38" s="17" t="s">
        <v>1675</v>
      </c>
      <c r="N38" s="18" t="s">
        <v>1880</v>
      </c>
      <c r="O38" s="17" t="s">
        <v>1675</v>
      </c>
      <c r="P38" s="18" t="s">
        <v>1881</v>
      </c>
      <c r="Q38" s="17" t="s">
        <v>1675</v>
      </c>
      <c r="R38" s="17" t="s">
        <v>1882</v>
      </c>
      <c r="S38" s="17" t="s">
        <v>1675</v>
      </c>
      <c r="T38" s="17" t="s">
        <v>1883</v>
      </c>
      <c r="U38" s="17" t="s">
        <v>1675</v>
      </c>
      <c r="V38" s="167" t="s">
        <v>1884</v>
      </c>
      <c r="W38" s="17"/>
    </row>
    <row r="39" spans="1:23" ht="409.6">
      <c r="A39" s="156"/>
      <c r="B39" s="153"/>
      <c r="C39" s="17" t="s">
        <v>1681</v>
      </c>
      <c r="D39" s="18" t="s">
        <v>1878</v>
      </c>
      <c r="E39" s="17" t="s">
        <v>1681</v>
      </c>
      <c r="F39" s="18" t="s">
        <v>17</v>
      </c>
      <c r="G39" s="17" t="s">
        <v>1681</v>
      </c>
      <c r="H39" s="18" t="s">
        <v>29</v>
      </c>
      <c r="I39" s="17" t="s">
        <v>1681</v>
      </c>
      <c r="J39" s="18" t="s">
        <v>17</v>
      </c>
      <c r="K39" s="17" t="s">
        <v>1681</v>
      </c>
      <c r="L39" s="18" t="s">
        <v>1885</v>
      </c>
      <c r="M39" s="17" t="s">
        <v>1681</v>
      </c>
      <c r="N39" s="18" t="s">
        <v>1886</v>
      </c>
      <c r="O39" s="17" t="s">
        <v>1681</v>
      </c>
      <c r="P39" s="18" t="s">
        <v>402</v>
      </c>
      <c r="Q39" s="17" t="s">
        <v>1681</v>
      </c>
      <c r="R39" s="17" t="s">
        <v>1887</v>
      </c>
      <c r="S39" s="17" t="s">
        <v>1681</v>
      </c>
      <c r="T39" s="17" t="s">
        <v>1888</v>
      </c>
      <c r="U39" s="17" t="s">
        <v>1681</v>
      </c>
      <c r="V39" s="167" t="s">
        <v>1884</v>
      </c>
      <c r="W39" s="17"/>
    </row>
    <row r="40" spans="1:23" ht="409.6">
      <c r="A40" s="156"/>
      <c r="B40" s="153"/>
      <c r="C40" s="17" t="s">
        <v>1685</v>
      </c>
      <c r="D40" s="18" t="s">
        <v>1889</v>
      </c>
      <c r="E40" s="17" t="s">
        <v>1685</v>
      </c>
      <c r="F40" s="18" t="s">
        <v>17</v>
      </c>
      <c r="G40" s="17" t="s">
        <v>1685</v>
      </c>
      <c r="H40" s="18" t="s">
        <v>88</v>
      </c>
      <c r="I40" s="17" t="s">
        <v>1685</v>
      </c>
      <c r="J40" s="18" t="s">
        <v>17</v>
      </c>
      <c r="K40" s="17" t="s">
        <v>1685</v>
      </c>
      <c r="L40" s="18" t="s">
        <v>1890</v>
      </c>
      <c r="M40" s="17" t="s">
        <v>1685</v>
      </c>
      <c r="N40" s="18" t="s">
        <v>1891</v>
      </c>
      <c r="O40" s="17" t="s">
        <v>1685</v>
      </c>
      <c r="P40" s="18" t="s">
        <v>625</v>
      </c>
      <c r="Q40" s="17" t="s">
        <v>1685</v>
      </c>
      <c r="R40" s="17" t="s">
        <v>1892</v>
      </c>
      <c r="S40" s="17" t="s">
        <v>1685</v>
      </c>
      <c r="T40" s="17" t="s">
        <v>1893</v>
      </c>
      <c r="U40" s="17" t="s">
        <v>1685</v>
      </c>
      <c r="V40" s="167"/>
      <c r="W40" s="17"/>
    </row>
    <row r="41" spans="1:23" ht="409.6">
      <c r="A41" s="156"/>
      <c r="B41" s="154"/>
      <c r="C41" s="17" t="s">
        <v>1688</v>
      </c>
      <c r="D41" s="18" t="s">
        <v>171</v>
      </c>
      <c r="E41" s="17" t="s">
        <v>1688</v>
      </c>
      <c r="F41" s="18" t="s">
        <v>17</v>
      </c>
      <c r="G41" s="17" t="s">
        <v>1688</v>
      </c>
      <c r="H41" s="18" t="s">
        <v>1894</v>
      </c>
      <c r="I41" s="17" t="s">
        <v>1688</v>
      </c>
      <c r="J41" s="18" t="s">
        <v>17</v>
      </c>
      <c r="K41" s="17" t="s">
        <v>1688</v>
      </c>
      <c r="L41" s="18" t="s">
        <v>1895</v>
      </c>
      <c r="M41" s="17" t="s">
        <v>1688</v>
      </c>
      <c r="N41" s="27" t="s">
        <v>1896</v>
      </c>
      <c r="O41" s="17" t="s">
        <v>1688</v>
      </c>
      <c r="P41" s="18" t="s">
        <v>17</v>
      </c>
      <c r="Q41" s="17" t="s">
        <v>1688</v>
      </c>
      <c r="R41" s="17" t="s">
        <v>1897</v>
      </c>
      <c r="S41" s="17" t="s">
        <v>1688</v>
      </c>
      <c r="T41" s="17" t="s">
        <v>17</v>
      </c>
      <c r="U41" s="17" t="s">
        <v>1688</v>
      </c>
      <c r="V41" s="167" t="s">
        <v>1884</v>
      </c>
      <c r="W41" s="17"/>
    </row>
    <row r="42" spans="1:23" ht="409.6">
      <c r="A42" s="156" t="s">
        <v>109</v>
      </c>
      <c r="B42" s="165" t="s">
        <v>225</v>
      </c>
      <c r="C42" s="17" t="s">
        <v>1675</v>
      </c>
      <c r="D42" s="18" t="s">
        <v>1898</v>
      </c>
      <c r="E42" s="17" t="s">
        <v>1675</v>
      </c>
      <c r="F42" s="18" t="s">
        <v>1899</v>
      </c>
      <c r="G42" s="17" t="s">
        <v>1675</v>
      </c>
      <c r="H42" s="18" t="s">
        <v>29</v>
      </c>
      <c r="I42" s="17" t="s">
        <v>1675</v>
      </c>
      <c r="J42" s="18" t="s">
        <v>17</v>
      </c>
      <c r="K42" s="17" t="s">
        <v>1675</v>
      </c>
      <c r="L42" s="18" t="s">
        <v>1900</v>
      </c>
      <c r="M42" s="17" t="s">
        <v>1675</v>
      </c>
      <c r="N42" s="18" t="s">
        <v>1901</v>
      </c>
      <c r="O42" s="17" t="s">
        <v>1675</v>
      </c>
      <c r="P42" s="18" t="s">
        <v>1902</v>
      </c>
      <c r="Q42" s="17" t="s">
        <v>1675</v>
      </c>
      <c r="R42" s="17" t="s">
        <v>1903</v>
      </c>
      <c r="S42" s="17" t="s">
        <v>1675</v>
      </c>
      <c r="T42" s="17" t="s">
        <v>17</v>
      </c>
      <c r="U42" s="17" t="s">
        <v>1675</v>
      </c>
      <c r="V42" s="167" t="s">
        <v>17</v>
      </c>
      <c r="W42" s="17"/>
    </row>
    <row r="43" spans="1:23" ht="409.6">
      <c r="A43" s="156"/>
      <c r="B43" s="153"/>
      <c r="C43" s="17" t="s">
        <v>1681</v>
      </c>
      <c r="D43" s="18" t="s">
        <v>1904</v>
      </c>
      <c r="E43" s="17" t="s">
        <v>1681</v>
      </c>
      <c r="F43" s="18" t="s">
        <v>1905</v>
      </c>
      <c r="G43" s="17" t="s">
        <v>1681</v>
      </c>
      <c r="H43" s="18" t="s">
        <v>29</v>
      </c>
      <c r="I43" s="17" t="s">
        <v>1681</v>
      </c>
      <c r="J43" s="18" t="s">
        <v>17</v>
      </c>
      <c r="K43" s="17" t="s">
        <v>1681</v>
      </c>
      <c r="L43" s="18" t="s">
        <v>1906</v>
      </c>
      <c r="M43" s="17" t="s">
        <v>1681</v>
      </c>
      <c r="N43" s="18" t="s">
        <v>1907</v>
      </c>
      <c r="O43" s="17" t="s">
        <v>1681</v>
      </c>
      <c r="P43" s="18" t="s">
        <v>1908</v>
      </c>
      <c r="Q43" s="17" t="s">
        <v>1681</v>
      </c>
      <c r="R43" s="17" t="s">
        <v>1909</v>
      </c>
      <c r="S43" s="17" t="s">
        <v>1681</v>
      </c>
      <c r="T43" s="17" t="s">
        <v>17</v>
      </c>
      <c r="U43" s="17" t="s">
        <v>1681</v>
      </c>
      <c r="V43" s="167" t="s">
        <v>17</v>
      </c>
      <c r="W43" s="17"/>
    </row>
    <row r="44" spans="1:23" ht="409.6">
      <c r="A44" s="156"/>
      <c r="B44" s="153"/>
      <c r="C44" s="17" t="s">
        <v>1685</v>
      </c>
      <c r="D44" s="18" t="s">
        <v>1910</v>
      </c>
      <c r="E44" s="17" t="s">
        <v>1685</v>
      </c>
      <c r="F44" s="18" t="s">
        <v>1905</v>
      </c>
      <c r="G44" s="17" t="s">
        <v>1685</v>
      </c>
      <c r="H44" s="18" t="s">
        <v>88</v>
      </c>
      <c r="I44" s="17" t="s">
        <v>1685</v>
      </c>
      <c r="J44" s="18" t="s">
        <v>17</v>
      </c>
      <c r="K44" s="17" t="s">
        <v>1685</v>
      </c>
      <c r="L44" s="18" t="s">
        <v>1911</v>
      </c>
      <c r="M44" s="17" t="s">
        <v>1685</v>
      </c>
      <c r="N44" s="18" t="s">
        <v>17</v>
      </c>
      <c r="O44" s="17" t="s">
        <v>1685</v>
      </c>
      <c r="P44" s="18" t="s">
        <v>1902</v>
      </c>
      <c r="Q44" s="17" t="s">
        <v>1685</v>
      </c>
      <c r="R44" s="17" t="s">
        <v>1912</v>
      </c>
      <c r="S44" s="17" t="s">
        <v>1685</v>
      </c>
      <c r="T44" s="17" t="s">
        <v>17</v>
      </c>
      <c r="U44" s="17" t="s">
        <v>1685</v>
      </c>
      <c r="V44" s="167"/>
      <c r="W44" s="17"/>
    </row>
    <row r="45" spans="1:23" ht="409.6">
      <c r="A45" s="156"/>
      <c r="B45" s="154"/>
      <c r="C45" s="17" t="s">
        <v>1688</v>
      </c>
      <c r="D45" s="18" t="s">
        <v>1913</v>
      </c>
      <c r="E45" s="17" t="s">
        <v>1688</v>
      </c>
      <c r="F45" s="28" t="s">
        <v>1914</v>
      </c>
      <c r="G45" s="17" t="s">
        <v>1688</v>
      </c>
      <c r="H45" s="18" t="s">
        <v>17</v>
      </c>
      <c r="I45" s="17" t="s">
        <v>1688</v>
      </c>
      <c r="J45" s="18" t="s">
        <v>17</v>
      </c>
      <c r="K45" s="17" t="s">
        <v>1688</v>
      </c>
      <c r="L45" s="28" t="s">
        <v>1915</v>
      </c>
      <c r="M45" s="17" t="s">
        <v>1688</v>
      </c>
      <c r="N45" s="18" t="s">
        <v>1916</v>
      </c>
      <c r="O45" s="17" t="s">
        <v>1688</v>
      </c>
      <c r="P45" s="18" t="s">
        <v>17</v>
      </c>
      <c r="Q45" s="17" t="s">
        <v>1688</v>
      </c>
      <c r="R45" s="17" t="s">
        <v>1917</v>
      </c>
      <c r="S45" s="17" t="s">
        <v>1688</v>
      </c>
      <c r="T45" s="17" t="s">
        <v>17</v>
      </c>
      <c r="U45" s="17" t="s">
        <v>1688</v>
      </c>
      <c r="V45" s="167" t="s">
        <v>17</v>
      </c>
      <c r="W45" s="17"/>
    </row>
    <row r="46" spans="1:23" ht="409.6">
      <c r="A46" s="165" t="s">
        <v>156</v>
      </c>
      <c r="B46" s="165" t="s">
        <v>177</v>
      </c>
      <c r="C46" s="17" t="s">
        <v>1685</v>
      </c>
      <c r="D46" s="18" t="s">
        <v>1918</v>
      </c>
      <c r="E46" s="17" t="s">
        <v>1685</v>
      </c>
      <c r="F46" s="18" t="s">
        <v>17</v>
      </c>
      <c r="G46" s="17" t="s">
        <v>1685</v>
      </c>
      <c r="H46" s="18" t="s">
        <v>88</v>
      </c>
      <c r="I46" s="17" t="s">
        <v>1685</v>
      </c>
      <c r="J46" s="18" t="s">
        <v>1919</v>
      </c>
      <c r="K46" s="17" t="s">
        <v>1685</v>
      </c>
      <c r="L46" s="18" t="s">
        <v>1920</v>
      </c>
      <c r="M46" s="17" t="s">
        <v>1685</v>
      </c>
      <c r="N46" s="18" t="s">
        <v>1921</v>
      </c>
      <c r="O46" s="17" t="s">
        <v>1685</v>
      </c>
      <c r="P46" s="18" t="s">
        <v>1922</v>
      </c>
      <c r="Q46" s="17" t="s">
        <v>1685</v>
      </c>
      <c r="R46" s="17" t="s">
        <v>1923</v>
      </c>
      <c r="S46" s="17" t="s">
        <v>1685</v>
      </c>
      <c r="T46" s="17" t="s">
        <v>1924</v>
      </c>
      <c r="U46" s="17" t="s">
        <v>1685</v>
      </c>
      <c r="V46" s="19" t="s">
        <v>1925</v>
      </c>
      <c r="W46" s="17" t="s">
        <v>1926</v>
      </c>
    </row>
    <row r="47" spans="1:23" ht="409.6">
      <c r="A47" s="154"/>
      <c r="B47" s="154"/>
      <c r="C47" s="17" t="s">
        <v>1688</v>
      </c>
      <c r="D47" s="18" t="s">
        <v>1927</v>
      </c>
      <c r="E47" s="17" t="s">
        <v>1688</v>
      </c>
      <c r="F47" s="18" t="s">
        <v>17</v>
      </c>
      <c r="G47" s="17" t="s">
        <v>1688</v>
      </c>
      <c r="H47" s="18" t="s">
        <v>793</v>
      </c>
      <c r="I47" s="17" t="s">
        <v>1688</v>
      </c>
      <c r="J47" s="18" t="s">
        <v>1928</v>
      </c>
      <c r="K47" s="17" t="s">
        <v>1688</v>
      </c>
      <c r="L47" s="29" t="s">
        <v>1929</v>
      </c>
      <c r="M47" s="17" t="s">
        <v>1688</v>
      </c>
      <c r="N47" s="18" t="s">
        <v>1930</v>
      </c>
      <c r="O47" s="17" t="s">
        <v>1688</v>
      </c>
      <c r="P47" s="18" t="s">
        <v>1931</v>
      </c>
      <c r="Q47" s="17" t="s">
        <v>1688</v>
      </c>
      <c r="R47" s="17" t="s">
        <v>1932</v>
      </c>
      <c r="S47" s="17" t="s">
        <v>1688</v>
      </c>
      <c r="T47" s="29" t="s">
        <v>1933</v>
      </c>
      <c r="U47" s="17" t="s">
        <v>1688</v>
      </c>
      <c r="V47" s="29" t="s">
        <v>1934</v>
      </c>
      <c r="W47" s="17" t="s">
        <v>1926</v>
      </c>
    </row>
    <row r="48" spans="1:23" ht="409.6">
      <c r="A48" s="156" t="s">
        <v>1935</v>
      </c>
      <c r="B48" s="156"/>
      <c r="C48" s="17" t="s">
        <v>1675</v>
      </c>
      <c r="D48" s="18" t="s">
        <v>17</v>
      </c>
      <c r="E48" s="17" t="s">
        <v>1675</v>
      </c>
      <c r="F48" s="18" t="s">
        <v>17</v>
      </c>
      <c r="G48" s="17" t="s">
        <v>1675</v>
      </c>
      <c r="H48" s="18" t="s">
        <v>29</v>
      </c>
      <c r="I48" s="17" t="s">
        <v>1675</v>
      </c>
      <c r="J48" s="18" t="s">
        <v>1936</v>
      </c>
      <c r="K48" s="17" t="s">
        <v>1675</v>
      </c>
      <c r="L48" s="18" t="s">
        <v>1937</v>
      </c>
      <c r="M48" s="17" t="s">
        <v>1675</v>
      </c>
      <c r="N48" s="18" t="s">
        <v>17</v>
      </c>
      <c r="O48" s="17" t="s">
        <v>1675</v>
      </c>
      <c r="P48" s="18" t="s">
        <v>17</v>
      </c>
      <c r="Q48" s="17" t="s">
        <v>1675</v>
      </c>
      <c r="R48" s="17" t="s">
        <v>1938</v>
      </c>
      <c r="S48" s="17" t="s">
        <v>1675</v>
      </c>
      <c r="T48" s="17" t="s">
        <v>17</v>
      </c>
      <c r="U48" s="17" t="s">
        <v>1675</v>
      </c>
      <c r="V48" s="17" t="s">
        <v>17</v>
      </c>
      <c r="W48" s="17"/>
    </row>
    <row r="49" spans="1:23" ht="409.6">
      <c r="A49" s="156"/>
      <c r="B49" s="156"/>
      <c r="C49" s="17" t="s">
        <v>1681</v>
      </c>
      <c r="D49" s="18" t="s">
        <v>17</v>
      </c>
      <c r="E49" s="17" t="s">
        <v>1681</v>
      </c>
      <c r="F49" s="18" t="s">
        <v>17</v>
      </c>
      <c r="G49" s="17" t="s">
        <v>1681</v>
      </c>
      <c r="H49" s="18" t="s">
        <v>29</v>
      </c>
      <c r="I49" s="17" t="s">
        <v>1681</v>
      </c>
      <c r="J49" s="18" t="s">
        <v>1936</v>
      </c>
      <c r="K49" s="17" t="s">
        <v>1681</v>
      </c>
      <c r="L49" s="18" t="s">
        <v>1937</v>
      </c>
      <c r="M49" s="17" t="s">
        <v>1681</v>
      </c>
      <c r="N49" s="18" t="s">
        <v>17</v>
      </c>
      <c r="O49" s="17" t="s">
        <v>1681</v>
      </c>
      <c r="P49" s="18" t="s">
        <v>17</v>
      </c>
      <c r="Q49" s="17" t="s">
        <v>1681</v>
      </c>
      <c r="R49" s="17" t="s">
        <v>1939</v>
      </c>
      <c r="S49" s="17" t="s">
        <v>1681</v>
      </c>
      <c r="T49" s="17" t="s">
        <v>17</v>
      </c>
      <c r="U49" s="17" t="s">
        <v>1681</v>
      </c>
      <c r="V49" s="17" t="s">
        <v>17</v>
      </c>
      <c r="W49" s="17"/>
    </row>
    <row r="50" spans="1:23" ht="409.6">
      <c r="A50" s="156"/>
      <c r="B50" s="156"/>
      <c r="C50" s="17" t="s">
        <v>1685</v>
      </c>
      <c r="D50" s="18" t="s">
        <v>17</v>
      </c>
      <c r="E50" s="17" t="s">
        <v>1685</v>
      </c>
      <c r="F50" s="18" t="s">
        <v>17</v>
      </c>
      <c r="G50" s="17" t="s">
        <v>1685</v>
      </c>
      <c r="H50" s="18" t="s">
        <v>29</v>
      </c>
      <c r="I50" s="17" t="s">
        <v>1685</v>
      </c>
      <c r="J50" s="18" t="s">
        <v>1936</v>
      </c>
      <c r="K50" s="17" t="s">
        <v>1685</v>
      </c>
      <c r="L50" s="18" t="s">
        <v>1940</v>
      </c>
      <c r="M50" s="17" t="s">
        <v>1685</v>
      </c>
      <c r="N50" s="18" t="s">
        <v>17</v>
      </c>
      <c r="O50" s="17" t="s">
        <v>1685</v>
      </c>
      <c r="P50" s="18" t="s">
        <v>17</v>
      </c>
      <c r="Q50" s="17" t="s">
        <v>1685</v>
      </c>
      <c r="R50" s="30" t="s">
        <v>1941</v>
      </c>
      <c r="S50" s="17" t="s">
        <v>1685</v>
      </c>
      <c r="T50" s="17" t="s">
        <v>17</v>
      </c>
      <c r="U50" s="17" t="s">
        <v>1685</v>
      </c>
      <c r="V50" s="17" t="s">
        <v>17</v>
      </c>
      <c r="W50" s="17"/>
    </row>
    <row r="51" spans="1:23" ht="409.6">
      <c r="A51" s="156"/>
      <c r="B51" s="156"/>
      <c r="C51" s="17" t="s">
        <v>1688</v>
      </c>
      <c r="D51" s="18" t="s">
        <v>1942</v>
      </c>
      <c r="E51" s="17" t="s">
        <v>1688</v>
      </c>
      <c r="F51" s="18" t="s">
        <v>17</v>
      </c>
      <c r="G51" s="17" t="s">
        <v>1688</v>
      </c>
      <c r="H51" s="18" t="s">
        <v>17</v>
      </c>
      <c r="I51" s="17" t="s">
        <v>1688</v>
      </c>
      <c r="J51" s="18" t="s">
        <v>17</v>
      </c>
      <c r="K51" s="17" t="s">
        <v>1688</v>
      </c>
      <c r="L51" s="18" t="s">
        <v>1943</v>
      </c>
      <c r="M51" s="17" t="s">
        <v>1688</v>
      </c>
      <c r="N51" s="18" t="s">
        <v>17</v>
      </c>
      <c r="O51" s="17" t="s">
        <v>1688</v>
      </c>
      <c r="P51" s="18" t="s">
        <v>17</v>
      </c>
      <c r="Q51" s="17" t="s">
        <v>1688</v>
      </c>
      <c r="R51" s="17" t="s">
        <v>1944</v>
      </c>
      <c r="S51" s="17" t="s">
        <v>1688</v>
      </c>
      <c r="T51" s="17" t="s">
        <v>17</v>
      </c>
      <c r="U51" s="17" t="s">
        <v>1688</v>
      </c>
      <c r="V51" s="17" t="s">
        <v>17</v>
      </c>
      <c r="W51" s="17"/>
    </row>
    <row r="52" spans="1:23" ht="409.6">
      <c r="A52" s="156" t="s">
        <v>1945</v>
      </c>
      <c r="B52" s="156"/>
      <c r="C52" s="17" t="s">
        <v>1675</v>
      </c>
      <c r="D52" s="18" t="s">
        <v>17</v>
      </c>
      <c r="E52" s="17" t="s">
        <v>1675</v>
      </c>
      <c r="F52" s="18" t="s">
        <v>17</v>
      </c>
      <c r="G52" s="17" t="s">
        <v>1675</v>
      </c>
      <c r="H52" s="18" t="s">
        <v>29</v>
      </c>
      <c r="I52" s="17" t="s">
        <v>1675</v>
      </c>
      <c r="J52" s="18" t="s">
        <v>1946</v>
      </c>
      <c r="K52" s="17" t="s">
        <v>1675</v>
      </c>
      <c r="L52" s="18" t="s">
        <v>1947</v>
      </c>
      <c r="M52" s="17" t="s">
        <v>1675</v>
      </c>
      <c r="N52" s="18" t="s">
        <v>1948</v>
      </c>
      <c r="O52" s="17" t="s">
        <v>1675</v>
      </c>
      <c r="P52" s="18" t="s">
        <v>17</v>
      </c>
      <c r="Q52" s="17" t="s">
        <v>1675</v>
      </c>
      <c r="R52" s="17" t="s">
        <v>1949</v>
      </c>
      <c r="S52" s="17" t="s">
        <v>1675</v>
      </c>
      <c r="T52" s="17" t="s">
        <v>17</v>
      </c>
      <c r="U52" s="17" t="s">
        <v>1675</v>
      </c>
      <c r="V52" s="17" t="s">
        <v>17</v>
      </c>
      <c r="W52" s="17"/>
    </row>
    <row r="53" spans="1:23" ht="409.6">
      <c r="A53" s="156"/>
      <c r="B53" s="156"/>
      <c r="C53" s="17" t="s">
        <v>1681</v>
      </c>
      <c r="D53" s="18" t="s">
        <v>17</v>
      </c>
      <c r="E53" s="17" t="s">
        <v>1681</v>
      </c>
      <c r="F53" s="18" t="s">
        <v>17</v>
      </c>
      <c r="G53" s="17" t="s">
        <v>1681</v>
      </c>
      <c r="H53" s="18" t="s">
        <v>29</v>
      </c>
      <c r="I53" s="17" t="s">
        <v>1681</v>
      </c>
      <c r="J53" s="18" t="s">
        <v>1946</v>
      </c>
      <c r="K53" s="17" t="s">
        <v>1681</v>
      </c>
      <c r="L53" s="18" t="s">
        <v>1947</v>
      </c>
      <c r="M53" s="17" t="s">
        <v>1681</v>
      </c>
      <c r="N53" s="18" t="s">
        <v>17</v>
      </c>
      <c r="O53" s="17" t="s">
        <v>1681</v>
      </c>
      <c r="P53" s="18" t="s">
        <v>17</v>
      </c>
      <c r="Q53" s="17" t="s">
        <v>1681</v>
      </c>
      <c r="R53" s="30" t="s">
        <v>1950</v>
      </c>
      <c r="S53" s="17" t="s">
        <v>1681</v>
      </c>
      <c r="T53" s="17" t="s">
        <v>17</v>
      </c>
      <c r="U53" s="17" t="s">
        <v>1681</v>
      </c>
      <c r="V53" s="17" t="s">
        <v>17</v>
      </c>
      <c r="W53" s="17"/>
    </row>
    <row r="54" spans="1:23" ht="409.6">
      <c r="A54" s="156"/>
      <c r="B54" s="156"/>
      <c r="C54" s="17" t="s">
        <v>1685</v>
      </c>
      <c r="D54" s="18" t="s">
        <v>17</v>
      </c>
      <c r="E54" s="17" t="s">
        <v>1685</v>
      </c>
      <c r="F54" s="18" t="s">
        <v>17</v>
      </c>
      <c r="G54" s="17" t="s">
        <v>1685</v>
      </c>
      <c r="H54" s="18" t="s">
        <v>29</v>
      </c>
      <c r="I54" s="17" t="s">
        <v>1685</v>
      </c>
      <c r="J54" s="18" t="s">
        <v>29</v>
      </c>
      <c r="K54" s="17" t="s">
        <v>1685</v>
      </c>
      <c r="L54" s="18" t="s">
        <v>1947</v>
      </c>
      <c r="M54" s="17" t="s">
        <v>1685</v>
      </c>
      <c r="N54" s="18" t="s">
        <v>17</v>
      </c>
      <c r="O54" s="17" t="s">
        <v>1685</v>
      </c>
      <c r="P54" s="18" t="s">
        <v>17</v>
      </c>
      <c r="Q54" s="17" t="s">
        <v>1685</v>
      </c>
      <c r="R54" s="30" t="s">
        <v>1951</v>
      </c>
      <c r="S54" s="17" t="s">
        <v>1685</v>
      </c>
      <c r="T54" s="17" t="s">
        <v>17</v>
      </c>
      <c r="U54" s="17" t="s">
        <v>1685</v>
      </c>
      <c r="V54" s="17" t="s">
        <v>17</v>
      </c>
      <c r="W54" s="17"/>
    </row>
    <row r="55" spans="1:23" ht="409.6">
      <c r="A55" s="156"/>
      <c r="B55" s="156"/>
      <c r="C55" s="17" t="s">
        <v>1688</v>
      </c>
      <c r="D55" s="18" t="s">
        <v>17</v>
      </c>
      <c r="E55" s="17" t="s">
        <v>1688</v>
      </c>
      <c r="F55" s="18" t="s">
        <v>87</v>
      </c>
      <c r="G55" s="17" t="s">
        <v>1688</v>
      </c>
      <c r="H55" s="18" t="s">
        <v>17</v>
      </c>
      <c r="I55" s="17" t="s">
        <v>1688</v>
      </c>
      <c r="J55" s="18" t="s">
        <v>1952</v>
      </c>
      <c r="K55" s="17" t="s">
        <v>1688</v>
      </c>
      <c r="L55" s="18" t="s">
        <v>1953</v>
      </c>
      <c r="M55" s="17" t="s">
        <v>1688</v>
      </c>
      <c r="N55" s="18" t="s">
        <v>1954</v>
      </c>
      <c r="O55" s="17" t="s">
        <v>1688</v>
      </c>
      <c r="P55" s="18" t="s">
        <v>17</v>
      </c>
      <c r="Q55" s="17" t="s">
        <v>1688</v>
      </c>
      <c r="R55" s="30" t="s">
        <v>1955</v>
      </c>
      <c r="S55" s="17" t="s">
        <v>1688</v>
      </c>
      <c r="T55" s="17" t="s">
        <v>17</v>
      </c>
      <c r="U55" s="17" t="s">
        <v>1688</v>
      </c>
      <c r="V55" s="17" t="s">
        <v>17</v>
      </c>
      <c r="W55" s="17"/>
    </row>
    <row r="56" spans="1:23" ht="60">
      <c r="A56" s="156" t="s">
        <v>156</v>
      </c>
      <c r="B56" s="156" t="s">
        <v>180</v>
      </c>
      <c r="C56" s="17" t="s">
        <v>1675</v>
      </c>
      <c r="D56" s="18" t="s">
        <v>1956</v>
      </c>
      <c r="E56" s="17" t="s">
        <v>1675</v>
      </c>
      <c r="F56" s="18" t="s">
        <v>1957</v>
      </c>
      <c r="G56" s="17" t="s">
        <v>1675</v>
      </c>
      <c r="H56" s="18" t="s">
        <v>1957</v>
      </c>
      <c r="I56" s="17" t="s">
        <v>1675</v>
      </c>
      <c r="J56" s="18" t="s">
        <v>1957</v>
      </c>
      <c r="K56" s="17" t="s">
        <v>1675</v>
      </c>
      <c r="L56" s="18" t="s">
        <v>1957</v>
      </c>
      <c r="M56" s="17" t="s">
        <v>1675</v>
      </c>
      <c r="N56" s="18" t="s">
        <v>1957</v>
      </c>
      <c r="O56" s="17" t="s">
        <v>1675</v>
      </c>
      <c r="P56" s="18" t="s">
        <v>1957</v>
      </c>
      <c r="Q56" s="17" t="s">
        <v>1675</v>
      </c>
      <c r="R56" s="31" t="s">
        <v>1957</v>
      </c>
      <c r="S56" s="17" t="s">
        <v>1675</v>
      </c>
      <c r="T56" s="17" t="s">
        <v>1957</v>
      </c>
      <c r="U56" s="17" t="s">
        <v>1675</v>
      </c>
      <c r="V56" s="17" t="s">
        <v>1957</v>
      </c>
      <c r="W56" s="17"/>
    </row>
    <row r="57" spans="1:23" ht="330">
      <c r="A57" s="156"/>
      <c r="B57" s="156"/>
      <c r="C57" s="17" t="s">
        <v>1681</v>
      </c>
      <c r="D57" s="18" t="s">
        <v>1956</v>
      </c>
      <c r="E57" s="17" t="s">
        <v>1681</v>
      </c>
      <c r="F57" s="18" t="s">
        <v>60</v>
      </c>
      <c r="G57" s="17" t="s">
        <v>1681</v>
      </c>
      <c r="H57" s="18" t="s">
        <v>29</v>
      </c>
      <c r="I57" s="17" t="s">
        <v>1681</v>
      </c>
      <c r="J57" s="18" t="s">
        <v>1958</v>
      </c>
      <c r="K57" s="17" t="s">
        <v>1681</v>
      </c>
      <c r="L57" s="18" t="s">
        <v>1959</v>
      </c>
      <c r="M57" s="17" t="s">
        <v>1681</v>
      </c>
      <c r="N57" s="18" t="s">
        <v>1960</v>
      </c>
      <c r="O57" s="17" t="s">
        <v>1681</v>
      </c>
      <c r="P57" s="18" t="s">
        <v>17</v>
      </c>
      <c r="Q57" s="17" t="s">
        <v>1681</v>
      </c>
      <c r="R57" s="31" t="s">
        <v>4082</v>
      </c>
      <c r="S57" s="17" t="s">
        <v>1681</v>
      </c>
      <c r="T57" s="17" t="s">
        <v>1962</v>
      </c>
      <c r="U57" s="17" t="s">
        <v>1681</v>
      </c>
      <c r="V57" s="17" t="s">
        <v>17</v>
      </c>
      <c r="W57" s="17"/>
    </row>
    <row r="58" spans="1:23" ht="315">
      <c r="A58" s="156"/>
      <c r="B58" s="156"/>
      <c r="C58" s="17" t="s">
        <v>1685</v>
      </c>
      <c r="D58" s="18" t="s">
        <v>1956</v>
      </c>
      <c r="E58" s="17" t="s">
        <v>1685</v>
      </c>
      <c r="F58" s="18" t="s">
        <v>60</v>
      </c>
      <c r="G58" s="17" t="s">
        <v>1685</v>
      </c>
      <c r="H58" s="18" t="s">
        <v>88</v>
      </c>
      <c r="I58" s="17" t="s">
        <v>1685</v>
      </c>
      <c r="J58" s="18" t="s">
        <v>1963</v>
      </c>
      <c r="K58" s="17" t="s">
        <v>1685</v>
      </c>
      <c r="L58" s="18" t="s">
        <v>1964</v>
      </c>
      <c r="M58" s="17" t="s">
        <v>1685</v>
      </c>
      <c r="N58" s="18" t="s">
        <v>1965</v>
      </c>
      <c r="O58" s="17" t="s">
        <v>1685</v>
      </c>
      <c r="P58" s="18" t="s">
        <v>942</v>
      </c>
      <c r="Q58" s="17" t="s">
        <v>1685</v>
      </c>
      <c r="R58" s="31" t="s">
        <v>1961</v>
      </c>
      <c r="S58" s="17" t="s">
        <v>1685</v>
      </c>
      <c r="T58" s="17" t="s">
        <v>1962</v>
      </c>
      <c r="U58" s="17" t="s">
        <v>1685</v>
      </c>
      <c r="V58" s="17" t="s">
        <v>17</v>
      </c>
      <c r="W58" s="17"/>
    </row>
    <row r="59" spans="1:23" ht="409.6">
      <c r="A59" s="156"/>
      <c r="B59" s="156"/>
      <c r="C59" s="17" t="s">
        <v>1688</v>
      </c>
      <c r="D59" s="18" t="s">
        <v>1956</v>
      </c>
      <c r="E59" s="17" t="s">
        <v>1688</v>
      </c>
      <c r="F59" s="18" t="s">
        <v>60</v>
      </c>
      <c r="G59" s="17" t="s">
        <v>1688</v>
      </c>
      <c r="H59" s="18" t="s">
        <v>88</v>
      </c>
      <c r="I59" s="17" t="s">
        <v>1688</v>
      </c>
      <c r="J59" s="18" t="s">
        <v>17</v>
      </c>
      <c r="K59" s="17" t="s">
        <v>1688</v>
      </c>
      <c r="L59" s="18" t="s">
        <v>1966</v>
      </c>
      <c r="M59" s="17" t="s">
        <v>1688</v>
      </c>
      <c r="N59" s="18" t="s">
        <v>1967</v>
      </c>
      <c r="O59" s="17" t="s">
        <v>1688</v>
      </c>
      <c r="P59" s="18" t="s">
        <v>1931</v>
      </c>
      <c r="Q59" s="17" t="s">
        <v>1688</v>
      </c>
      <c r="R59" s="31" t="s">
        <v>1968</v>
      </c>
      <c r="S59" s="17" t="s">
        <v>1688</v>
      </c>
      <c r="T59" s="17" t="s">
        <v>17</v>
      </c>
      <c r="U59" s="17" t="s">
        <v>1688</v>
      </c>
      <c r="V59" s="17" t="s">
        <v>17</v>
      </c>
      <c r="W59" s="17"/>
    </row>
    <row r="60" spans="1:23" ht="135">
      <c r="A60" s="156" t="s">
        <v>20</v>
      </c>
      <c r="B60" s="156" t="s">
        <v>628</v>
      </c>
      <c r="C60" s="17" t="s">
        <v>1675</v>
      </c>
      <c r="D60" s="18" t="s">
        <v>1969</v>
      </c>
      <c r="E60" s="17" t="s">
        <v>1675</v>
      </c>
      <c r="F60" s="18" t="s">
        <v>17</v>
      </c>
      <c r="G60" s="17" t="s">
        <v>1675</v>
      </c>
      <c r="H60" s="18" t="s">
        <v>29</v>
      </c>
      <c r="I60" s="17" t="s">
        <v>1675</v>
      </c>
      <c r="J60" s="18" t="s">
        <v>1970</v>
      </c>
      <c r="K60" s="17" t="s">
        <v>1675</v>
      </c>
      <c r="L60" s="18" t="s">
        <v>1971</v>
      </c>
      <c r="M60" s="17" t="s">
        <v>1675</v>
      </c>
      <c r="N60" s="18">
        <v>7.7</v>
      </c>
      <c r="O60" s="17" t="s">
        <v>1675</v>
      </c>
      <c r="P60" s="18" t="s">
        <v>17</v>
      </c>
      <c r="Q60" s="17" t="s">
        <v>1675</v>
      </c>
      <c r="R60" s="17" t="s">
        <v>1972</v>
      </c>
      <c r="S60" s="17" t="s">
        <v>1675</v>
      </c>
      <c r="T60" s="17" t="s">
        <v>1973</v>
      </c>
      <c r="U60" s="17" t="s">
        <v>1675</v>
      </c>
      <c r="V60" s="17" t="s">
        <v>17</v>
      </c>
      <c r="W60" s="17"/>
    </row>
    <row r="61" spans="1:23" ht="135">
      <c r="A61" s="156"/>
      <c r="B61" s="156"/>
      <c r="C61" s="17" t="s">
        <v>1681</v>
      </c>
      <c r="D61" s="18" t="s">
        <v>1969</v>
      </c>
      <c r="E61" s="17" t="s">
        <v>1681</v>
      </c>
      <c r="F61" s="18" t="s">
        <v>17</v>
      </c>
      <c r="G61" s="17" t="s">
        <v>1681</v>
      </c>
      <c r="H61" s="18" t="s">
        <v>29</v>
      </c>
      <c r="I61" s="17" t="s">
        <v>1681</v>
      </c>
      <c r="J61" s="18" t="s">
        <v>1970</v>
      </c>
      <c r="K61" s="17" t="s">
        <v>1681</v>
      </c>
      <c r="L61" s="21">
        <v>44336</v>
      </c>
      <c r="M61" s="17" t="s">
        <v>1681</v>
      </c>
      <c r="N61" s="18">
        <v>7.5</v>
      </c>
      <c r="O61" s="17" t="s">
        <v>1681</v>
      </c>
      <c r="P61" s="18" t="s">
        <v>17</v>
      </c>
      <c r="Q61" s="17" t="s">
        <v>1681</v>
      </c>
      <c r="R61" s="17" t="s">
        <v>1972</v>
      </c>
      <c r="S61" s="17" t="s">
        <v>1681</v>
      </c>
      <c r="T61" s="17" t="s">
        <v>1973</v>
      </c>
      <c r="U61" s="17" t="s">
        <v>1681</v>
      </c>
      <c r="V61" s="17" t="s">
        <v>17</v>
      </c>
      <c r="W61" s="17"/>
    </row>
    <row r="62" spans="1:23" ht="135">
      <c r="A62" s="156"/>
      <c r="B62" s="156"/>
      <c r="C62" s="17" t="s">
        <v>1685</v>
      </c>
      <c r="D62" s="18" t="s">
        <v>1969</v>
      </c>
      <c r="E62" s="17" t="s">
        <v>1685</v>
      </c>
      <c r="F62" s="18" t="s">
        <v>17</v>
      </c>
      <c r="G62" s="17" t="s">
        <v>1685</v>
      </c>
      <c r="H62" s="18" t="s">
        <v>29</v>
      </c>
      <c r="I62" s="17" t="s">
        <v>1685</v>
      </c>
      <c r="J62" s="18" t="s">
        <v>1970</v>
      </c>
      <c r="K62" s="17" t="s">
        <v>1685</v>
      </c>
      <c r="L62" s="18" t="s">
        <v>1974</v>
      </c>
      <c r="M62" s="17" t="s">
        <v>1685</v>
      </c>
      <c r="N62" s="18">
        <v>7.3</v>
      </c>
      <c r="O62" s="17" t="s">
        <v>1685</v>
      </c>
      <c r="P62" s="18" t="s">
        <v>17</v>
      </c>
      <c r="Q62" s="17" t="s">
        <v>1685</v>
      </c>
      <c r="R62" s="17" t="s">
        <v>1975</v>
      </c>
      <c r="S62" s="17" t="s">
        <v>1685</v>
      </c>
      <c r="T62" s="17" t="s">
        <v>17</v>
      </c>
      <c r="U62" s="17" t="s">
        <v>1685</v>
      </c>
      <c r="V62" s="17" t="s">
        <v>17</v>
      </c>
      <c r="W62" s="17"/>
    </row>
    <row r="63" spans="1:23" ht="300">
      <c r="A63" s="156"/>
      <c r="B63" s="156"/>
      <c r="C63" s="17" t="s">
        <v>1688</v>
      </c>
      <c r="D63" s="18" t="s">
        <v>1976</v>
      </c>
      <c r="E63" s="17" t="s">
        <v>1688</v>
      </c>
      <c r="F63" s="18" t="s">
        <v>17</v>
      </c>
      <c r="G63" s="17" t="s">
        <v>1688</v>
      </c>
      <c r="H63" s="18" t="s">
        <v>1977</v>
      </c>
      <c r="I63" s="17" t="s">
        <v>1688</v>
      </c>
      <c r="J63" s="18" t="s">
        <v>1970</v>
      </c>
      <c r="K63" s="17" t="s">
        <v>1688</v>
      </c>
      <c r="L63" s="18" t="s">
        <v>1978</v>
      </c>
      <c r="M63" s="17" t="s">
        <v>1688</v>
      </c>
      <c r="N63" s="18" t="s">
        <v>1979</v>
      </c>
      <c r="O63" s="17" t="s">
        <v>1688</v>
      </c>
      <c r="P63" s="18" t="s">
        <v>17</v>
      </c>
      <c r="Q63" s="17" t="s">
        <v>1688</v>
      </c>
      <c r="R63" s="17" t="s">
        <v>1980</v>
      </c>
      <c r="S63" s="17" t="s">
        <v>1688</v>
      </c>
      <c r="T63" s="17" t="s">
        <v>17</v>
      </c>
      <c r="U63" s="17" t="s">
        <v>1688</v>
      </c>
      <c r="V63" s="17" t="s">
        <v>17</v>
      </c>
      <c r="W63" s="17"/>
    </row>
    <row r="64" spans="1:23" ht="409.6">
      <c r="A64" s="156" t="s">
        <v>283</v>
      </c>
      <c r="B64" s="156" t="s">
        <v>1981</v>
      </c>
      <c r="C64" s="17" t="s">
        <v>1675</v>
      </c>
      <c r="D64" s="18" t="s">
        <v>36</v>
      </c>
      <c r="E64" s="17" t="s">
        <v>1675</v>
      </c>
      <c r="F64" s="18" t="s">
        <v>60</v>
      </c>
      <c r="G64" s="17" t="s">
        <v>1675</v>
      </c>
      <c r="H64" s="18" t="s">
        <v>29</v>
      </c>
      <c r="I64" s="17" t="s">
        <v>1675</v>
      </c>
      <c r="J64" s="18" t="s">
        <v>17</v>
      </c>
      <c r="K64" s="17" t="s">
        <v>1675</v>
      </c>
      <c r="L64" s="18" t="s">
        <v>1982</v>
      </c>
      <c r="M64" s="17" t="s">
        <v>1675</v>
      </c>
      <c r="N64" s="18" t="s">
        <v>17</v>
      </c>
      <c r="O64" s="17" t="s">
        <v>1675</v>
      </c>
      <c r="P64" s="18" t="s">
        <v>17</v>
      </c>
      <c r="Q64" s="17" t="s">
        <v>1675</v>
      </c>
      <c r="R64" s="17" t="s">
        <v>1983</v>
      </c>
      <c r="S64" s="17" t="s">
        <v>1675</v>
      </c>
      <c r="T64" s="17" t="s">
        <v>1984</v>
      </c>
      <c r="U64" s="17" t="s">
        <v>1675</v>
      </c>
      <c r="V64" s="17" t="s">
        <v>17</v>
      </c>
      <c r="W64" s="17"/>
    </row>
    <row r="65" spans="1:23" ht="409.6">
      <c r="A65" s="156"/>
      <c r="B65" s="156"/>
      <c r="C65" s="17" t="s">
        <v>1681</v>
      </c>
      <c r="D65" s="18" t="s">
        <v>36</v>
      </c>
      <c r="E65" s="17" t="s">
        <v>1681</v>
      </c>
      <c r="F65" s="18" t="s">
        <v>60</v>
      </c>
      <c r="G65" s="17" t="s">
        <v>1681</v>
      </c>
      <c r="H65" s="18" t="s">
        <v>29</v>
      </c>
      <c r="I65" s="17" t="s">
        <v>1681</v>
      </c>
      <c r="J65" s="18" t="s">
        <v>17</v>
      </c>
      <c r="K65" s="17" t="s">
        <v>1681</v>
      </c>
      <c r="L65" s="18" t="s">
        <v>1982</v>
      </c>
      <c r="M65" s="17" t="s">
        <v>1681</v>
      </c>
      <c r="N65" s="18" t="s">
        <v>1985</v>
      </c>
      <c r="O65" s="17" t="s">
        <v>1681</v>
      </c>
      <c r="P65" s="18" t="s">
        <v>17</v>
      </c>
      <c r="Q65" s="17" t="s">
        <v>1681</v>
      </c>
      <c r="R65" s="17" t="s">
        <v>1986</v>
      </c>
      <c r="S65" s="17" t="s">
        <v>1681</v>
      </c>
      <c r="T65" s="17" t="s">
        <v>1984</v>
      </c>
      <c r="U65" s="17" t="s">
        <v>1681</v>
      </c>
      <c r="V65" s="17" t="s">
        <v>17</v>
      </c>
      <c r="W65" s="17"/>
    </row>
    <row r="66" spans="1:23" ht="409.6">
      <c r="A66" s="156"/>
      <c r="B66" s="156"/>
      <c r="C66" s="17" t="s">
        <v>1685</v>
      </c>
      <c r="D66" s="18" t="s">
        <v>36</v>
      </c>
      <c r="E66" s="17" t="s">
        <v>1685</v>
      </c>
      <c r="F66" s="18" t="s">
        <v>60</v>
      </c>
      <c r="G66" s="17" t="s">
        <v>1685</v>
      </c>
      <c r="H66" s="18" t="s">
        <v>17</v>
      </c>
      <c r="I66" s="17" t="s">
        <v>1685</v>
      </c>
      <c r="J66" s="18" t="s">
        <v>17</v>
      </c>
      <c r="K66" s="17" t="s">
        <v>1685</v>
      </c>
      <c r="L66" s="18" t="s">
        <v>1964</v>
      </c>
      <c r="M66" s="17" t="s">
        <v>1685</v>
      </c>
      <c r="N66" s="18" t="s">
        <v>17</v>
      </c>
      <c r="O66" s="17" t="s">
        <v>1685</v>
      </c>
      <c r="P66" s="18" t="s">
        <v>17</v>
      </c>
      <c r="Q66" s="17" t="s">
        <v>1685</v>
      </c>
      <c r="R66" s="17" t="s">
        <v>1987</v>
      </c>
      <c r="S66" s="17" t="s">
        <v>1685</v>
      </c>
      <c r="T66" s="17" t="s">
        <v>17</v>
      </c>
      <c r="U66" s="17" t="s">
        <v>1685</v>
      </c>
      <c r="V66" s="17" t="s">
        <v>17</v>
      </c>
      <c r="W66" s="17"/>
    </row>
    <row r="67" spans="1:23" ht="330">
      <c r="A67" s="156"/>
      <c r="B67" s="156"/>
      <c r="C67" s="17" t="s">
        <v>1688</v>
      </c>
      <c r="D67" s="18" t="s">
        <v>52</v>
      </c>
      <c r="E67" s="17" t="s">
        <v>1688</v>
      </c>
      <c r="F67" s="18" t="s">
        <v>60</v>
      </c>
      <c r="G67" s="17" t="s">
        <v>1688</v>
      </c>
      <c r="H67" s="18" t="s">
        <v>1988</v>
      </c>
      <c r="I67" s="17" t="s">
        <v>1688</v>
      </c>
      <c r="J67" s="18" t="s">
        <v>1989</v>
      </c>
      <c r="K67" s="17" t="s">
        <v>1688</v>
      </c>
      <c r="L67" s="18" t="s">
        <v>1990</v>
      </c>
      <c r="M67" s="17" t="s">
        <v>1688</v>
      </c>
      <c r="N67" s="18" t="s">
        <v>1989</v>
      </c>
      <c r="O67" s="17" t="s">
        <v>1688</v>
      </c>
      <c r="P67" s="18" t="s">
        <v>1991</v>
      </c>
      <c r="Q67" s="17" t="s">
        <v>1688</v>
      </c>
      <c r="R67" s="17" t="s">
        <v>1992</v>
      </c>
      <c r="S67" s="17" t="s">
        <v>1688</v>
      </c>
      <c r="T67" s="17" t="s">
        <v>17</v>
      </c>
      <c r="U67" s="17" t="s">
        <v>1688</v>
      </c>
      <c r="V67" s="17" t="s">
        <v>17</v>
      </c>
      <c r="W67" s="17"/>
    </row>
    <row r="68" spans="1:23" ht="409.6">
      <c r="A68" s="156" t="s">
        <v>156</v>
      </c>
      <c r="B68" s="156"/>
      <c r="C68" s="17" t="s">
        <v>1675</v>
      </c>
      <c r="D68" s="18" t="s">
        <v>17</v>
      </c>
      <c r="E68" s="17" t="s">
        <v>1675</v>
      </c>
      <c r="F68" s="18" t="s">
        <v>17</v>
      </c>
      <c r="G68" s="17" t="s">
        <v>1675</v>
      </c>
      <c r="H68" s="18" t="s">
        <v>29</v>
      </c>
      <c r="I68" s="17" t="s">
        <v>1675</v>
      </c>
      <c r="J68" s="18" t="s">
        <v>17</v>
      </c>
      <c r="K68" s="17" t="s">
        <v>1675</v>
      </c>
      <c r="L68" s="18" t="s">
        <v>1989</v>
      </c>
      <c r="M68" s="17" t="s">
        <v>1675</v>
      </c>
      <c r="N68" s="18" t="s">
        <v>1989</v>
      </c>
      <c r="O68" s="17" t="s">
        <v>1675</v>
      </c>
      <c r="P68" s="18" t="s">
        <v>17</v>
      </c>
      <c r="Q68" s="17" t="s">
        <v>1675</v>
      </c>
      <c r="R68" s="17" t="s">
        <v>1993</v>
      </c>
      <c r="S68" s="17" t="s">
        <v>1675</v>
      </c>
      <c r="T68" s="17" t="s">
        <v>17</v>
      </c>
      <c r="U68" s="17" t="s">
        <v>1675</v>
      </c>
      <c r="V68" s="17" t="s">
        <v>17</v>
      </c>
      <c r="W68" s="17"/>
    </row>
    <row r="69" spans="1:23" ht="409.6">
      <c r="A69" s="156"/>
      <c r="B69" s="156"/>
      <c r="C69" s="17" t="s">
        <v>1681</v>
      </c>
      <c r="D69" s="18" t="s">
        <v>17</v>
      </c>
      <c r="E69" s="17" t="s">
        <v>1681</v>
      </c>
      <c r="F69" s="18" t="s">
        <v>17</v>
      </c>
      <c r="G69" s="17" t="s">
        <v>1681</v>
      </c>
      <c r="H69" s="18" t="s">
        <v>29</v>
      </c>
      <c r="I69" s="17" t="s">
        <v>1681</v>
      </c>
      <c r="J69" s="18" t="s">
        <v>17</v>
      </c>
      <c r="K69" s="17" t="s">
        <v>1681</v>
      </c>
      <c r="L69" s="18" t="s">
        <v>1989</v>
      </c>
      <c r="M69" s="17" t="s">
        <v>1681</v>
      </c>
      <c r="N69" s="18" t="s">
        <v>1989</v>
      </c>
      <c r="O69" s="17" t="s">
        <v>1681</v>
      </c>
      <c r="P69" s="18" t="s">
        <v>17</v>
      </c>
      <c r="Q69" s="17" t="s">
        <v>1681</v>
      </c>
      <c r="R69" s="17" t="s">
        <v>1994</v>
      </c>
      <c r="S69" s="17" t="s">
        <v>1681</v>
      </c>
      <c r="T69" s="17" t="s">
        <v>17</v>
      </c>
      <c r="U69" s="17" t="s">
        <v>1681</v>
      </c>
      <c r="V69" s="17" t="s">
        <v>17</v>
      </c>
      <c r="W69" s="17"/>
    </row>
    <row r="70" spans="1:23" ht="409.6">
      <c r="A70" s="156"/>
      <c r="B70" s="156"/>
      <c r="C70" s="17" t="s">
        <v>1685</v>
      </c>
      <c r="D70" s="18" t="s">
        <v>17</v>
      </c>
      <c r="E70" s="17" t="s">
        <v>1685</v>
      </c>
      <c r="F70" s="18" t="s">
        <v>17</v>
      </c>
      <c r="G70" s="17" t="s">
        <v>1685</v>
      </c>
      <c r="H70" s="18" t="s">
        <v>88</v>
      </c>
      <c r="I70" s="17" t="s">
        <v>1685</v>
      </c>
      <c r="J70" s="18" t="s">
        <v>17</v>
      </c>
      <c r="K70" s="17" t="s">
        <v>1685</v>
      </c>
      <c r="L70" s="18" t="s">
        <v>1989</v>
      </c>
      <c r="M70" s="17" t="s">
        <v>1685</v>
      </c>
      <c r="N70" s="18" t="s">
        <v>1989</v>
      </c>
      <c r="O70" s="17" t="s">
        <v>1685</v>
      </c>
      <c r="P70" s="18" t="s">
        <v>17</v>
      </c>
      <c r="Q70" s="17" t="s">
        <v>1685</v>
      </c>
      <c r="R70" s="17" t="s">
        <v>1995</v>
      </c>
      <c r="S70" s="17" t="s">
        <v>1685</v>
      </c>
      <c r="T70" s="17" t="s">
        <v>17</v>
      </c>
      <c r="U70" s="17" t="s">
        <v>1685</v>
      </c>
      <c r="V70" s="17" t="s">
        <v>17</v>
      </c>
      <c r="W70" s="17"/>
    </row>
    <row r="71" spans="1:23" ht="409.6">
      <c r="A71" s="156"/>
      <c r="B71" s="156"/>
      <c r="C71" s="17" t="s">
        <v>1688</v>
      </c>
      <c r="D71" s="18" t="s">
        <v>17</v>
      </c>
      <c r="E71" s="17" t="s">
        <v>1688</v>
      </c>
      <c r="F71" s="18" t="s">
        <v>17</v>
      </c>
      <c r="G71" s="17" t="s">
        <v>1688</v>
      </c>
      <c r="H71" s="18" t="s">
        <v>1996</v>
      </c>
      <c r="I71" s="17" t="s">
        <v>1688</v>
      </c>
      <c r="J71" s="18" t="s">
        <v>17</v>
      </c>
      <c r="K71" s="17" t="s">
        <v>1688</v>
      </c>
      <c r="L71" s="18" t="s">
        <v>1989</v>
      </c>
      <c r="M71" s="17" t="s">
        <v>1688</v>
      </c>
      <c r="N71" s="18" t="s">
        <v>1989</v>
      </c>
      <c r="O71" s="17" t="s">
        <v>1688</v>
      </c>
      <c r="P71" s="18" t="s">
        <v>17</v>
      </c>
      <c r="Q71" s="17" t="s">
        <v>1688</v>
      </c>
      <c r="R71" s="17" t="s">
        <v>1997</v>
      </c>
      <c r="S71" s="17" t="s">
        <v>1688</v>
      </c>
      <c r="T71" s="17" t="s">
        <v>17</v>
      </c>
      <c r="U71" s="17" t="s">
        <v>1688</v>
      </c>
      <c r="V71" s="17" t="s">
        <v>17</v>
      </c>
      <c r="W71" s="17"/>
    </row>
    <row r="72" spans="1:23" ht="409.6">
      <c r="A72" s="156" t="s">
        <v>245</v>
      </c>
      <c r="B72" s="156" t="s">
        <v>35</v>
      </c>
      <c r="C72" s="17" t="s">
        <v>1675</v>
      </c>
      <c r="D72" s="18" t="s">
        <v>1998</v>
      </c>
      <c r="E72" s="17" t="s">
        <v>1675</v>
      </c>
      <c r="F72" s="18" t="s">
        <v>60</v>
      </c>
      <c r="G72" s="17" t="s">
        <v>1675</v>
      </c>
      <c r="H72" s="18" t="s">
        <v>29</v>
      </c>
      <c r="I72" s="17" t="s">
        <v>1675</v>
      </c>
      <c r="J72" s="18" t="s">
        <v>1999</v>
      </c>
      <c r="K72" s="17" t="s">
        <v>1675</v>
      </c>
      <c r="L72" s="21">
        <v>44357</v>
      </c>
      <c r="M72" s="17" t="s">
        <v>1675</v>
      </c>
      <c r="N72" s="18" t="s">
        <v>2000</v>
      </c>
      <c r="O72" s="17" t="s">
        <v>1675</v>
      </c>
      <c r="P72" s="18" t="s">
        <v>17</v>
      </c>
      <c r="Q72" s="17" t="s">
        <v>1675</v>
      </c>
      <c r="R72" s="17" t="s">
        <v>2001</v>
      </c>
      <c r="S72" s="17" t="s">
        <v>1675</v>
      </c>
      <c r="T72" s="17" t="s">
        <v>17</v>
      </c>
      <c r="U72" s="17" t="s">
        <v>1675</v>
      </c>
      <c r="V72" s="17" t="s">
        <v>17</v>
      </c>
      <c r="W72" s="17"/>
    </row>
    <row r="73" spans="1:23" ht="409.6">
      <c r="A73" s="156"/>
      <c r="B73" s="156"/>
      <c r="C73" s="17" t="s">
        <v>1681</v>
      </c>
      <c r="D73" s="18" t="s">
        <v>1998</v>
      </c>
      <c r="E73" s="17" t="s">
        <v>1681</v>
      </c>
      <c r="F73" s="18" t="s">
        <v>2002</v>
      </c>
      <c r="G73" s="17" t="s">
        <v>1681</v>
      </c>
      <c r="H73" s="18" t="s">
        <v>29</v>
      </c>
      <c r="I73" s="17" t="s">
        <v>1681</v>
      </c>
      <c r="J73" s="18" t="s">
        <v>2003</v>
      </c>
      <c r="K73" s="17" t="s">
        <v>1681</v>
      </c>
      <c r="L73" s="18" t="s">
        <v>2004</v>
      </c>
      <c r="M73" s="17" t="s">
        <v>1681</v>
      </c>
      <c r="N73" s="18" t="s">
        <v>2005</v>
      </c>
      <c r="O73" s="17" t="s">
        <v>1681</v>
      </c>
      <c r="P73" s="18" t="s">
        <v>17</v>
      </c>
      <c r="Q73" s="17" t="s">
        <v>1681</v>
      </c>
      <c r="R73" s="17" t="s">
        <v>2006</v>
      </c>
      <c r="S73" s="17" t="s">
        <v>1681</v>
      </c>
      <c r="T73" s="17" t="s">
        <v>17</v>
      </c>
      <c r="U73" s="17" t="s">
        <v>1681</v>
      </c>
      <c r="V73" s="17" t="s">
        <v>17</v>
      </c>
      <c r="W73" s="17"/>
    </row>
    <row r="74" spans="1:23" ht="409.6">
      <c r="A74" s="156"/>
      <c r="B74" s="156"/>
      <c r="C74" s="17" t="s">
        <v>1685</v>
      </c>
      <c r="D74" s="18" t="s">
        <v>1998</v>
      </c>
      <c r="E74" s="17" t="s">
        <v>1685</v>
      </c>
      <c r="F74" s="18" t="s">
        <v>2002</v>
      </c>
      <c r="G74" s="17" t="s">
        <v>1685</v>
      </c>
      <c r="H74" s="18" t="s">
        <v>88</v>
      </c>
      <c r="I74" s="17" t="s">
        <v>1685</v>
      </c>
      <c r="J74" s="18" t="s">
        <v>2007</v>
      </c>
      <c r="K74" s="17" t="s">
        <v>1685</v>
      </c>
      <c r="L74" s="18" t="s">
        <v>2008</v>
      </c>
      <c r="M74" s="17" t="s">
        <v>1685</v>
      </c>
      <c r="N74" s="18" t="s">
        <v>368</v>
      </c>
      <c r="O74" s="17" t="s">
        <v>1685</v>
      </c>
      <c r="P74" s="18" t="s">
        <v>17</v>
      </c>
      <c r="Q74" s="17" t="s">
        <v>1685</v>
      </c>
      <c r="R74" s="17" t="s">
        <v>2009</v>
      </c>
      <c r="S74" s="17" t="s">
        <v>1685</v>
      </c>
      <c r="T74" s="17" t="s">
        <v>17</v>
      </c>
      <c r="U74" s="17" t="s">
        <v>1685</v>
      </c>
      <c r="V74" s="17" t="s">
        <v>17</v>
      </c>
      <c r="W74" s="17"/>
    </row>
    <row r="75" spans="1:23" ht="409.6">
      <c r="A75" s="156"/>
      <c r="B75" s="156"/>
      <c r="C75" s="17" t="s">
        <v>1688</v>
      </c>
      <c r="D75" s="18" t="s">
        <v>1998</v>
      </c>
      <c r="E75" s="17" t="s">
        <v>1688</v>
      </c>
      <c r="F75" s="18" t="s">
        <v>2002</v>
      </c>
      <c r="G75" s="17" t="s">
        <v>1688</v>
      </c>
      <c r="H75" s="18" t="s">
        <v>88</v>
      </c>
      <c r="I75" s="17" t="s">
        <v>1688</v>
      </c>
      <c r="J75" s="18" t="s">
        <v>2010</v>
      </c>
      <c r="K75" s="17" t="s">
        <v>1688</v>
      </c>
      <c r="L75" s="18" t="s">
        <v>2011</v>
      </c>
      <c r="M75" s="17" t="s">
        <v>1688</v>
      </c>
      <c r="N75" s="18" t="s">
        <v>1967</v>
      </c>
      <c r="O75" s="17" t="s">
        <v>1688</v>
      </c>
      <c r="P75" s="18" t="s">
        <v>17</v>
      </c>
      <c r="Q75" s="17" t="s">
        <v>1688</v>
      </c>
      <c r="R75" s="17" t="s">
        <v>2012</v>
      </c>
      <c r="S75" s="17" t="s">
        <v>1688</v>
      </c>
      <c r="T75" s="17" t="s">
        <v>17</v>
      </c>
      <c r="U75" s="17" t="s">
        <v>1688</v>
      </c>
      <c r="V75" s="17" t="s">
        <v>17</v>
      </c>
      <c r="W75" s="17"/>
    </row>
    <row r="76" spans="1:23" ht="409.6">
      <c r="A76" s="156" t="s">
        <v>13</v>
      </c>
      <c r="B76" s="156" t="s">
        <v>116</v>
      </c>
      <c r="C76" s="17" t="s">
        <v>1675</v>
      </c>
      <c r="D76" s="18" t="s">
        <v>2013</v>
      </c>
      <c r="E76" s="17" t="s">
        <v>1675</v>
      </c>
      <c r="F76" s="18" t="s">
        <v>2014</v>
      </c>
      <c r="G76" s="17" t="s">
        <v>1675</v>
      </c>
      <c r="H76" s="18" t="s">
        <v>29</v>
      </c>
      <c r="I76" s="17" t="s">
        <v>1675</v>
      </c>
      <c r="J76" s="18" t="s">
        <v>2015</v>
      </c>
      <c r="K76" s="17" t="s">
        <v>1675</v>
      </c>
      <c r="L76" s="18" t="s">
        <v>2016</v>
      </c>
      <c r="M76" s="17" t="s">
        <v>1675</v>
      </c>
      <c r="N76" s="32" t="s">
        <v>2017</v>
      </c>
      <c r="O76" s="17" t="s">
        <v>1675</v>
      </c>
      <c r="P76" s="18" t="s">
        <v>17</v>
      </c>
      <c r="Q76" s="17" t="s">
        <v>1675</v>
      </c>
      <c r="R76" s="17" t="s">
        <v>2018</v>
      </c>
      <c r="S76" s="17" t="s">
        <v>1675</v>
      </c>
      <c r="T76" s="17" t="s">
        <v>2019</v>
      </c>
      <c r="U76" s="17" t="s">
        <v>1675</v>
      </c>
      <c r="V76" s="17" t="s">
        <v>17</v>
      </c>
      <c r="W76" s="17"/>
    </row>
    <row r="77" spans="1:23" ht="409.6">
      <c r="A77" s="156"/>
      <c r="B77" s="156"/>
      <c r="C77" s="17" t="s">
        <v>1681</v>
      </c>
      <c r="D77" s="18" t="s">
        <v>2013</v>
      </c>
      <c r="E77" s="17" t="s">
        <v>1681</v>
      </c>
      <c r="F77" s="18" t="s">
        <v>2014</v>
      </c>
      <c r="G77" s="17" t="s">
        <v>1681</v>
      </c>
      <c r="H77" s="18" t="s">
        <v>29</v>
      </c>
      <c r="I77" s="17" t="s">
        <v>1681</v>
      </c>
      <c r="J77" s="18" t="s">
        <v>2015</v>
      </c>
      <c r="K77" s="17" t="s">
        <v>1681</v>
      </c>
      <c r="L77" s="18" t="s">
        <v>2020</v>
      </c>
      <c r="M77" s="17" t="s">
        <v>1681</v>
      </c>
      <c r="N77" s="18" t="s">
        <v>1960</v>
      </c>
      <c r="O77" s="17" t="s">
        <v>1681</v>
      </c>
      <c r="P77" s="18" t="s">
        <v>17</v>
      </c>
      <c r="Q77" s="17" t="s">
        <v>1681</v>
      </c>
      <c r="R77" s="17" t="s">
        <v>4083</v>
      </c>
      <c r="S77" s="17" t="s">
        <v>1681</v>
      </c>
      <c r="T77" s="17" t="s">
        <v>2021</v>
      </c>
      <c r="U77" s="17" t="s">
        <v>1681</v>
      </c>
      <c r="V77" s="17" t="s">
        <v>17</v>
      </c>
      <c r="W77" s="17"/>
    </row>
    <row r="78" spans="1:23" ht="409.6">
      <c r="A78" s="156"/>
      <c r="B78" s="156"/>
      <c r="C78" s="17" t="s">
        <v>1685</v>
      </c>
      <c r="D78" s="18" t="s">
        <v>2013</v>
      </c>
      <c r="E78" s="17" t="s">
        <v>1685</v>
      </c>
      <c r="F78" s="18" t="s">
        <v>2014</v>
      </c>
      <c r="G78" s="17" t="s">
        <v>1685</v>
      </c>
      <c r="H78" s="18" t="s">
        <v>88</v>
      </c>
      <c r="I78" s="17" t="s">
        <v>1685</v>
      </c>
      <c r="J78" s="18" t="s">
        <v>17</v>
      </c>
      <c r="K78" s="17" t="s">
        <v>1685</v>
      </c>
      <c r="L78" s="21">
        <v>44382</v>
      </c>
      <c r="M78" s="17" t="s">
        <v>1685</v>
      </c>
      <c r="N78" s="18" t="s">
        <v>17</v>
      </c>
      <c r="O78" s="17" t="s">
        <v>1685</v>
      </c>
      <c r="P78" s="18" t="s">
        <v>17</v>
      </c>
      <c r="Q78" s="17" t="s">
        <v>1685</v>
      </c>
      <c r="R78" s="17" t="s">
        <v>2022</v>
      </c>
      <c r="S78" s="17" t="s">
        <v>1685</v>
      </c>
      <c r="T78" s="17" t="s">
        <v>17</v>
      </c>
      <c r="U78" s="17" t="s">
        <v>1685</v>
      </c>
      <c r="V78" s="17" t="s">
        <v>17</v>
      </c>
      <c r="W78" s="17"/>
    </row>
    <row r="79" spans="1:23" ht="409.6">
      <c r="A79" s="156"/>
      <c r="B79" s="156"/>
      <c r="C79" s="17" t="s">
        <v>1688</v>
      </c>
      <c r="D79" s="18" t="s">
        <v>2013</v>
      </c>
      <c r="E79" s="17" t="s">
        <v>1688</v>
      </c>
      <c r="F79" s="18" t="s">
        <v>2023</v>
      </c>
      <c r="G79" s="17" t="s">
        <v>1688</v>
      </c>
      <c r="H79" s="18" t="s">
        <v>17</v>
      </c>
      <c r="I79" s="17" t="s">
        <v>1688</v>
      </c>
      <c r="J79" s="18" t="s">
        <v>17</v>
      </c>
      <c r="K79" s="17" t="s">
        <v>1688</v>
      </c>
      <c r="L79" s="21" t="s">
        <v>2024</v>
      </c>
      <c r="M79" s="17" t="s">
        <v>1688</v>
      </c>
      <c r="N79" s="18" t="s">
        <v>426</v>
      </c>
      <c r="O79" s="17" t="s">
        <v>1688</v>
      </c>
      <c r="P79" s="18" t="s">
        <v>17</v>
      </c>
      <c r="Q79" s="17" t="s">
        <v>1688</v>
      </c>
      <c r="R79" s="17" t="s">
        <v>2025</v>
      </c>
      <c r="S79" s="17" t="s">
        <v>1688</v>
      </c>
      <c r="T79" s="17" t="s">
        <v>17</v>
      </c>
      <c r="U79" s="17" t="s">
        <v>1688</v>
      </c>
      <c r="V79" s="17" t="s">
        <v>17</v>
      </c>
      <c r="W79" s="17"/>
    </row>
    <row r="80" spans="1:23" ht="409.6">
      <c r="A80" s="156" t="s">
        <v>245</v>
      </c>
      <c r="B80" s="156" t="s">
        <v>116</v>
      </c>
      <c r="C80" s="17" t="s">
        <v>1675</v>
      </c>
      <c r="D80" s="18" t="s">
        <v>2026</v>
      </c>
      <c r="E80" s="17" t="s">
        <v>1675</v>
      </c>
      <c r="F80" s="18" t="s">
        <v>60</v>
      </c>
      <c r="G80" s="17" t="s">
        <v>1675</v>
      </c>
      <c r="H80" s="18" t="s">
        <v>29</v>
      </c>
      <c r="I80" s="17" t="s">
        <v>1675</v>
      </c>
      <c r="J80" s="18" t="s">
        <v>2027</v>
      </c>
      <c r="K80" s="17" t="s">
        <v>1675</v>
      </c>
      <c r="L80" s="18" t="s">
        <v>2028</v>
      </c>
      <c r="M80" s="17" t="s">
        <v>1675</v>
      </c>
      <c r="N80" s="18" t="s">
        <v>2029</v>
      </c>
      <c r="O80" s="17" t="s">
        <v>1675</v>
      </c>
      <c r="P80" s="18" t="s">
        <v>17</v>
      </c>
      <c r="Q80" s="17" t="s">
        <v>1675</v>
      </c>
      <c r="R80" s="17" t="s">
        <v>2030</v>
      </c>
      <c r="S80" s="17" t="s">
        <v>1675</v>
      </c>
      <c r="T80" s="17" t="s">
        <v>17</v>
      </c>
      <c r="U80" s="17" t="s">
        <v>1675</v>
      </c>
      <c r="V80" s="17" t="s">
        <v>17</v>
      </c>
      <c r="W80" s="17"/>
    </row>
    <row r="81" spans="1:23" ht="409.6">
      <c r="A81" s="156"/>
      <c r="B81" s="156"/>
      <c r="C81" s="17" t="s">
        <v>1681</v>
      </c>
      <c r="D81" s="18" t="s">
        <v>271</v>
      </c>
      <c r="E81" s="17" t="s">
        <v>1681</v>
      </c>
      <c r="F81" s="18" t="s">
        <v>60</v>
      </c>
      <c r="G81" s="17" t="s">
        <v>1681</v>
      </c>
      <c r="H81" s="18" t="s">
        <v>29</v>
      </c>
      <c r="I81" s="17" t="s">
        <v>1681</v>
      </c>
      <c r="J81" s="18" t="s">
        <v>2003</v>
      </c>
      <c r="K81" s="17" t="s">
        <v>1681</v>
      </c>
      <c r="L81" s="18" t="s">
        <v>2031</v>
      </c>
      <c r="M81" s="17" t="s">
        <v>1681</v>
      </c>
      <c r="N81" s="18" t="s">
        <v>2032</v>
      </c>
      <c r="O81" s="17" t="s">
        <v>1681</v>
      </c>
      <c r="P81" s="18" t="s">
        <v>323</v>
      </c>
      <c r="Q81" s="17" t="s">
        <v>1681</v>
      </c>
      <c r="R81" s="17" t="s">
        <v>2033</v>
      </c>
      <c r="S81" s="17" t="s">
        <v>1681</v>
      </c>
      <c r="T81" s="17" t="s">
        <v>17</v>
      </c>
      <c r="U81" s="17" t="s">
        <v>1681</v>
      </c>
      <c r="V81" s="17" t="s">
        <v>17</v>
      </c>
      <c r="W81" s="17"/>
    </row>
    <row r="82" spans="1:23" ht="409.6">
      <c r="A82" s="156"/>
      <c r="B82" s="156"/>
      <c r="C82" s="17" t="s">
        <v>1685</v>
      </c>
      <c r="D82" s="18" t="s">
        <v>271</v>
      </c>
      <c r="E82" s="17" t="s">
        <v>1685</v>
      </c>
      <c r="F82" s="18" t="s">
        <v>2034</v>
      </c>
      <c r="G82" s="17" t="s">
        <v>1685</v>
      </c>
      <c r="H82" s="18" t="s">
        <v>17</v>
      </c>
      <c r="I82" s="17" t="s">
        <v>1685</v>
      </c>
      <c r="J82" s="18" t="s">
        <v>2035</v>
      </c>
      <c r="K82" s="17" t="s">
        <v>1685</v>
      </c>
      <c r="L82" s="18" t="s">
        <v>2036</v>
      </c>
      <c r="M82" s="17" t="s">
        <v>1685</v>
      </c>
      <c r="N82" s="18" t="s">
        <v>17</v>
      </c>
      <c r="O82" s="17" t="s">
        <v>1685</v>
      </c>
      <c r="P82" s="18" t="s">
        <v>17</v>
      </c>
      <c r="Q82" s="17" t="s">
        <v>1685</v>
      </c>
      <c r="R82" s="17" t="s">
        <v>2037</v>
      </c>
      <c r="S82" s="17" t="s">
        <v>1685</v>
      </c>
      <c r="T82" s="17" t="s">
        <v>17</v>
      </c>
      <c r="U82" s="17" t="s">
        <v>1685</v>
      </c>
      <c r="V82" s="17" t="s">
        <v>17</v>
      </c>
      <c r="W82" s="17"/>
    </row>
    <row r="83" spans="1:23" ht="409.6">
      <c r="A83" s="156"/>
      <c r="B83" s="156"/>
      <c r="C83" s="17" t="s">
        <v>1688</v>
      </c>
      <c r="D83" s="18" t="s">
        <v>271</v>
      </c>
      <c r="E83" s="17" t="s">
        <v>1688</v>
      </c>
      <c r="F83" s="18" t="s">
        <v>2038</v>
      </c>
      <c r="G83" s="17" t="s">
        <v>1688</v>
      </c>
      <c r="H83" s="18" t="s">
        <v>17</v>
      </c>
      <c r="I83" s="17" t="s">
        <v>1688</v>
      </c>
      <c r="J83" s="18" t="s">
        <v>2035</v>
      </c>
      <c r="K83" s="17" t="s">
        <v>1688</v>
      </c>
      <c r="L83" s="18" t="s">
        <v>2031</v>
      </c>
      <c r="M83" s="17" t="s">
        <v>1688</v>
      </c>
      <c r="N83" s="18" t="s">
        <v>866</v>
      </c>
      <c r="O83" s="17" t="s">
        <v>1688</v>
      </c>
      <c r="P83" s="18" t="s">
        <v>17</v>
      </c>
      <c r="Q83" s="17" t="s">
        <v>1688</v>
      </c>
      <c r="R83" s="17" t="s">
        <v>2039</v>
      </c>
      <c r="S83" s="17" t="s">
        <v>1688</v>
      </c>
      <c r="T83" s="17" t="s">
        <v>2040</v>
      </c>
      <c r="U83" s="17" t="s">
        <v>1688</v>
      </c>
      <c r="V83" s="17" t="s">
        <v>17</v>
      </c>
      <c r="W83" s="17"/>
    </row>
    <row r="84" spans="1:23" ht="345">
      <c r="A84" s="156" t="s">
        <v>156</v>
      </c>
      <c r="B84" s="156" t="s">
        <v>172</v>
      </c>
      <c r="C84" s="17" t="s">
        <v>1675</v>
      </c>
      <c r="D84" s="18" t="s">
        <v>2041</v>
      </c>
      <c r="E84" s="17" t="s">
        <v>1675</v>
      </c>
      <c r="F84" s="18" t="s">
        <v>60</v>
      </c>
      <c r="G84" s="17" t="s">
        <v>1675</v>
      </c>
      <c r="H84" s="18" t="s">
        <v>29</v>
      </c>
      <c r="I84" s="17" t="s">
        <v>1675</v>
      </c>
      <c r="J84" s="18" t="s">
        <v>2042</v>
      </c>
      <c r="K84" s="17" t="s">
        <v>1675</v>
      </c>
      <c r="L84" s="18" t="s">
        <v>2043</v>
      </c>
      <c r="M84" s="17" t="s">
        <v>1675</v>
      </c>
      <c r="N84" s="18" t="s">
        <v>2044</v>
      </c>
      <c r="O84" s="17" t="s">
        <v>1675</v>
      </c>
      <c r="P84" s="18" t="s">
        <v>2045</v>
      </c>
      <c r="Q84" s="17" t="s">
        <v>1675</v>
      </c>
      <c r="R84" s="17" t="s">
        <v>2046</v>
      </c>
      <c r="S84" s="17" t="s">
        <v>1675</v>
      </c>
      <c r="T84" s="17" t="s">
        <v>17</v>
      </c>
      <c r="U84" s="17" t="s">
        <v>1675</v>
      </c>
      <c r="V84" s="17" t="s">
        <v>17</v>
      </c>
      <c r="W84" s="17"/>
    </row>
    <row r="85" spans="1:23" ht="345">
      <c r="A85" s="156"/>
      <c r="B85" s="156"/>
      <c r="C85" s="17" t="s">
        <v>1681</v>
      </c>
      <c r="D85" s="18" t="s">
        <v>2041</v>
      </c>
      <c r="E85" s="17" t="s">
        <v>1681</v>
      </c>
      <c r="F85" s="18" t="s">
        <v>60</v>
      </c>
      <c r="G85" s="17" t="s">
        <v>1681</v>
      </c>
      <c r="H85" s="18" t="s">
        <v>29</v>
      </c>
      <c r="I85" s="17" t="s">
        <v>1681</v>
      </c>
      <c r="J85" s="18" t="s">
        <v>2042</v>
      </c>
      <c r="K85" s="17" t="s">
        <v>1681</v>
      </c>
      <c r="L85" s="18" t="s">
        <v>2047</v>
      </c>
      <c r="M85" s="17" t="s">
        <v>1681</v>
      </c>
      <c r="N85" s="18" t="s">
        <v>1960</v>
      </c>
      <c r="O85" s="17" t="s">
        <v>1681</v>
      </c>
      <c r="P85" s="18" t="s">
        <v>2045</v>
      </c>
      <c r="Q85" s="17" t="s">
        <v>1681</v>
      </c>
      <c r="R85" s="17" t="s">
        <v>2046</v>
      </c>
      <c r="S85" s="17" t="s">
        <v>1681</v>
      </c>
      <c r="T85" s="17" t="s">
        <v>2048</v>
      </c>
      <c r="U85" s="17" t="s">
        <v>1681</v>
      </c>
      <c r="V85" s="17" t="s">
        <v>17</v>
      </c>
      <c r="W85" s="17"/>
    </row>
    <row r="86" spans="1:23" ht="60">
      <c r="A86" s="156"/>
      <c r="B86" s="156"/>
      <c r="C86" s="17" t="s">
        <v>1685</v>
      </c>
      <c r="D86" s="18" t="s">
        <v>2041</v>
      </c>
      <c r="E86" s="17" t="s">
        <v>1685</v>
      </c>
      <c r="F86" s="18" t="s">
        <v>60</v>
      </c>
      <c r="G86" s="17" t="s">
        <v>1685</v>
      </c>
      <c r="H86" s="18" t="s">
        <v>88</v>
      </c>
      <c r="I86" s="17" t="s">
        <v>1685</v>
      </c>
      <c r="J86" s="18" t="s">
        <v>17</v>
      </c>
      <c r="K86" s="17" t="s">
        <v>1685</v>
      </c>
      <c r="L86" s="18" t="s">
        <v>2049</v>
      </c>
      <c r="M86" s="17" t="s">
        <v>1685</v>
      </c>
      <c r="N86" s="18" t="s">
        <v>426</v>
      </c>
      <c r="O86" s="17" t="s">
        <v>1685</v>
      </c>
      <c r="P86" s="18" t="s">
        <v>17</v>
      </c>
      <c r="Q86" s="17" t="s">
        <v>1685</v>
      </c>
      <c r="R86" s="17" t="s">
        <v>17</v>
      </c>
      <c r="S86" s="17" t="s">
        <v>1685</v>
      </c>
      <c r="T86" s="17" t="s">
        <v>17</v>
      </c>
      <c r="U86" s="17" t="s">
        <v>1685</v>
      </c>
      <c r="V86" s="17" t="s">
        <v>17</v>
      </c>
      <c r="W86" s="17"/>
    </row>
    <row r="87" spans="1:23" ht="409.6">
      <c r="A87" s="156"/>
      <c r="B87" s="156"/>
      <c r="C87" s="17" t="s">
        <v>1688</v>
      </c>
      <c r="D87" s="18" t="s">
        <v>17</v>
      </c>
      <c r="E87" s="17" t="s">
        <v>1688</v>
      </c>
      <c r="F87" s="18" t="s">
        <v>16</v>
      </c>
      <c r="G87" s="17" t="s">
        <v>1688</v>
      </c>
      <c r="H87" s="18" t="s">
        <v>88</v>
      </c>
      <c r="I87" s="17" t="s">
        <v>1688</v>
      </c>
      <c r="J87" s="18" t="s">
        <v>17</v>
      </c>
      <c r="K87" s="17" t="s">
        <v>1688</v>
      </c>
      <c r="L87" s="18" t="s">
        <v>1929</v>
      </c>
      <c r="M87" s="17" t="s">
        <v>1688</v>
      </c>
      <c r="N87" s="18" t="s">
        <v>2050</v>
      </c>
      <c r="O87" s="17" t="s">
        <v>1688</v>
      </c>
      <c r="P87" s="18" t="s">
        <v>174</v>
      </c>
      <c r="Q87" s="17" t="s">
        <v>1688</v>
      </c>
      <c r="R87" s="17" t="s">
        <v>2051</v>
      </c>
      <c r="S87" s="17" t="s">
        <v>1688</v>
      </c>
      <c r="T87" s="17" t="s">
        <v>17</v>
      </c>
      <c r="U87" s="17" t="s">
        <v>1688</v>
      </c>
      <c r="V87" s="17" t="s">
        <v>17</v>
      </c>
      <c r="W87" s="17"/>
    </row>
    <row r="88" spans="1:23" ht="409.6">
      <c r="A88" s="156" t="s">
        <v>318</v>
      </c>
      <c r="B88" s="156" t="s">
        <v>35</v>
      </c>
      <c r="C88" s="17" t="s">
        <v>1675</v>
      </c>
      <c r="D88" s="18" t="s">
        <v>2052</v>
      </c>
      <c r="E88" s="17" t="s">
        <v>1675</v>
      </c>
      <c r="F88" s="18" t="s">
        <v>2053</v>
      </c>
      <c r="G88" s="17" t="s">
        <v>1675</v>
      </c>
      <c r="H88" s="18" t="s">
        <v>29</v>
      </c>
      <c r="I88" s="17" t="s">
        <v>1675</v>
      </c>
      <c r="J88" s="18" t="s">
        <v>17</v>
      </c>
      <c r="K88" s="17" t="s">
        <v>1675</v>
      </c>
      <c r="L88" s="18" t="s">
        <v>2054</v>
      </c>
      <c r="M88" s="17" t="s">
        <v>1675</v>
      </c>
      <c r="N88" s="18" t="s">
        <v>2055</v>
      </c>
      <c r="O88" s="17" t="s">
        <v>1675</v>
      </c>
      <c r="P88" s="18" t="s">
        <v>209</v>
      </c>
      <c r="Q88" s="17" t="s">
        <v>1675</v>
      </c>
      <c r="R88" s="17" t="s">
        <v>2056</v>
      </c>
      <c r="S88" s="17" t="s">
        <v>1675</v>
      </c>
      <c r="T88" s="17" t="s">
        <v>2057</v>
      </c>
      <c r="U88" s="17" t="s">
        <v>1675</v>
      </c>
      <c r="V88" s="17" t="s">
        <v>2058</v>
      </c>
      <c r="W88" s="17"/>
    </row>
    <row r="89" spans="1:23" ht="409.6">
      <c r="A89" s="156"/>
      <c r="B89" s="156"/>
      <c r="C89" s="17" t="s">
        <v>1681</v>
      </c>
      <c r="D89" s="18" t="s">
        <v>2052</v>
      </c>
      <c r="E89" s="17" t="s">
        <v>1681</v>
      </c>
      <c r="F89" s="18" t="s">
        <v>2053</v>
      </c>
      <c r="G89" s="17" t="s">
        <v>1681</v>
      </c>
      <c r="H89" s="18" t="s">
        <v>29</v>
      </c>
      <c r="I89" s="17" t="s">
        <v>1681</v>
      </c>
      <c r="J89" s="18" t="s">
        <v>17</v>
      </c>
      <c r="K89" s="17" t="s">
        <v>1681</v>
      </c>
      <c r="L89" s="18" t="s">
        <v>2059</v>
      </c>
      <c r="M89" s="17" t="s">
        <v>1681</v>
      </c>
      <c r="N89" s="18" t="s">
        <v>2060</v>
      </c>
      <c r="O89" s="17" t="s">
        <v>1681</v>
      </c>
      <c r="P89" s="18" t="s">
        <v>209</v>
      </c>
      <c r="Q89" s="17" t="s">
        <v>1681</v>
      </c>
      <c r="R89" s="17" t="s">
        <v>2056</v>
      </c>
      <c r="S89" s="17" t="s">
        <v>1681</v>
      </c>
      <c r="T89" s="17" t="s">
        <v>2057</v>
      </c>
      <c r="U89" s="17" t="s">
        <v>1681</v>
      </c>
      <c r="V89" s="17" t="s">
        <v>2058</v>
      </c>
      <c r="W89" s="17"/>
    </row>
    <row r="90" spans="1:23" ht="409.6">
      <c r="A90" s="156"/>
      <c r="B90" s="156"/>
      <c r="C90" s="17" t="s">
        <v>1685</v>
      </c>
      <c r="D90" s="18" t="s">
        <v>2052</v>
      </c>
      <c r="E90" s="17" t="s">
        <v>1685</v>
      </c>
      <c r="F90" s="18" t="s">
        <v>2053</v>
      </c>
      <c r="G90" s="17" t="s">
        <v>1685</v>
      </c>
      <c r="H90" s="18" t="s">
        <v>17</v>
      </c>
      <c r="I90" s="17" t="s">
        <v>1685</v>
      </c>
      <c r="J90" s="18" t="s">
        <v>17</v>
      </c>
      <c r="K90" s="17" t="s">
        <v>1685</v>
      </c>
      <c r="L90" s="18" t="s">
        <v>2061</v>
      </c>
      <c r="M90" s="17" t="s">
        <v>1685</v>
      </c>
      <c r="N90" s="18" t="s">
        <v>17</v>
      </c>
      <c r="O90" s="17" t="s">
        <v>1685</v>
      </c>
      <c r="P90" s="18" t="s">
        <v>512</v>
      </c>
      <c r="Q90" s="17" t="s">
        <v>1685</v>
      </c>
      <c r="R90" s="17" t="s">
        <v>2062</v>
      </c>
      <c r="S90" s="17" t="s">
        <v>1685</v>
      </c>
      <c r="T90" s="17" t="s">
        <v>17</v>
      </c>
      <c r="U90" s="17" t="s">
        <v>1685</v>
      </c>
      <c r="V90" s="17" t="s">
        <v>2058</v>
      </c>
      <c r="W90" s="17"/>
    </row>
    <row r="91" spans="1:23" ht="409.6">
      <c r="A91" s="156"/>
      <c r="B91" s="156"/>
      <c r="C91" s="17" t="s">
        <v>1688</v>
      </c>
      <c r="D91" s="18" t="s">
        <v>2063</v>
      </c>
      <c r="E91" s="17" t="s">
        <v>1688</v>
      </c>
      <c r="F91" s="18" t="s">
        <v>2053</v>
      </c>
      <c r="G91" s="17" t="s">
        <v>1688</v>
      </c>
      <c r="H91" s="18" t="s">
        <v>2064</v>
      </c>
      <c r="I91" s="17" t="s">
        <v>1688</v>
      </c>
      <c r="J91" s="18" t="s">
        <v>17</v>
      </c>
      <c r="K91" s="17" t="s">
        <v>1688</v>
      </c>
      <c r="L91" s="18" t="s">
        <v>2065</v>
      </c>
      <c r="M91" s="17" t="s">
        <v>1688</v>
      </c>
      <c r="N91" s="18" t="s">
        <v>2066</v>
      </c>
      <c r="O91" s="17" t="s">
        <v>1688</v>
      </c>
      <c r="P91" s="18" t="s">
        <v>2067</v>
      </c>
      <c r="Q91" s="17" t="s">
        <v>1688</v>
      </c>
      <c r="R91" s="17" t="s">
        <v>2068</v>
      </c>
      <c r="S91" s="17" t="s">
        <v>1688</v>
      </c>
      <c r="T91" s="17" t="s">
        <v>2069</v>
      </c>
      <c r="U91" s="17" t="s">
        <v>1688</v>
      </c>
      <c r="V91" s="17" t="s">
        <v>2070</v>
      </c>
      <c r="W91" s="17"/>
    </row>
    <row r="92" spans="1:23">
      <c r="A92" s="156" t="s">
        <v>2071</v>
      </c>
      <c r="B92" s="156" t="s">
        <v>2072</v>
      </c>
      <c r="C92" s="17" t="s">
        <v>1675</v>
      </c>
      <c r="D92" s="18" t="s">
        <v>1957</v>
      </c>
      <c r="E92" s="17" t="s">
        <v>1675</v>
      </c>
      <c r="F92" s="18" t="s">
        <v>1957</v>
      </c>
      <c r="G92" s="17" t="s">
        <v>1675</v>
      </c>
      <c r="H92" s="18" t="s">
        <v>1957</v>
      </c>
      <c r="I92" s="17" t="s">
        <v>1675</v>
      </c>
      <c r="J92" s="18" t="s">
        <v>1957</v>
      </c>
      <c r="K92" s="17" t="s">
        <v>1675</v>
      </c>
      <c r="L92" s="18" t="s">
        <v>1957</v>
      </c>
      <c r="M92" s="17" t="s">
        <v>1675</v>
      </c>
      <c r="N92" s="18" t="s">
        <v>1957</v>
      </c>
      <c r="O92" s="17" t="s">
        <v>1675</v>
      </c>
      <c r="P92" s="18" t="s">
        <v>1957</v>
      </c>
      <c r="Q92" s="17" t="s">
        <v>1675</v>
      </c>
      <c r="R92" s="17" t="s">
        <v>1957</v>
      </c>
      <c r="S92" s="17" t="s">
        <v>1675</v>
      </c>
      <c r="T92" s="17" t="s">
        <v>1957</v>
      </c>
      <c r="U92" s="17" t="s">
        <v>1675</v>
      </c>
      <c r="V92" s="17" t="s">
        <v>1957</v>
      </c>
      <c r="W92" s="17"/>
    </row>
    <row r="93" spans="1:23">
      <c r="A93" s="156"/>
      <c r="B93" s="156"/>
      <c r="C93" s="17" t="s">
        <v>1681</v>
      </c>
      <c r="D93" s="18" t="s">
        <v>1957</v>
      </c>
      <c r="E93" s="17" t="s">
        <v>1681</v>
      </c>
      <c r="F93" s="18" t="s">
        <v>1957</v>
      </c>
      <c r="G93" s="17" t="s">
        <v>1681</v>
      </c>
      <c r="H93" s="18" t="s">
        <v>1957</v>
      </c>
      <c r="I93" s="17" t="s">
        <v>1681</v>
      </c>
      <c r="J93" s="18" t="s">
        <v>1957</v>
      </c>
      <c r="K93" s="17" t="s">
        <v>1681</v>
      </c>
      <c r="L93" s="18" t="s">
        <v>1957</v>
      </c>
      <c r="M93" s="17" t="s">
        <v>1681</v>
      </c>
      <c r="N93" s="18" t="s">
        <v>1957</v>
      </c>
      <c r="O93" s="17" t="s">
        <v>1681</v>
      </c>
      <c r="P93" s="18" t="s">
        <v>1957</v>
      </c>
      <c r="Q93" s="17" t="s">
        <v>1681</v>
      </c>
      <c r="R93" s="17" t="s">
        <v>1957</v>
      </c>
      <c r="S93" s="17" t="s">
        <v>1681</v>
      </c>
      <c r="T93" s="17" t="s">
        <v>1957</v>
      </c>
      <c r="U93" s="17" t="s">
        <v>1681</v>
      </c>
      <c r="V93" s="17" t="s">
        <v>1957</v>
      </c>
      <c r="W93" s="17"/>
    </row>
    <row r="94" spans="1:23" ht="409.6">
      <c r="A94" s="156"/>
      <c r="B94" s="156"/>
      <c r="C94" s="17" t="s">
        <v>1685</v>
      </c>
      <c r="D94" s="18" t="s">
        <v>2073</v>
      </c>
      <c r="E94" s="17" t="s">
        <v>1685</v>
      </c>
      <c r="F94" s="18" t="s">
        <v>2074</v>
      </c>
      <c r="G94" s="17" t="s">
        <v>1685</v>
      </c>
      <c r="H94" s="18" t="s">
        <v>88</v>
      </c>
      <c r="I94" s="17" t="s">
        <v>1685</v>
      </c>
      <c r="J94" s="18" t="s">
        <v>2075</v>
      </c>
      <c r="K94" s="17" t="s">
        <v>1685</v>
      </c>
      <c r="L94" s="18" t="s">
        <v>2076</v>
      </c>
      <c r="M94" s="17" t="s">
        <v>1685</v>
      </c>
      <c r="N94" s="18" t="s">
        <v>257</v>
      </c>
      <c r="O94" s="17" t="s">
        <v>1685</v>
      </c>
      <c r="P94" s="18" t="s">
        <v>2077</v>
      </c>
      <c r="Q94" s="17" t="s">
        <v>1685</v>
      </c>
      <c r="R94" s="17" t="s">
        <v>2078</v>
      </c>
      <c r="S94" s="17" t="s">
        <v>1685</v>
      </c>
      <c r="T94" s="17" t="s">
        <v>17</v>
      </c>
      <c r="U94" s="17" t="s">
        <v>1685</v>
      </c>
      <c r="V94" s="17" t="s">
        <v>2079</v>
      </c>
      <c r="W94" s="17"/>
    </row>
    <row r="95" spans="1:23" ht="409.6">
      <c r="A95" s="156"/>
      <c r="B95" s="156"/>
      <c r="C95" s="17" t="s">
        <v>1688</v>
      </c>
      <c r="D95" s="18" t="s">
        <v>2073</v>
      </c>
      <c r="E95" s="17" t="s">
        <v>1688</v>
      </c>
      <c r="F95" s="18" t="s">
        <v>2074</v>
      </c>
      <c r="G95" s="17" t="s">
        <v>1688</v>
      </c>
      <c r="H95" s="33" t="s">
        <v>2080</v>
      </c>
      <c r="I95" s="17" t="s">
        <v>1688</v>
      </c>
      <c r="J95" s="18" t="s">
        <v>2081</v>
      </c>
      <c r="K95" s="17" t="s">
        <v>1688</v>
      </c>
      <c r="L95" s="18" t="s">
        <v>2082</v>
      </c>
      <c r="M95" s="17" t="s">
        <v>1688</v>
      </c>
      <c r="N95" s="18" t="s">
        <v>257</v>
      </c>
      <c r="O95" s="17" t="s">
        <v>1688</v>
      </c>
      <c r="P95" s="18" t="s">
        <v>204</v>
      </c>
      <c r="Q95" s="17" t="s">
        <v>1688</v>
      </c>
      <c r="R95" s="17" t="s">
        <v>2083</v>
      </c>
      <c r="S95" s="17" t="s">
        <v>1688</v>
      </c>
      <c r="T95" s="17" t="s">
        <v>17</v>
      </c>
      <c r="U95" s="17" t="s">
        <v>1688</v>
      </c>
      <c r="V95" s="17" t="s">
        <v>2084</v>
      </c>
      <c r="W95" s="17"/>
    </row>
    <row r="96" spans="1:23" ht="409.6">
      <c r="A96" s="156" t="s">
        <v>2085</v>
      </c>
      <c r="B96" s="156" t="s">
        <v>2086</v>
      </c>
      <c r="C96" s="17" t="s">
        <v>1675</v>
      </c>
      <c r="D96" s="18" t="s">
        <v>2087</v>
      </c>
      <c r="E96" s="17" t="s">
        <v>1675</v>
      </c>
      <c r="F96" s="34" t="s">
        <v>2088</v>
      </c>
      <c r="G96" s="17" t="s">
        <v>1675</v>
      </c>
      <c r="H96" s="18" t="s">
        <v>29</v>
      </c>
      <c r="I96" s="17" t="s">
        <v>1675</v>
      </c>
      <c r="J96" s="18" t="s">
        <v>17</v>
      </c>
      <c r="K96" s="17" t="s">
        <v>1675</v>
      </c>
      <c r="L96" s="18" t="s">
        <v>2089</v>
      </c>
      <c r="M96" s="17" t="s">
        <v>1675</v>
      </c>
      <c r="N96" s="18" t="s">
        <v>2090</v>
      </c>
      <c r="O96" s="17" t="s">
        <v>1675</v>
      </c>
      <c r="P96" s="18" t="s">
        <v>209</v>
      </c>
      <c r="Q96" s="17" t="s">
        <v>1675</v>
      </c>
      <c r="R96" s="17" t="s">
        <v>2091</v>
      </c>
      <c r="S96" s="17" t="s">
        <v>1675</v>
      </c>
      <c r="T96" s="17" t="s">
        <v>17</v>
      </c>
      <c r="U96" s="17" t="s">
        <v>1675</v>
      </c>
      <c r="V96" s="17" t="s">
        <v>2092</v>
      </c>
      <c r="W96" s="17"/>
    </row>
    <row r="97" spans="1:23" ht="409.6">
      <c r="A97" s="156"/>
      <c r="B97" s="156"/>
      <c r="C97" s="17" t="s">
        <v>1681</v>
      </c>
      <c r="D97" s="18" t="s">
        <v>2087</v>
      </c>
      <c r="E97" s="17" t="s">
        <v>1681</v>
      </c>
      <c r="F97" s="34" t="s">
        <v>2088</v>
      </c>
      <c r="G97" s="17" t="s">
        <v>1681</v>
      </c>
      <c r="H97" s="18" t="s">
        <v>29</v>
      </c>
      <c r="I97" s="17" t="s">
        <v>1681</v>
      </c>
      <c r="J97" s="18" t="s">
        <v>17</v>
      </c>
      <c r="K97" s="17" t="s">
        <v>1681</v>
      </c>
      <c r="L97" s="18" t="s">
        <v>2093</v>
      </c>
      <c r="M97" s="17" t="s">
        <v>1681</v>
      </c>
      <c r="N97" s="18" t="s">
        <v>2094</v>
      </c>
      <c r="O97" s="17" t="s">
        <v>1681</v>
      </c>
      <c r="P97" s="18" t="s">
        <v>209</v>
      </c>
      <c r="Q97" s="17" t="s">
        <v>1681</v>
      </c>
      <c r="R97" s="17" t="s">
        <v>2095</v>
      </c>
      <c r="S97" s="17" t="s">
        <v>1681</v>
      </c>
      <c r="T97" s="17" t="s">
        <v>17</v>
      </c>
      <c r="U97" s="17" t="s">
        <v>1681</v>
      </c>
      <c r="V97" s="17" t="s">
        <v>2096</v>
      </c>
      <c r="W97" s="17"/>
    </row>
    <row r="98" spans="1:23" ht="409.6">
      <c r="A98" s="156"/>
      <c r="B98" s="156"/>
      <c r="C98" s="17" t="s">
        <v>1685</v>
      </c>
      <c r="D98" s="18" t="s">
        <v>2087</v>
      </c>
      <c r="E98" s="17" t="s">
        <v>1685</v>
      </c>
      <c r="F98" s="18" t="s">
        <v>2097</v>
      </c>
      <c r="G98" s="17" t="s">
        <v>1685</v>
      </c>
      <c r="H98" s="18" t="s">
        <v>88</v>
      </c>
      <c r="I98" s="17" t="s">
        <v>1685</v>
      </c>
      <c r="J98" s="18" t="s">
        <v>17</v>
      </c>
      <c r="K98" s="17" t="s">
        <v>1685</v>
      </c>
      <c r="L98" s="18" t="s">
        <v>2098</v>
      </c>
      <c r="M98" s="17" t="s">
        <v>1685</v>
      </c>
      <c r="N98" s="18" t="s">
        <v>468</v>
      </c>
      <c r="O98" s="17" t="s">
        <v>1685</v>
      </c>
      <c r="P98" s="18" t="s">
        <v>209</v>
      </c>
      <c r="Q98" s="17" t="s">
        <v>1685</v>
      </c>
      <c r="R98" s="17" t="s">
        <v>2091</v>
      </c>
      <c r="S98" s="17" t="s">
        <v>1685</v>
      </c>
      <c r="T98" s="17" t="s">
        <v>17</v>
      </c>
      <c r="U98" s="17" t="s">
        <v>1685</v>
      </c>
      <c r="V98" s="17" t="s">
        <v>2096</v>
      </c>
      <c r="W98" s="17"/>
    </row>
    <row r="99" spans="1:23" ht="409.6">
      <c r="A99" s="156"/>
      <c r="B99" s="156"/>
      <c r="C99" s="17" t="s">
        <v>1688</v>
      </c>
      <c r="D99" s="35" t="s">
        <v>2099</v>
      </c>
      <c r="E99" s="17" t="s">
        <v>1688</v>
      </c>
      <c r="F99" s="18" t="s">
        <v>2097</v>
      </c>
      <c r="G99" s="17" t="s">
        <v>1688</v>
      </c>
      <c r="H99" s="18" t="s">
        <v>17</v>
      </c>
      <c r="I99" s="17" t="s">
        <v>1688</v>
      </c>
      <c r="J99" s="18" t="s">
        <v>17</v>
      </c>
      <c r="K99" s="17" t="s">
        <v>1688</v>
      </c>
      <c r="L99" s="28" t="s">
        <v>2100</v>
      </c>
      <c r="M99" s="17" t="s">
        <v>1688</v>
      </c>
      <c r="N99" s="36">
        <v>44378</v>
      </c>
      <c r="O99" s="17" t="s">
        <v>1688</v>
      </c>
      <c r="P99" s="18" t="s">
        <v>209</v>
      </c>
      <c r="Q99" s="17" t="s">
        <v>1688</v>
      </c>
      <c r="R99" s="17" t="s">
        <v>2091</v>
      </c>
      <c r="S99" s="17" t="s">
        <v>1688</v>
      </c>
      <c r="T99" s="17" t="s">
        <v>17</v>
      </c>
      <c r="U99" s="17" t="s">
        <v>1688</v>
      </c>
      <c r="V99" s="17" t="s">
        <v>2096</v>
      </c>
      <c r="W99" s="17"/>
    </row>
    <row r="100" spans="1:23" ht="409.6">
      <c r="A100" s="166" t="s">
        <v>65</v>
      </c>
      <c r="B100" s="156" t="s">
        <v>2101</v>
      </c>
      <c r="C100" s="37">
        <v>2018</v>
      </c>
      <c r="D100" s="18" t="s">
        <v>36</v>
      </c>
      <c r="E100" s="37">
        <v>2018</v>
      </c>
      <c r="F100" s="18" t="s">
        <v>2102</v>
      </c>
      <c r="G100" s="37">
        <v>2018</v>
      </c>
      <c r="H100" s="38" t="s">
        <v>29</v>
      </c>
      <c r="I100" s="37">
        <v>2018</v>
      </c>
      <c r="J100" s="18" t="s">
        <v>2103</v>
      </c>
      <c r="K100" s="37">
        <v>2018</v>
      </c>
      <c r="L100" s="18" t="s">
        <v>2104</v>
      </c>
      <c r="M100" s="37">
        <v>2018</v>
      </c>
      <c r="N100" s="18" t="s">
        <v>2105</v>
      </c>
      <c r="O100" s="37">
        <v>2018</v>
      </c>
      <c r="P100" s="18" t="s">
        <v>2106</v>
      </c>
      <c r="Q100" s="37">
        <v>2018</v>
      </c>
      <c r="R100" s="17" t="s">
        <v>2107</v>
      </c>
      <c r="S100" s="37">
        <v>2018</v>
      </c>
      <c r="T100" s="17" t="s">
        <v>2108</v>
      </c>
      <c r="U100" s="37">
        <v>2018</v>
      </c>
      <c r="V100" s="37" t="s">
        <v>17</v>
      </c>
      <c r="W100" s="17"/>
    </row>
    <row r="101" spans="1:23" ht="409.6">
      <c r="A101" s="166"/>
      <c r="B101" s="156"/>
      <c r="C101" s="37">
        <v>2019</v>
      </c>
      <c r="D101" s="18" t="s">
        <v>36</v>
      </c>
      <c r="E101" s="37">
        <v>2019</v>
      </c>
      <c r="F101" s="18" t="s">
        <v>2109</v>
      </c>
      <c r="G101" s="37">
        <v>2019</v>
      </c>
      <c r="H101" s="38" t="s">
        <v>29</v>
      </c>
      <c r="I101" s="37">
        <v>2019</v>
      </c>
      <c r="J101" s="18" t="s">
        <v>2110</v>
      </c>
      <c r="K101" s="37">
        <v>2019</v>
      </c>
      <c r="L101" s="18" t="s">
        <v>2111</v>
      </c>
      <c r="M101" s="37">
        <v>2019</v>
      </c>
      <c r="N101" s="18" t="s">
        <v>2112</v>
      </c>
      <c r="O101" s="37">
        <v>2019</v>
      </c>
      <c r="P101" s="18" t="s">
        <v>2106</v>
      </c>
      <c r="Q101" s="37">
        <v>2019</v>
      </c>
      <c r="R101" s="17" t="s">
        <v>2113</v>
      </c>
      <c r="S101" s="37">
        <v>2019</v>
      </c>
      <c r="T101" s="17" t="s">
        <v>2108</v>
      </c>
      <c r="U101" s="37">
        <v>2019</v>
      </c>
      <c r="V101" s="37" t="s">
        <v>17</v>
      </c>
      <c r="W101" s="17"/>
    </row>
    <row r="102" spans="1:23" ht="409.6">
      <c r="A102" s="166"/>
      <c r="B102" s="156"/>
      <c r="C102" s="37">
        <v>2020</v>
      </c>
      <c r="D102" s="18" t="s">
        <v>36</v>
      </c>
      <c r="E102" s="37">
        <v>2020</v>
      </c>
      <c r="F102" s="18" t="s">
        <v>2114</v>
      </c>
      <c r="G102" s="37">
        <v>2020</v>
      </c>
      <c r="H102" s="38" t="s">
        <v>17</v>
      </c>
      <c r="I102" s="37">
        <v>2020</v>
      </c>
      <c r="J102" s="18" t="s">
        <v>2115</v>
      </c>
      <c r="K102" s="37">
        <v>2020</v>
      </c>
      <c r="L102" s="18" t="s">
        <v>2116</v>
      </c>
      <c r="M102" s="37">
        <v>2020</v>
      </c>
      <c r="N102" s="18" t="s">
        <v>2117</v>
      </c>
      <c r="O102" s="37">
        <v>2020</v>
      </c>
      <c r="P102" s="18" t="s">
        <v>2118</v>
      </c>
      <c r="Q102" s="37">
        <v>2020</v>
      </c>
      <c r="R102" s="17" t="s">
        <v>2119</v>
      </c>
      <c r="S102" s="37">
        <v>2020</v>
      </c>
      <c r="T102" s="17" t="s">
        <v>17</v>
      </c>
      <c r="U102" s="37">
        <v>2020</v>
      </c>
      <c r="V102" s="19" t="s">
        <v>2120</v>
      </c>
      <c r="W102" s="17"/>
    </row>
    <row r="103" spans="1:23" ht="409.6">
      <c r="A103" s="166"/>
      <c r="B103" s="156"/>
      <c r="C103" s="37">
        <v>2021</v>
      </c>
      <c r="D103" s="18" t="s">
        <v>66</v>
      </c>
      <c r="E103" s="37">
        <v>2021</v>
      </c>
      <c r="F103" s="18" t="s">
        <v>2114</v>
      </c>
      <c r="G103" s="37">
        <v>2021</v>
      </c>
      <c r="H103" s="38" t="s">
        <v>17</v>
      </c>
      <c r="I103" s="37">
        <v>2021</v>
      </c>
      <c r="J103" s="18" t="s">
        <v>2121</v>
      </c>
      <c r="K103" s="37">
        <v>2021</v>
      </c>
      <c r="L103" s="18" t="s">
        <v>2122</v>
      </c>
      <c r="M103" s="37">
        <v>2021</v>
      </c>
      <c r="N103" s="18" t="s">
        <v>426</v>
      </c>
      <c r="O103" s="37">
        <v>2020</v>
      </c>
      <c r="P103" s="18" t="s">
        <v>2123</v>
      </c>
      <c r="Q103" s="37">
        <v>2021</v>
      </c>
      <c r="R103" s="17" t="s">
        <v>2124</v>
      </c>
      <c r="S103" s="37">
        <v>2021</v>
      </c>
      <c r="T103" s="17" t="s">
        <v>17</v>
      </c>
      <c r="U103" s="37">
        <v>2021</v>
      </c>
      <c r="V103" s="19" t="s">
        <v>2125</v>
      </c>
      <c r="W103" s="17"/>
    </row>
    <row r="104" spans="1:23" ht="409.6">
      <c r="A104" s="166" t="s">
        <v>58</v>
      </c>
      <c r="B104" s="166" t="s">
        <v>116</v>
      </c>
      <c r="C104" s="37">
        <v>2018</v>
      </c>
      <c r="D104" s="18" t="s">
        <v>2126</v>
      </c>
      <c r="E104" s="37">
        <v>2018</v>
      </c>
      <c r="F104" s="18" t="s">
        <v>60</v>
      </c>
      <c r="G104" s="37">
        <v>2018</v>
      </c>
      <c r="H104" s="38" t="s">
        <v>29</v>
      </c>
      <c r="I104" s="37">
        <v>2018</v>
      </c>
      <c r="J104" s="18" t="s">
        <v>2127</v>
      </c>
      <c r="K104" s="37">
        <v>2018</v>
      </c>
      <c r="L104" s="18" t="s">
        <v>2128</v>
      </c>
      <c r="M104" s="37">
        <v>2018</v>
      </c>
      <c r="N104" s="18" t="s">
        <v>2129</v>
      </c>
      <c r="O104" s="37">
        <v>2018</v>
      </c>
      <c r="P104" s="18" t="s">
        <v>125</v>
      </c>
      <c r="Q104" s="37">
        <v>2018</v>
      </c>
      <c r="R104" s="17" t="s">
        <v>2130</v>
      </c>
      <c r="S104" s="37">
        <v>2018</v>
      </c>
      <c r="T104" s="17" t="s">
        <v>2131</v>
      </c>
      <c r="U104" s="37">
        <v>2018</v>
      </c>
      <c r="V104" s="37" t="s">
        <v>17</v>
      </c>
      <c r="W104" s="17"/>
    </row>
    <row r="105" spans="1:23" ht="409.6">
      <c r="A105" s="166"/>
      <c r="B105" s="166"/>
      <c r="C105" s="37">
        <v>2019</v>
      </c>
      <c r="D105" s="18" t="s">
        <v>2126</v>
      </c>
      <c r="E105" s="37">
        <v>2019</v>
      </c>
      <c r="F105" s="18" t="s">
        <v>60</v>
      </c>
      <c r="G105" s="37">
        <v>2019</v>
      </c>
      <c r="H105" s="38" t="s">
        <v>29</v>
      </c>
      <c r="I105" s="37">
        <v>2019</v>
      </c>
      <c r="J105" s="18" t="s">
        <v>2132</v>
      </c>
      <c r="K105" s="37">
        <v>2019</v>
      </c>
      <c r="L105" s="18" t="s">
        <v>2133</v>
      </c>
      <c r="M105" s="37">
        <v>2019</v>
      </c>
      <c r="N105" s="18" t="s">
        <v>2134</v>
      </c>
      <c r="O105" s="37">
        <v>2019</v>
      </c>
      <c r="P105" s="18" t="s">
        <v>125</v>
      </c>
      <c r="Q105" s="37">
        <v>2019</v>
      </c>
      <c r="R105" s="17" t="s">
        <v>2135</v>
      </c>
      <c r="S105" s="37">
        <v>2019</v>
      </c>
      <c r="T105" s="17" t="s">
        <v>2136</v>
      </c>
      <c r="U105" s="37">
        <v>2019</v>
      </c>
      <c r="V105" s="37" t="s">
        <v>17</v>
      </c>
      <c r="W105" s="17"/>
    </row>
    <row r="106" spans="1:23" ht="409.6">
      <c r="A106" s="166"/>
      <c r="B106" s="166"/>
      <c r="C106" s="37">
        <v>2020</v>
      </c>
      <c r="D106" s="18" t="s">
        <v>2126</v>
      </c>
      <c r="E106" s="37">
        <v>2020</v>
      </c>
      <c r="F106" s="18" t="s">
        <v>60</v>
      </c>
      <c r="G106" s="37">
        <v>2020</v>
      </c>
      <c r="H106" s="18" t="s">
        <v>299</v>
      </c>
      <c r="I106" s="37">
        <v>2020</v>
      </c>
      <c r="J106" s="18" t="s">
        <v>2137</v>
      </c>
      <c r="K106" s="37">
        <v>2020</v>
      </c>
      <c r="L106" s="18" t="s">
        <v>2138</v>
      </c>
      <c r="M106" s="37">
        <v>2020</v>
      </c>
      <c r="N106" s="18" t="s">
        <v>2139</v>
      </c>
      <c r="O106" s="37">
        <v>2020</v>
      </c>
      <c r="P106" s="18" t="s">
        <v>2140</v>
      </c>
      <c r="Q106" s="37">
        <v>2020</v>
      </c>
      <c r="R106" s="17" t="s">
        <v>2141</v>
      </c>
      <c r="S106" s="37">
        <v>2020</v>
      </c>
      <c r="T106" s="19" t="s">
        <v>17</v>
      </c>
      <c r="U106" s="37">
        <v>2020</v>
      </c>
      <c r="V106" s="37" t="s">
        <v>17</v>
      </c>
      <c r="W106" s="17"/>
    </row>
    <row r="107" spans="1:23" ht="409.6">
      <c r="A107" s="166"/>
      <c r="B107" s="166"/>
      <c r="C107" s="37">
        <v>2021</v>
      </c>
      <c r="D107" s="18" t="s">
        <v>17</v>
      </c>
      <c r="E107" s="37">
        <v>2021</v>
      </c>
      <c r="F107" s="18" t="s">
        <v>60</v>
      </c>
      <c r="G107" s="37">
        <v>2021</v>
      </c>
      <c r="H107" s="18" t="s">
        <v>299</v>
      </c>
      <c r="I107" s="37">
        <v>2020</v>
      </c>
      <c r="J107" s="18" t="s">
        <v>2142</v>
      </c>
      <c r="K107" s="37">
        <v>2021</v>
      </c>
      <c r="L107" s="18" t="s">
        <v>2143</v>
      </c>
      <c r="M107" s="37">
        <v>2021</v>
      </c>
      <c r="N107" s="18" t="s">
        <v>2144</v>
      </c>
      <c r="O107" s="37">
        <v>2021</v>
      </c>
      <c r="P107" s="18" t="s">
        <v>17</v>
      </c>
      <c r="Q107" s="37">
        <v>2021</v>
      </c>
      <c r="R107" s="17" t="s">
        <v>2145</v>
      </c>
      <c r="S107" s="37">
        <v>2021</v>
      </c>
      <c r="T107" s="19" t="s">
        <v>17</v>
      </c>
      <c r="U107" s="37">
        <v>2021</v>
      </c>
      <c r="V107" s="37" t="s">
        <v>17</v>
      </c>
      <c r="W107" s="17"/>
    </row>
    <row r="108" spans="1:23" ht="409.6">
      <c r="A108" s="166" t="s">
        <v>2146</v>
      </c>
      <c r="B108" s="156" t="s">
        <v>2147</v>
      </c>
      <c r="C108" s="37">
        <v>2018</v>
      </c>
      <c r="D108" s="18" t="s">
        <v>2148</v>
      </c>
      <c r="E108" s="37">
        <v>2018</v>
      </c>
      <c r="F108" s="18" t="s">
        <v>227</v>
      </c>
      <c r="G108" s="37">
        <v>2018</v>
      </c>
      <c r="H108" s="38" t="s">
        <v>29</v>
      </c>
      <c r="I108" s="37">
        <v>2018</v>
      </c>
      <c r="J108" s="18" t="s">
        <v>2149</v>
      </c>
      <c r="K108" s="37">
        <v>2018</v>
      </c>
      <c r="L108" s="18" t="s">
        <v>2150</v>
      </c>
      <c r="M108" s="37">
        <v>2018</v>
      </c>
      <c r="N108" s="18" t="s">
        <v>2151</v>
      </c>
      <c r="O108" s="37">
        <v>2018</v>
      </c>
      <c r="P108" s="18" t="s">
        <v>2152</v>
      </c>
      <c r="Q108" s="37">
        <v>2018</v>
      </c>
      <c r="R108" s="17" t="s">
        <v>2153</v>
      </c>
      <c r="S108" s="37">
        <v>2018</v>
      </c>
      <c r="T108" s="17" t="s">
        <v>2154</v>
      </c>
      <c r="U108" s="37">
        <v>2018</v>
      </c>
      <c r="V108" s="19" t="s">
        <v>2155</v>
      </c>
      <c r="W108" s="17"/>
    </row>
    <row r="109" spans="1:23" ht="409.6">
      <c r="A109" s="166"/>
      <c r="B109" s="156"/>
      <c r="C109" s="37">
        <v>2019</v>
      </c>
      <c r="D109" s="18" t="s">
        <v>2148</v>
      </c>
      <c r="E109" s="37">
        <v>2019</v>
      </c>
      <c r="F109" s="18" t="s">
        <v>227</v>
      </c>
      <c r="G109" s="37">
        <v>2019</v>
      </c>
      <c r="H109" s="38" t="s">
        <v>29</v>
      </c>
      <c r="I109" s="37">
        <v>2019</v>
      </c>
      <c r="J109" s="18" t="s">
        <v>2156</v>
      </c>
      <c r="K109" s="37">
        <v>2019</v>
      </c>
      <c r="L109" s="18" t="s">
        <v>2157</v>
      </c>
      <c r="M109" s="37">
        <v>2019</v>
      </c>
      <c r="N109" s="18" t="s">
        <v>2158</v>
      </c>
      <c r="O109" s="37">
        <v>2019</v>
      </c>
      <c r="P109" s="18" t="s">
        <v>2152</v>
      </c>
      <c r="Q109" s="37">
        <v>2019</v>
      </c>
      <c r="R109" s="17" t="s">
        <v>2159</v>
      </c>
      <c r="S109" s="37">
        <v>2019</v>
      </c>
      <c r="T109" s="17" t="s">
        <v>2160</v>
      </c>
      <c r="U109" s="37">
        <v>2019</v>
      </c>
      <c r="V109" s="19" t="s">
        <v>2161</v>
      </c>
      <c r="W109" s="17"/>
    </row>
    <row r="110" spans="1:23" ht="409.6">
      <c r="A110" s="166"/>
      <c r="B110" s="156"/>
      <c r="C110" s="37">
        <v>2020</v>
      </c>
      <c r="D110" s="18" t="s">
        <v>2148</v>
      </c>
      <c r="E110" s="37">
        <v>2020</v>
      </c>
      <c r="F110" s="18" t="s">
        <v>227</v>
      </c>
      <c r="G110" s="37">
        <v>2020</v>
      </c>
      <c r="H110" s="18" t="s">
        <v>720</v>
      </c>
      <c r="I110" s="37">
        <v>2020</v>
      </c>
      <c r="J110" s="18" t="s">
        <v>2162</v>
      </c>
      <c r="K110" s="37">
        <v>2020</v>
      </c>
      <c r="L110" s="18" t="s">
        <v>2163</v>
      </c>
      <c r="M110" s="37">
        <v>2020</v>
      </c>
      <c r="N110" s="18" t="s">
        <v>2164</v>
      </c>
      <c r="O110" s="37">
        <v>2020</v>
      </c>
      <c r="P110" s="18" t="s">
        <v>2152</v>
      </c>
      <c r="Q110" s="37">
        <v>2020</v>
      </c>
      <c r="R110" s="17" t="s">
        <v>2165</v>
      </c>
      <c r="S110" s="37">
        <v>2020</v>
      </c>
      <c r="T110" s="17" t="s">
        <v>2166</v>
      </c>
      <c r="U110" s="37">
        <v>2020</v>
      </c>
      <c r="V110" s="19" t="s">
        <v>2167</v>
      </c>
      <c r="W110" s="17"/>
    </row>
    <row r="111" spans="1:23" ht="409.6">
      <c r="A111" s="166"/>
      <c r="B111" s="156"/>
      <c r="C111" s="37">
        <v>2021</v>
      </c>
      <c r="D111" s="18" t="s">
        <v>226</v>
      </c>
      <c r="E111" s="37">
        <v>2021</v>
      </c>
      <c r="F111" s="18" t="s">
        <v>227</v>
      </c>
      <c r="G111" s="37">
        <v>2021</v>
      </c>
      <c r="H111" s="18" t="s">
        <v>29</v>
      </c>
      <c r="I111" s="37">
        <v>2021</v>
      </c>
      <c r="J111" s="18" t="s">
        <v>2168</v>
      </c>
      <c r="K111" s="37">
        <v>2021</v>
      </c>
      <c r="L111" s="18" t="s">
        <v>2169</v>
      </c>
      <c r="M111" s="37">
        <v>2021</v>
      </c>
      <c r="N111" s="18" t="s">
        <v>2170</v>
      </c>
      <c r="O111" s="37">
        <v>2021</v>
      </c>
      <c r="P111" s="18" t="s">
        <v>209</v>
      </c>
      <c r="Q111" s="37">
        <v>2021</v>
      </c>
      <c r="R111" s="17" t="s">
        <v>2171</v>
      </c>
      <c r="S111" s="37">
        <v>2021</v>
      </c>
      <c r="T111" s="17" t="s">
        <v>2172</v>
      </c>
      <c r="U111" s="37">
        <v>2021</v>
      </c>
      <c r="V111" s="19" t="s">
        <v>2173</v>
      </c>
      <c r="W111" s="17"/>
    </row>
    <row r="112" spans="1:23" ht="409.6">
      <c r="A112" s="166" t="s">
        <v>2146</v>
      </c>
      <c r="B112" s="156" t="s">
        <v>2174</v>
      </c>
      <c r="C112" s="37">
        <v>2018</v>
      </c>
      <c r="D112" s="18" t="s">
        <v>36</v>
      </c>
      <c r="E112" s="37">
        <v>2018</v>
      </c>
      <c r="F112" s="18" t="s">
        <v>122</v>
      </c>
      <c r="G112" s="37">
        <v>2018</v>
      </c>
      <c r="H112" s="38" t="s">
        <v>29</v>
      </c>
      <c r="I112" s="37">
        <v>2018</v>
      </c>
      <c r="J112" s="18" t="s">
        <v>2175</v>
      </c>
      <c r="K112" s="37">
        <v>2018</v>
      </c>
      <c r="L112" s="18" t="s">
        <v>2176</v>
      </c>
      <c r="M112" s="37">
        <v>2018</v>
      </c>
      <c r="N112" s="18" t="s">
        <v>2177</v>
      </c>
      <c r="O112" s="37">
        <v>2018</v>
      </c>
      <c r="P112" s="18" t="s">
        <v>2178</v>
      </c>
      <c r="Q112" s="37">
        <v>2018</v>
      </c>
      <c r="R112" s="17" t="s">
        <v>2179</v>
      </c>
      <c r="S112" s="37">
        <v>2018</v>
      </c>
      <c r="T112" s="17" t="s">
        <v>2180</v>
      </c>
      <c r="U112" s="37">
        <v>2018</v>
      </c>
      <c r="V112" s="37" t="s">
        <v>17</v>
      </c>
      <c r="W112" s="17"/>
    </row>
    <row r="113" spans="1:23" ht="409.6">
      <c r="A113" s="166"/>
      <c r="B113" s="156"/>
      <c r="C113" s="37">
        <v>2019</v>
      </c>
      <c r="D113" s="18" t="s">
        <v>36</v>
      </c>
      <c r="E113" s="37">
        <v>2019</v>
      </c>
      <c r="F113" s="18" t="s">
        <v>122</v>
      </c>
      <c r="G113" s="37">
        <v>2019</v>
      </c>
      <c r="H113" s="38" t="s">
        <v>29</v>
      </c>
      <c r="I113" s="37">
        <v>2019</v>
      </c>
      <c r="J113" s="18" t="s">
        <v>2181</v>
      </c>
      <c r="K113" s="37">
        <v>2019</v>
      </c>
      <c r="L113" s="18" t="s">
        <v>2176</v>
      </c>
      <c r="M113" s="37">
        <v>2019</v>
      </c>
      <c r="N113" s="18" t="s">
        <v>2182</v>
      </c>
      <c r="O113" s="37">
        <v>2019</v>
      </c>
      <c r="P113" s="38" t="s">
        <v>2183</v>
      </c>
      <c r="Q113" s="37">
        <v>2019</v>
      </c>
      <c r="R113" s="17" t="s">
        <v>2184</v>
      </c>
      <c r="S113" s="37">
        <v>2019</v>
      </c>
      <c r="T113" s="17" t="s">
        <v>2185</v>
      </c>
      <c r="U113" s="37">
        <v>2019</v>
      </c>
      <c r="V113" s="37" t="s">
        <v>17</v>
      </c>
      <c r="W113" s="17"/>
    </row>
    <row r="114" spans="1:23" ht="409.6">
      <c r="A114" s="166"/>
      <c r="B114" s="156"/>
      <c r="C114" s="37">
        <v>2020</v>
      </c>
      <c r="D114" s="18" t="s">
        <v>36</v>
      </c>
      <c r="E114" s="37">
        <v>2020</v>
      </c>
      <c r="F114" s="18" t="s">
        <v>122</v>
      </c>
      <c r="G114" s="37">
        <v>2020</v>
      </c>
      <c r="H114" s="38" t="s">
        <v>17</v>
      </c>
      <c r="I114" s="37">
        <v>2020</v>
      </c>
      <c r="J114" s="38" t="s">
        <v>17</v>
      </c>
      <c r="K114" s="37">
        <v>2020</v>
      </c>
      <c r="L114" s="18" t="s">
        <v>2186</v>
      </c>
      <c r="M114" s="37">
        <v>2020</v>
      </c>
      <c r="N114" s="38" t="s">
        <v>17</v>
      </c>
      <c r="O114" s="37">
        <v>2020</v>
      </c>
      <c r="P114" s="18" t="s">
        <v>2187</v>
      </c>
      <c r="Q114" s="37">
        <v>2020</v>
      </c>
      <c r="R114" s="17" t="s">
        <v>2188</v>
      </c>
      <c r="S114" s="37">
        <v>2020</v>
      </c>
      <c r="T114" s="19" t="s">
        <v>17</v>
      </c>
      <c r="U114" s="37">
        <v>2020</v>
      </c>
      <c r="V114" s="19" t="s">
        <v>17</v>
      </c>
      <c r="W114" s="17"/>
    </row>
    <row r="115" spans="1:23" ht="409.6">
      <c r="A115" s="166"/>
      <c r="B115" s="156"/>
      <c r="C115" s="37">
        <v>2021</v>
      </c>
      <c r="D115" s="18" t="s">
        <v>2189</v>
      </c>
      <c r="E115" s="37">
        <v>2021</v>
      </c>
      <c r="F115" s="18" t="s">
        <v>122</v>
      </c>
      <c r="G115" s="37">
        <v>2021</v>
      </c>
      <c r="H115" s="38" t="s">
        <v>17</v>
      </c>
      <c r="I115" s="37">
        <v>2021</v>
      </c>
      <c r="J115" s="38" t="s">
        <v>17</v>
      </c>
      <c r="K115" s="37">
        <v>2021</v>
      </c>
      <c r="L115" s="18" t="s">
        <v>2186</v>
      </c>
      <c r="M115" s="37">
        <v>2021</v>
      </c>
      <c r="N115" s="38" t="s">
        <v>17</v>
      </c>
      <c r="O115" s="37">
        <v>2021</v>
      </c>
      <c r="P115" s="18" t="s">
        <v>125</v>
      </c>
      <c r="Q115" s="37">
        <v>2021</v>
      </c>
      <c r="R115" s="17" t="s">
        <v>2188</v>
      </c>
      <c r="S115" s="37">
        <v>2021</v>
      </c>
      <c r="T115" s="19" t="s">
        <v>17</v>
      </c>
      <c r="U115" s="37">
        <v>2021</v>
      </c>
      <c r="V115" s="19" t="s">
        <v>17</v>
      </c>
      <c r="W115" s="17"/>
    </row>
    <row r="116" spans="1:23" ht="409.6">
      <c r="A116" s="156" t="s">
        <v>2190</v>
      </c>
      <c r="B116" s="156" t="s">
        <v>51</v>
      </c>
      <c r="C116" s="37">
        <v>2018</v>
      </c>
      <c r="D116" s="18" t="s">
        <v>52</v>
      </c>
      <c r="E116" s="37">
        <v>2018</v>
      </c>
      <c r="F116" s="18" t="s">
        <v>17</v>
      </c>
      <c r="G116" s="37">
        <v>2018</v>
      </c>
      <c r="H116" s="38" t="s">
        <v>29</v>
      </c>
      <c r="I116" s="37">
        <v>2018</v>
      </c>
      <c r="J116" s="18" t="s">
        <v>2191</v>
      </c>
      <c r="K116" s="37">
        <v>2018</v>
      </c>
      <c r="L116" s="18" t="s">
        <v>2192</v>
      </c>
      <c r="M116" s="37">
        <v>2018</v>
      </c>
      <c r="N116" s="18" t="s">
        <v>2193</v>
      </c>
      <c r="O116" s="37">
        <v>2018</v>
      </c>
      <c r="P116" s="38" t="s">
        <v>796</v>
      </c>
      <c r="Q116" s="37">
        <v>2018</v>
      </c>
      <c r="R116" s="17" t="s">
        <v>2194</v>
      </c>
      <c r="S116" s="37">
        <v>2018</v>
      </c>
      <c r="T116" s="17" t="s">
        <v>2195</v>
      </c>
      <c r="U116" s="37">
        <v>2018</v>
      </c>
      <c r="V116" s="37" t="s">
        <v>17</v>
      </c>
      <c r="W116" s="17"/>
    </row>
    <row r="117" spans="1:23" ht="409.6">
      <c r="A117" s="156"/>
      <c r="B117" s="156"/>
      <c r="C117" s="37">
        <v>2019</v>
      </c>
      <c r="D117" s="18" t="s">
        <v>52</v>
      </c>
      <c r="E117" s="37">
        <v>2019</v>
      </c>
      <c r="F117" s="18" t="s">
        <v>17</v>
      </c>
      <c r="G117" s="37">
        <v>2019</v>
      </c>
      <c r="H117" s="38" t="s">
        <v>29</v>
      </c>
      <c r="I117" s="37">
        <v>2019</v>
      </c>
      <c r="J117" s="18" t="s">
        <v>2191</v>
      </c>
      <c r="K117" s="37">
        <v>2019</v>
      </c>
      <c r="L117" s="18" t="s">
        <v>2196</v>
      </c>
      <c r="M117" s="37">
        <v>2019</v>
      </c>
      <c r="N117" s="18" t="s">
        <v>2197</v>
      </c>
      <c r="O117" s="37">
        <v>2019</v>
      </c>
      <c r="P117" s="38" t="s">
        <v>56</v>
      </c>
      <c r="Q117" s="37">
        <v>2019</v>
      </c>
      <c r="R117" s="17" t="s">
        <v>2198</v>
      </c>
      <c r="S117" s="37">
        <v>2019</v>
      </c>
      <c r="T117" s="17" t="s">
        <v>2199</v>
      </c>
      <c r="U117" s="37">
        <v>2019</v>
      </c>
      <c r="V117" s="37" t="s">
        <v>17</v>
      </c>
      <c r="W117" s="17"/>
    </row>
    <row r="118" spans="1:23" ht="409.6">
      <c r="A118" s="156"/>
      <c r="B118" s="156"/>
      <c r="C118" s="37">
        <v>2020</v>
      </c>
      <c r="D118" s="18" t="s">
        <v>52</v>
      </c>
      <c r="E118" s="37">
        <v>2020</v>
      </c>
      <c r="F118" s="18" t="s">
        <v>17</v>
      </c>
      <c r="G118" s="37">
        <v>2020</v>
      </c>
      <c r="H118" s="38" t="s">
        <v>29</v>
      </c>
      <c r="I118" s="37">
        <v>2020</v>
      </c>
      <c r="J118" s="18" t="s">
        <v>2200</v>
      </c>
      <c r="K118" s="37">
        <v>2020</v>
      </c>
      <c r="L118" s="18" t="s">
        <v>2201</v>
      </c>
      <c r="M118" s="37">
        <v>2020</v>
      </c>
      <c r="N118" s="18" t="s">
        <v>2202</v>
      </c>
      <c r="O118" s="37">
        <v>2020</v>
      </c>
      <c r="P118" s="38" t="s">
        <v>161</v>
      </c>
      <c r="Q118" s="37">
        <v>2020</v>
      </c>
      <c r="R118" s="17" t="s">
        <v>2203</v>
      </c>
      <c r="S118" s="37">
        <v>2020</v>
      </c>
      <c r="T118" s="17" t="s">
        <v>2204</v>
      </c>
      <c r="U118" s="37">
        <v>2020</v>
      </c>
      <c r="V118" s="37" t="s">
        <v>17</v>
      </c>
      <c r="W118" s="17"/>
    </row>
    <row r="119" spans="1:23" ht="330">
      <c r="A119" s="156"/>
      <c r="B119" s="156"/>
      <c r="C119" s="37">
        <v>2021</v>
      </c>
      <c r="D119" s="18" t="s">
        <v>52</v>
      </c>
      <c r="E119" s="37">
        <v>2021</v>
      </c>
      <c r="F119" s="18" t="s">
        <v>17</v>
      </c>
      <c r="G119" s="37">
        <v>2021</v>
      </c>
      <c r="H119" s="38" t="s">
        <v>17</v>
      </c>
      <c r="I119" s="37">
        <v>2021</v>
      </c>
      <c r="J119" s="18" t="s">
        <v>2205</v>
      </c>
      <c r="K119" s="37">
        <v>2021</v>
      </c>
      <c r="L119" s="18" t="s">
        <v>2206</v>
      </c>
      <c r="M119" s="37">
        <v>2021</v>
      </c>
      <c r="N119" s="18" t="s">
        <v>426</v>
      </c>
      <c r="O119" s="37">
        <v>2021</v>
      </c>
      <c r="P119" s="38" t="s">
        <v>56</v>
      </c>
      <c r="Q119" s="37">
        <v>2021</v>
      </c>
      <c r="R119" s="17" t="s">
        <v>2207</v>
      </c>
      <c r="S119" s="37">
        <v>2021</v>
      </c>
      <c r="T119" s="17" t="s">
        <v>17</v>
      </c>
      <c r="U119" s="37">
        <v>2021</v>
      </c>
      <c r="V119" s="37" t="s">
        <v>17</v>
      </c>
      <c r="W119" s="17"/>
    </row>
    <row r="120" spans="1:23" ht="409.6">
      <c r="A120" s="166" t="s">
        <v>13</v>
      </c>
      <c r="B120" s="156" t="s">
        <v>59</v>
      </c>
      <c r="C120" s="37">
        <v>2018</v>
      </c>
      <c r="D120" s="18" t="s">
        <v>36</v>
      </c>
      <c r="E120" s="37">
        <v>2018</v>
      </c>
      <c r="F120" s="18" t="s">
        <v>17</v>
      </c>
      <c r="G120" s="37">
        <v>2018</v>
      </c>
      <c r="H120" s="38" t="s">
        <v>29</v>
      </c>
      <c r="I120" s="37">
        <v>2018</v>
      </c>
      <c r="J120" s="18" t="s">
        <v>2208</v>
      </c>
      <c r="K120" s="37">
        <v>2018</v>
      </c>
      <c r="L120" s="18" t="s">
        <v>2209</v>
      </c>
      <c r="M120" s="37">
        <v>2018</v>
      </c>
      <c r="N120" s="18" t="s">
        <v>2210</v>
      </c>
      <c r="O120" s="37">
        <v>2018</v>
      </c>
      <c r="P120" s="38" t="s">
        <v>17</v>
      </c>
      <c r="Q120" s="37">
        <v>2018</v>
      </c>
      <c r="R120" s="17" t="s">
        <v>4084</v>
      </c>
      <c r="S120" s="37">
        <v>2018</v>
      </c>
      <c r="T120" s="17" t="s">
        <v>2211</v>
      </c>
      <c r="U120" s="37">
        <v>2018</v>
      </c>
      <c r="V120" s="37" t="s">
        <v>17</v>
      </c>
      <c r="W120" s="17"/>
    </row>
    <row r="121" spans="1:23" ht="345">
      <c r="A121" s="166"/>
      <c r="B121" s="156"/>
      <c r="C121" s="37">
        <v>2019</v>
      </c>
      <c r="D121" s="18" t="s">
        <v>36</v>
      </c>
      <c r="E121" s="37">
        <v>2019</v>
      </c>
      <c r="F121" s="18" t="s">
        <v>17</v>
      </c>
      <c r="G121" s="37">
        <v>2019</v>
      </c>
      <c r="H121" s="38" t="s">
        <v>29</v>
      </c>
      <c r="I121" s="37">
        <v>2019</v>
      </c>
      <c r="J121" s="18" t="s">
        <v>2212</v>
      </c>
      <c r="K121" s="37">
        <v>2019</v>
      </c>
      <c r="L121" s="18" t="s">
        <v>2213</v>
      </c>
      <c r="M121" s="37">
        <v>2019</v>
      </c>
      <c r="N121" s="18" t="s">
        <v>2214</v>
      </c>
      <c r="O121" s="37">
        <v>2019</v>
      </c>
      <c r="P121" s="38" t="s">
        <v>17</v>
      </c>
      <c r="Q121" s="37">
        <v>2019</v>
      </c>
      <c r="R121" s="17" t="s">
        <v>2215</v>
      </c>
      <c r="S121" s="37">
        <v>2019</v>
      </c>
      <c r="T121" s="17" t="s">
        <v>2211</v>
      </c>
      <c r="U121" s="37">
        <v>2019</v>
      </c>
      <c r="V121" s="37" t="s">
        <v>17</v>
      </c>
      <c r="W121" s="17"/>
    </row>
    <row r="122" spans="1:23" ht="300">
      <c r="A122" s="166"/>
      <c r="B122" s="156"/>
      <c r="C122" s="37">
        <v>2020</v>
      </c>
      <c r="D122" s="18" t="s">
        <v>36</v>
      </c>
      <c r="E122" s="37">
        <v>2020</v>
      </c>
      <c r="F122" s="18" t="s">
        <v>17</v>
      </c>
      <c r="G122" s="37">
        <v>2020</v>
      </c>
      <c r="H122" s="38" t="s">
        <v>88</v>
      </c>
      <c r="I122" s="37">
        <v>2020</v>
      </c>
      <c r="J122" s="18" t="s">
        <v>17</v>
      </c>
      <c r="K122" s="37">
        <v>2020</v>
      </c>
      <c r="L122" s="18" t="s">
        <v>2216</v>
      </c>
      <c r="M122" s="37">
        <v>2020</v>
      </c>
      <c r="N122" s="18" t="s">
        <v>2217</v>
      </c>
      <c r="O122" s="37">
        <v>2020</v>
      </c>
      <c r="P122" s="38" t="s">
        <v>17</v>
      </c>
      <c r="Q122" s="37">
        <v>2020</v>
      </c>
      <c r="R122" s="19" t="s">
        <v>2218</v>
      </c>
      <c r="S122" s="37">
        <v>2020</v>
      </c>
      <c r="T122" s="19" t="s">
        <v>17</v>
      </c>
      <c r="U122" s="37">
        <v>2020</v>
      </c>
      <c r="V122" s="37" t="s">
        <v>1948</v>
      </c>
      <c r="W122" s="17"/>
    </row>
    <row r="123" spans="1:23" ht="255">
      <c r="A123" s="166"/>
      <c r="B123" s="156"/>
      <c r="C123" s="37">
        <v>2021</v>
      </c>
      <c r="D123" s="18" t="s">
        <v>2219</v>
      </c>
      <c r="E123" s="37">
        <v>2021</v>
      </c>
      <c r="F123" s="18" t="s">
        <v>17</v>
      </c>
      <c r="G123" s="37">
        <v>2021</v>
      </c>
      <c r="H123" s="38" t="s">
        <v>88</v>
      </c>
      <c r="I123" s="37">
        <v>2021</v>
      </c>
      <c r="J123" s="18" t="s">
        <v>17</v>
      </c>
      <c r="K123" s="37">
        <v>2021</v>
      </c>
      <c r="L123" s="18" t="s">
        <v>2216</v>
      </c>
      <c r="M123" s="37">
        <v>2021</v>
      </c>
      <c r="N123" s="18" t="s">
        <v>2220</v>
      </c>
      <c r="O123" s="37">
        <v>2021</v>
      </c>
      <c r="P123" s="38" t="s">
        <v>17</v>
      </c>
      <c r="Q123" s="37">
        <v>2021</v>
      </c>
      <c r="R123" s="19" t="s">
        <v>2221</v>
      </c>
      <c r="S123" s="37">
        <v>2021</v>
      </c>
      <c r="T123" s="19" t="s">
        <v>17</v>
      </c>
      <c r="U123" s="37">
        <v>2021</v>
      </c>
      <c r="V123" s="37" t="s">
        <v>17</v>
      </c>
      <c r="W123" s="17"/>
    </row>
    <row r="124" spans="1:23">
      <c r="A124" s="166" t="s">
        <v>58</v>
      </c>
      <c r="B124" s="156" t="s">
        <v>267</v>
      </c>
      <c r="C124" s="37">
        <v>2018</v>
      </c>
      <c r="D124" s="38" t="s">
        <v>1957</v>
      </c>
      <c r="E124" s="37">
        <v>2018</v>
      </c>
      <c r="F124" s="38"/>
      <c r="G124" s="37">
        <v>2018</v>
      </c>
      <c r="H124" s="38"/>
      <c r="I124" s="37">
        <v>2018</v>
      </c>
      <c r="J124" s="38"/>
      <c r="K124" s="37">
        <v>2018</v>
      </c>
      <c r="L124" s="38"/>
      <c r="M124" s="37">
        <v>2018</v>
      </c>
      <c r="N124" s="38"/>
      <c r="O124" s="37">
        <v>2018</v>
      </c>
      <c r="P124" s="38"/>
      <c r="Q124" s="37">
        <v>2018</v>
      </c>
      <c r="R124" s="39"/>
      <c r="S124" s="37">
        <v>2018</v>
      </c>
      <c r="T124" s="39"/>
      <c r="U124" s="37">
        <v>2018</v>
      </c>
      <c r="V124" s="39"/>
      <c r="W124" s="17"/>
    </row>
    <row r="125" spans="1:23">
      <c r="A125" s="166"/>
      <c r="B125" s="156"/>
      <c r="C125" s="37">
        <v>2019</v>
      </c>
      <c r="D125" s="38" t="s">
        <v>1957</v>
      </c>
      <c r="E125" s="37">
        <v>2019</v>
      </c>
      <c r="F125" s="38"/>
      <c r="G125" s="37">
        <v>2019</v>
      </c>
      <c r="H125" s="38"/>
      <c r="I125" s="37">
        <v>2019</v>
      </c>
      <c r="J125" s="38"/>
      <c r="K125" s="37">
        <v>2019</v>
      </c>
      <c r="L125" s="38"/>
      <c r="M125" s="37">
        <v>2019</v>
      </c>
      <c r="N125" s="38"/>
      <c r="O125" s="37">
        <v>2019</v>
      </c>
      <c r="P125" s="38"/>
      <c r="Q125" s="37">
        <v>2019</v>
      </c>
      <c r="R125" s="39"/>
      <c r="S125" s="37">
        <v>2019</v>
      </c>
      <c r="T125" s="39"/>
      <c r="U125" s="37">
        <v>2019</v>
      </c>
      <c r="V125" s="39"/>
      <c r="W125" s="17"/>
    </row>
    <row r="126" spans="1:23" ht="409.6">
      <c r="A126" s="166"/>
      <c r="B126" s="156"/>
      <c r="C126" s="37">
        <v>2020</v>
      </c>
      <c r="D126" s="18" t="s">
        <v>36</v>
      </c>
      <c r="E126" s="37">
        <v>2020</v>
      </c>
      <c r="F126" s="18" t="s">
        <v>60</v>
      </c>
      <c r="G126" s="37">
        <v>2020</v>
      </c>
      <c r="H126" s="38" t="s">
        <v>29</v>
      </c>
      <c r="I126" s="37">
        <v>2020</v>
      </c>
      <c r="J126" s="18" t="s">
        <v>2222</v>
      </c>
      <c r="K126" s="37">
        <v>2020</v>
      </c>
      <c r="L126" s="18" t="s">
        <v>2223</v>
      </c>
      <c r="M126" s="37">
        <v>2020</v>
      </c>
      <c r="N126" s="18" t="s">
        <v>2224</v>
      </c>
      <c r="O126" s="37">
        <v>2020</v>
      </c>
      <c r="P126" s="38" t="s">
        <v>17</v>
      </c>
      <c r="Q126" s="37">
        <v>2020</v>
      </c>
      <c r="R126" s="17" t="s">
        <v>2225</v>
      </c>
      <c r="S126" s="37">
        <v>2020</v>
      </c>
      <c r="T126" s="18" t="s">
        <v>2226</v>
      </c>
      <c r="U126" s="37">
        <v>2020</v>
      </c>
      <c r="V126" s="17" t="s">
        <v>1701</v>
      </c>
      <c r="W126" s="17"/>
    </row>
    <row r="127" spans="1:23" ht="409.6">
      <c r="A127" s="166"/>
      <c r="B127" s="156"/>
      <c r="C127" s="37">
        <v>2021</v>
      </c>
      <c r="D127" s="18" t="s">
        <v>268</v>
      </c>
      <c r="E127" s="37">
        <v>2021</v>
      </c>
      <c r="F127" s="18" t="s">
        <v>269</v>
      </c>
      <c r="G127" s="37">
        <v>2021</v>
      </c>
      <c r="H127" s="38" t="s">
        <v>17</v>
      </c>
      <c r="I127" s="37">
        <v>2021</v>
      </c>
      <c r="J127" s="18" t="s">
        <v>2227</v>
      </c>
      <c r="K127" s="37">
        <v>2021</v>
      </c>
      <c r="L127" s="18" t="s">
        <v>2228</v>
      </c>
      <c r="M127" s="37">
        <v>2021</v>
      </c>
      <c r="N127" s="18" t="s">
        <v>2229</v>
      </c>
      <c r="O127" s="37">
        <v>2021</v>
      </c>
      <c r="P127" s="38" t="s">
        <v>17</v>
      </c>
      <c r="Q127" s="37">
        <v>2021</v>
      </c>
      <c r="R127" s="17" t="s">
        <v>2230</v>
      </c>
      <c r="S127" s="37">
        <v>2021</v>
      </c>
      <c r="T127" s="18" t="s">
        <v>1948</v>
      </c>
      <c r="U127" s="37">
        <v>2021</v>
      </c>
      <c r="V127" s="17" t="s">
        <v>1701</v>
      </c>
      <c r="W127" s="17"/>
    </row>
    <row r="128" spans="1:23" ht="409.6">
      <c r="A128" s="166" t="s">
        <v>2231</v>
      </c>
      <c r="B128" s="156" t="s">
        <v>1981</v>
      </c>
      <c r="C128" s="37">
        <v>2018</v>
      </c>
      <c r="D128" s="18" t="s">
        <v>36</v>
      </c>
      <c r="E128" s="37">
        <v>2018</v>
      </c>
      <c r="F128" s="18" t="s">
        <v>60</v>
      </c>
      <c r="G128" s="37">
        <v>2018</v>
      </c>
      <c r="H128" s="38" t="s">
        <v>29</v>
      </c>
      <c r="I128" s="37">
        <v>2018</v>
      </c>
      <c r="J128" s="38" t="s">
        <v>17</v>
      </c>
      <c r="K128" s="37">
        <v>2018</v>
      </c>
      <c r="L128" s="18" t="s">
        <v>2232</v>
      </c>
      <c r="M128" s="37">
        <v>2018</v>
      </c>
      <c r="N128" s="18" t="s">
        <v>17</v>
      </c>
      <c r="O128" s="37">
        <v>2018</v>
      </c>
      <c r="P128" s="38" t="s">
        <v>17</v>
      </c>
      <c r="Q128" s="37">
        <v>2018</v>
      </c>
      <c r="R128" s="17" t="s">
        <v>2233</v>
      </c>
      <c r="S128" s="37">
        <v>2018</v>
      </c>
      <c r="T128" s="17" t="s">
        <v>2234</v>
      </c>
      <c r="U128" s="37">
        <v>2018</v>
      </c>
      <c r="V128" s="37" t="s">
        <v>17</v>
      </c>
      <c r="W128" s="17"/>
    </row>
    <row r="129" spans="1:23" ht="409.6">
      <c r="A129" s="166"/>
      <c r="B129" s="156"/>
      <c r="C129" s="37">
        <v>2019</v>
      </c>
      <c r="D129" s="18" t="s">
        <v>36</v>
      </c>
      <c r="E129" s="37">
        <v>2019</v>
      </c>
      <c r="F129" s="18" t="s">
        <v>60</v>
      </c>
      <c r="G129" s="37">
        <v>2019</v>
      </c>
      <c r="H129" s="38" t="s">
        <v>29</v>
      </c>
      <c r="I129" s="37">
        <v>2019</v>
      </c>
      <c r="J129" s="38" t="s">
        <v>17</v>
      </c>
      <c r="K129" s="37">
        <v>2019</v>
      </c>
      <c r="L129" s="18" t="s">
        <v>2235</v>
      </c>
      <c r="M129" s="37">
        <v>2019</v>
      </c>
      <c r="N129" s="18" t="s">
        <v>2236</v>
      </c>
      <c r="O129" s="37">
        <v>2019</v>
      </c>
      <c r="P129" s="38" t="s">
        <v>17</v>
      </c>
      <c r="Q129" s="37">
        <v>2019</v>
      </c>
      <c r="R129" s="17" t="s">
        <v>2237</v>
      </c>
      <c r="S129" s="37">
        <v>2019</v>
      </c>
      <c r="T129" s="17" t="s">
        <v>2238</v>
      </c>
      <c r="U129" s="37">
        <v>2019</v>
      </c>
      <c r="V129" s="37" t="s">
        <v>17</v>
      </c>
      <c r="W129" s="17"/>
    </row>
    <row r="130" spans="1:23" ht="409.6">
      <c r="A130" s="166"/>
      <c r="B130" s="156"/>
      <c r="C130" s="37">
        <v>2020</v>
      </c>
      <c r="D130" s="18" t="s">
        <v>36</v>
      </c>
      <c r="E130" s="37">
        <v>2020</v>
      </c>
      <c r="F130" s="18" t="s">
        <v>60</v>
      </c>
      <c r="G130" s="37">
        <v>2020</v>
      </c>
      <c r="H130" s="38" t="s">
        <v>17</v>
      </c>
      <c r="I130" s="37">
        <v>2020</v>
      </c>
      <c r="J130" s="38" t="s">
        <v>17</v>
      </c>
      <c r="K130" s="37">
        <v>2020</v>
      </c>
      <c r="L130" s="18" t="s">
        <v>2239</v>
      </c>
      <c r="M130" s="37">
        <v>2020</v>
      </c>
      <c r="N130" s="18" t="s">
        <v>2240</v>
      </c>
      <c r="O130" s="37">
        <v>2020</v>
      </c>
      <c r="P130" s="38" t="s">
        <v>17</v>
      </c>
      <c r="Q130" s="37">
        <v>2020</v>
      </c>
      <c r="R130" s="17" t="s">
        <v>2241</v>
      </c>
      <c r="S130" s="37">
        <v>2020</v>
      </c>
      <c r="T130" s="37" t="s">
        <v>17</v>
      </c>
      <c r="U130" s="37">
        <v>2020</v>
      </c>
      <c r="V130" s="37" t="s">
        <v>17</v>
      </c>
      <c r="W130" s="17"/>
    </row>
    <row r="131" spans="1:23" ht="409.6">
      <c r="A131" s="166"/>
      <c r="B131" s="156"/>
      <c r="C131" s="37">
        <v>2021</v>
      </c>
      <c r="D131" s="18" t="s">
        <v>2242</v>
      </c>
      <c r="E131" s="37">
        <v>2021</v>
      </c>
      <c r="F131" s="18" t="s">
        <v>1026</v>
      </c>
      <c r="G131" s="37">
        <v>2021</v>
      </c>
      <c r="H131" s="38" t="s">
        <v>17</v>
      </c>
      <c r="I131" s="37">
        <v>2021</v>
      </c>
      <c r="J131" s="38" t="s">
        <v>17</v>
      </c>
      <c r="K131" s="37">
        <v>2021</v>
      </c>
      <c r="L131" s="18" t="s">
        <v>2243</v>
      </c>
      <c r="M131" s="37">
        <v>2021</v>
      </c>
      <c r="N131" s="18" t="s">
        <v>2244</v>
      </c>
      <c r="O131" s="37">
        <v>2021</v>
      </c>
      <c r="P131" s="38" t="s">
        <v>17</v>
      </c>
      <c r="Q131" s="37">
        <v>2021</v>
      </c>
      <c r="R131" s="17" t="s">
        <v>2245</v>
      </c>
      <c r="S131" s="37">
        <v>2021</v>
      </c>
      <c r="T131" s="37" t="s">
        <v>2246</v>
      </c>
      <c r="U131" s="37">
        <v>2021</v>
      </c>
      <c r="V131" s="37" t="s">
        <v>17</v>
      </c>
      <c r="W131" s="17"/>
    </row>
    <row r="132" spans="1:23" ht="409.6">
      <c r="A132" s="166" t="s">
        <v>439</v>
      </c>
      <c r="B132" s="156" t="s">
        <v>35</v>
      </c>
      <c r="C132" s="37">
        <v>2018</v>
      </c>
      <c r="D132" s="18" t="s">
        <v>2247</v>
      </c>
      <c r="E132" s="37">
        <v>2018</v>
      </c>
      <c r="F132" s="18" t="s">
        <v>2248</v>
      </c>
      <c r="G132" s="37">
        <v>2018</v>
      </c>
      <c r="H132" s="38" t="s">
        <v>29</v>
      </c>
      <c r="I132" s="37">
        <v>2018</v>
      </c>
      <c r="J132" s="38" t="s">
        <v>17</v>
      </c>
      <c r="K132" s="37">
        <v>2018</v>
      </c>
      <c r="L132" s="18" t="s">
        <v>2249</v>
      </c>
      <c r="M132" s="37">
        <v>2018</v>
      </c>
      <c r="N132" s="38" t="s">
        <v>17</v>
      </c>
      <c r="O132" s="37">
        <v>2018</v>
      </c>
      <c r="P132" s="38" t="s">
        <v>17</v>
      </c>
      <c r="Q132" s="37">
        <v>2018</v>
      </c>
      <c r="R132" s="17" t="s">
        <v>2250</v>
      </c>
      <c r="S132" s="37">
        <v>2018</v>
      </c>
      <c r="T132" s="37" t="s">
        <v>17</v>
      </c>
      <c r="U132" s="37">
        <v>2018</v>
      </c>
      <c r="V132" s="17" t="s">
        <v>2251</v>
      </c>
      <c r="W132" s="17"/>
    </row>
    <row r="133" spans="1:23" ht="409.6">
      <c r="A133" s="166"/>
      <c r="B133" s="156"/>
      <c r="C133" s="37">
        <v>2019</v>
      </c>
      <c r="D133" s="18" t="s">
        <v>2247</v>
      </c>
      <c r="E133" s="37">
        <v>2019</v>
      </c>
      <c r="F133" s="18" t="s">
        <v>2252</v>
      </c>
      <c r="G133" s="37">
        <v>2019</v>
      </c>
      <c r="H133" s="38" t="s">
        <v>29</v>
      </c>
      <c r="I133" s="37">
        <v>2019</v>
      </c>
      <c r="J133" s="38" t="s">
        <v>17</v>
      </c>
      <c r="K133" s="37">
        <v>2019</v>
      </c>
      <c r="L133" s="18" t="s">
        <v>2253</v>
      </c>
      <c r="M133" s="37">
        <v>2019</v>
      </c>
      <c r="N133" s="18" t="s">
        <v>2254</v>
      </c>
      <c r="O133" s="37">
        <v>2019</v>
      </c>
      <c r="P133" s="38" t="s">
        <v>17</v>
      </c>
      <c r="Q133" s="37">
        <v>2019</v>
      </c>
      <c r="R133" s="17" t="s">
        <v>2255</v>
      </c>
      <c r="S133" s="37">
        <v>2019</v>
      </c>
      <c r="T133" s="37" t="s">
        <v>17</v>
      </c>
      <c r="U133" s="37">
        <v>2019</v>
      </c>
      <c r="V133" s="17" t="s">
        <v>2256</v>
      </c>
      <c r="W133" s="17"/>
    </row>
    <row r="134" spans="1:23" ht="409.6">
      <c r="A134" s="166"/>
      <c r="B134" s="156"/>
      <c r="C134" s="37">
        <v>2020</v>
      </c>
      <c r="D134" s="18" t="s">
        <v>2247</v>
      </c>
      <c r="E134" s="37">
        <v>2020</v>
      </c>
      <c r="F134" s="18" t="s">
        <v>2257</v>
      </c>
      <c r="G134" s="37">
        <v>2020</v>
      </c>
      <c r="H134" s="38" t="s">
        <v>17</v>
      </c>
      <c r="I134" s="37">
        <v>2020</v>
      </c>
      <c r="J134" s="38" t="s">
        <v>17</v>
      </c>
      <c r="K134" s="37">
        <v>2020</v>
      </c>
      <c r="L134" s="18" t="s">
        <v>2258</v>
      </c>
      <c r="M134" s="37">
        <v>2020</v>
      </c>
      <c r="N134" s="38" t="s">
        <v>17</v>
      </c>
      <c r="O134" s="37">
        <v>2020</v>
      </c>
      <c r="P134" s="38" t="s">
        <v>17</v>
      </c>
      <c r="Q134" s="37">
        <v>2020</v>
      </c>
      <c r="R134" s="17" t="s">
        <v>2259</v>
      </c>
      <c r="S134" s="37">
        <v>2020</v>
      </c>
      <c r="T134" s="37" t="s">
        <v>17</v>
      </c>
      <c r="U134" s="37">
        <v>2020</v>
      </c>
      <c r="V134" s="17" t="s">
        <v>2260</v>
      </c>
      <c r="W134" s="17"/>
    </row>
    <row r="135" spans="1:23" ht="409.6">
      <c r="A135" s="166"/>
      <c r="B135" s="156"/>
      <c r="C135" s="37">
        <v>2021</v>
      </c>
      <c r="D135" s="18" t="s">
        <v>2247</v>
      </c>
      <c r="E135" s="37">
        <v>2021</v>
      </c>
      <c r="F135" s="18" t="s">
        <v>2248</v>
      </c>
      <c r="G135" s="37">
        <v>2021</v>
      </c>
      <c r="H135" s="38" t="s">
        <v>17</v>
      </c>
      <c r="I135" s="37">
        <v>2021</v>
      </c>
      <c r="J135" s="38" t="s">
        <v>17</v>
      </c>
      <c r="K135" s="37">
        <v>2021</v>
      </c>
      <c r="L135" s="18" t="s">
        <v>2261</v>
      </c>
      <c r="M135" s="37">
        <v>2021</v>
      </c>
      <c r="N135" s="38" t="s">
        <v>2262</v>
      </c>
      <c r="O135" s="37">
        <v>2021</v>
      </c>
      <c r="P135" s="38" t="s">
        <v>17</v>
      </c>
      <c r="Q135" s="37">
        <v>2021</v>
      </c>
      <c r="R135" s="17" t="s">
        <v>2263</v>
      </c>
      <c r="S135" s="37">
        <v>2021</v>
      </c>
      <c r="T135" s="37" t="s">
        <v>17</v>
      </c>
      <c r="U135" s="37">
        <v>2021</v>
      </c>
      <c r="V135" s="17" t="s">
        <v>2264</v>
      </c>
      <c r="W135" s="17"/>
    </row>
    <row r="136" spans="1:23" ht="409.6">
      <c r="A136" s="166" t="s">
        <v>2146</v>
      </c>
      <c r="B136" s="156" t="s">
        <v>2265</v>
      </c>
      <c r="C136" s="37">
        <v>2018</v>
      </c>
      <c r="D136" s="18" t="s">
        <v>2266</v>
      </c>
      <c r="E136" s="37">
        <v>2018</v>
      </c>
      <c r="F136" s="18" t="s">
        <v>2267</v>
      </c>
      <c r="G136" s="37">
        <v>2018</v>
      </c>
      <c r="H136" s="38" t="s">
        <v>29</v>
      </c>
      <c r="I136" s="37">
        <v>2018</v>
      </c>
      <c r="J136" s="18" t="s">
        <v>2268</v>
      </c>
      <c r="K136" s="37">
        <v>2018</v>
      </c>
      <c r="L136" s="18" t="s">
        <v>2269</v>
      </c>
      <c r="M136" s="37">
        <v>2018</v>
      </c>
      <c r="N136" s="18" t="s">
        <v>2270</v>
      </c>
      <c r="O136" s="37">
        <v>2018</v>
      </c>
      <c r="P136" s="38" t="s">
        <v>756</v>
      </c>
      <c r="Q136" s="37">
        <v>2018</v>
      </c>
      <c r="R136" s="19" t="s">
        <v>17</v>
      </c>
      <c r="S136" s="37">
        <v>2018</v>
      </c>
      <c r="T136" s="18" t="s">
        <v>2271</v>
      </c>
      <c r="U136" s="37">
        <v>2018</v>
      </c>
      <c r="V136" s="19" t="s">
        <v>17</v>
      </c>
      <c r="W136" s="17"/>
    </row>
    <row r="137" spans="1:23" ht="409.6">
      <c r="A137" s="166"/>
      <c r="B137" s="156"/>
      <c r="C137" s="37">
        <v>2019</v>
      </c>
      <c r="D137" s="18" t="s">
        <v>2266</v>
      </c>
      <c r="E137" s="37">
        <v>2019</v>
      </c>
      <c r="F137" s="18" t="s">
        <v>2267</v>
      </c>
      <c r="G137" s="37">
        <v>2019</v>
      </c>
      <c r="H137" s="38" t="s">
        <v>29</v>
      </c>
      <c r="I137" s="37">
        <v>2019</v>
      </c>
      <c r="J137" s="18" t="s">
        <v>2268</v>
      </c>
      <c r="K137" s="37">
        <v>2019</v>
      </c>
      <c r="L137" s="18" t="s">
        <v>2272</v>
      </c>
      <c r="M137" s="37">
        <v>2019</v>
      </c>
      <c r="N137" s="18" t="s">
        <v>2273</v>
      </c>
      <c r="O137" s="37">
        <v>2019</v>
      </c>
      <c r="P137" s="38" t="s">
        <v>756</v>
      </c>
      <c r="Q137" s="37">
        <v>2019</v>
      </c>
      <c r="R137" s="19" t="s">
        <v>17</v>
      </c>
      <c r="S137" s="37">
        <v>2019</v>
      </c>
      <c r="T137" s="17" t="s">
        <v>2271</v>
      </c>
      <c r="U137" s="37">
        <v>2019</v>
      </c>
      <c r="V137" s="19" t="s">
        <v>17</v>
      </c>
      <c r="W137" s="17"/>
    </row>
    <row r="138" spans="1:23" ht="345">
      <c r="A138" s="166"/>
      <c r="B138" s="156"/>
      <c r="C138" s="37">
        <v>2021</v>
      </c>
      <c r="D138" s="38" t="s">
        <v>2274</v>
      </c>
      <c r="E138" s="37">
        <v>2021</v>
      </c>
      <c r="F138" s="38" t="s">
        <v>2275</v>
      </c>
      <c r="G138" s="37">
        <v>2021</v>
      </c>
      <c r="H138" s="38" t="s">
        <v>29</v>
      </c>
      <c r="I138" s="37">
        <v>2021</v>
      </c>
      <c r="J138" s="18" t="s">
        <v>2276</v>
      </c>
      <c r="K138" s="37">
        <v>2021</v>
      </c>
      <c r="L138" s="40" t="s">
        <v>2277</v>
      </c>
      <c r="M138" s="37">
        <v>2021</v>
      </c>
      <c r="N138" s="40" t="s">
        <v>2278</v>
      </c>
      <c r="O138" s="37">
        <v>2021</v>
      </c>
      <c r="P138" s="38" t="s">
        <v>17</v>
      </c>
      <c r="Q138" s="37">
        <v>2021</v>
      </c>
      <c r="R138" s="17" t="s">
        <v>2279</v>
      </c>
      <c r="S138" s="37">
        <v>2021</v>
      </c>
      <c r="T138" s="40" t="s">
        <v>2280</v>
      </c>
      <c r="U138" s="37">
        <v>2021</v>
      </c>
      <c r="V138" s="39" t="s">
        <v>2281</v>
      </c>
      <c r="W138" s="17"/>
    </row>
    <row r="139" spans="1:23">
      <c r="A139" s="166" t="s">
        <v>455</v>
      </c>
      <c r="B139" s="156" t="s">
        <v>35</v>
      </c>
      <c r="C139" s="37">
        <v>2018</v>
      </c>
      <c r="D139" s="38" t="s">
        <v>2282</v>
      </c>
      <c r="E139" s="37">
        <v>2018</v>
      </c>
      <c r="F139" s="38"/>
      <c r="G139" s="37">
        <v>2018</v>
      </c>
      <c r="H139" s="38"/>
      <c r="I139" s="37">
        <v>2018</v>
      </c>
      <c r="J139" s="38"/>
      <c r="K139" s="37">
        <v>2018</v>
      </c>
      <c r="L139" s="38"/>
      <c r="M139" s="37">
        <v>2018</v>
      </c>
      <c r="N139" s="38"/>
      <c r="O139" s="37">
        <v>2018</v>
      </c>
      <c r="P139" s="38"/>
      <c r="Q139" s="37">
        <v>2018</v>
      </c>
      <c r="R139" s="39"/>
      <c r="S139" s="37">
        <v>2018</v>
      </c>
      <c r="T139" s="39"/>
      <c r="U139" s="37">
        <v>2018</v>
      </c>
      <c r="V139" s="39"/>
      <c r="W139" s="17"/>
    </row>
    <row r="140" spans="1:23" ht="409.6">
      <c r="A140" s="166"/>
      <c r="B140" s="156"/>
      <c r="C140" s="37">
        <v>2019</v>
      </c>
      <c r="D140" s="18" t="s">
        <v>2283</v>
      </c>
      <c r="E140" s="37">
        <v>2019</v>
      </c>
      <c r="F140" s="18" t="s">
        <v>458</v>
      </c>
      <c r="G140" s="37">
        <v>2019</v>
      </c>
      <c r="H140" s="38" t="s">
        <v>29</v>
      </c>
      <c r="I140" s="37">
        <v>2019</v>
      </c>
      <c r="J140" s="18" t="s">
        <v>2284</v>
      </c>
      <c r="K140" s="37">
        <v>2019</v>
      </c>
      <c r="L140" s="18" t="s">
        <v>2285</v>
      </c>
      <c r="M140" s="37">
        <v>2019</v>
      </c>
      <c r="N140" s="18" t="s">
        <v>2286</v>
      </c>
      <c r="O140" s="37">
        <v>2019</v>
      </c>
      <c r="P140" s="38" t="s">
        <v>161</v>
      </c>
      <c r="Q140" s="37">
        <v>2019</v>
      </c>
      <c r="R140" s="17" t="s">
        <v>2287</v>
      </c>
      <c r="S140" s="37">
        <v>2019</v>
      </c>
      <c r="T140" s="17" t="s">
        <v>2288</v>
      </c>
      <c r="U140" s="37">
        <v>2019</v>
      </c>
      <c r="V140" s="17" t="s">
        <v>2289</v>
      </c>
      <c r="W140" s="17"/>
    </row>
    <row r="141" spans="1:23" ht="409.6">
      <c r="A141" s="166"/>
      <c r="B141" s="156"/>
      <c r="C141" s="37">
        <v>2020</v>
      </c>
      <c r="D141" s="18" t="s">
        <v>2290</v>
      </c>
      <c r="E141" s="37">
        <v>2020</v>
      </c>
      <c r="F141" s="18" t="s">
        <v>2291</v>
      </c>
      <c r="G141" s="37">
        <v>2020</v>
      </c>
      <c r="H141" s="38" t="s">
        <v>88</v>
      </c>
      <c r="I141" s="37">
        <v>2020</v>
      </c>
      <c r="J141" s="18" t="s">
        <v>2292</v>
      </c>
      <c r="K141" s="37">
        <v>2020</v>
      </c>
      <c r="L141" s="18" t="s">
        <v>2293</v>
      </c>
      <c r="M141" s="37">
        <v>2020</v>
      </c>
      <c r="N141" s="18" t="s">
        <v>2294</v>
      </c>
      <c r="O141" s="37">
        <v>2020</v>
      </c>
      <c r="P141" s="38" t="s">
        <v>512</v>
      </c>
      <c r="Q141" s="37">
        <v>2020</v>
      </c>
      <c r="R141" s="17" t="s">
        <v>2295</v>
      </c>
      <c r="S141" s="37">
        <v>2020</v>
      </c>
      <c r="T141" s="37" t="s">
        <v>17</v>
      </c>
      <c r="U141" s="37">
        <v>2020</v>
      </c>
      <c r="V141" s="17" t="s">
        <v>2296</v>
      </c>
      <c r="W141" s="17"/>
    </row>
    <row r="142" spans="1:23" ht="409.6">
      <c r="A142" s="166"/>
      <c r="B142" s="156"/>
      <c r="C142" s="37">
        <v>2021</v>
      </c>
      <c r="D142" s="18" t="s">
        <v>486</v>
      </c>
      <c r="E142" s="37">
        <v>2021</v>
      </c>
      <c r="F142" s="18" t="s">
        <v>17</v>
      </c>
      <c r="G142" s="37">
        <v>2021</v>
      </c>
      <c r="H142" s="38" t="s">
        <v>88</v>
      </c>
      <c r="I142" s="37">
        <v>2021</v>
      </c>
      <c r="J142" s="18" t="s">
        <v>2292</v>
      </c>
      <c r="K142" s="37">
        <v>2021</v>
      </c>
      <c r="L142" s="18" t="s">
        <v>2297</v>
      </c>
      <c r="M142" s="37">
        <v>2021</v>
      </c>
      <c r="N142" s="18" t="s">
        <v>866</v>
      </c>
      <c r="O142" s="37">
        <v>2021</v>
      </c>
      <c r="P142" s="38" t="s">
        <v>63</v>
      </c>
      <c r="Q142" s="37">
        <v>2021</v>
      </c>
      <c r="R142" s="17" t="s">
        <v>2298</v>
      </c>
      <c r="S142" s="37">
        <v>2021</v>
      </c>
      <c r="T142" s="37" t="s">
        <v>17</v>
      </c>
      <c r="U142" s="37">
        <v>2021</v>
      </c>
      <c r="V142" s="17" t="s">
        <v>2299</v>
      </c>
      <c r="W142" s="17"/>
    </row>
    <row r="143" spans="1:23" ht="409.6">
      <c r="A143" s="156" t="s">
        <v>760</v>
      </c>
      <c r="B143" s="156" t="s">
        <v>2300</v>
      </c>
      <c r="C143" s="37">
        <v>2018</v>
      </c>
      <c r="D143" s="18" t="s">
        <v>2301</v>
      </c>
      <c r="E143" s="37">
        <v>2018</v>
      </c>
      <c r="F143" s="18" t="s">
        <v>16</v>
      </c>
      <c r="G143" s="37">
        <v>2018</v>
      </c>
      <c r="H143" s="38" t="s">
        <v>29</v>
      </c>
      <c r="I143" s="37">
        <v>2018</v>
      </c>
      <c r="J143" s="18" t="s">
        <v>2302</v>
      </c>
      <c r="K143" s="37">
        <v>2018</v>
      </c>
      <c r="L143" s="18" t="s">
        <v>2303</v>
      </c>
      <c r="M143" s="37">
        <v>2018</v>
      </c>
      <c r="N143" s="18" t="s">
        <v>2304</v>
      </c>
      <c r="O143" s="37">
        <v>2018</v>
      </c>
      <c r="P143" s="18" t="s">
        <v>756</v>
      </c>
      <c r="Q143" s="37">
        <v>2018</v>
      </c>
      <c r="R143" s="17" t="s">
        <v>2305</v>
      </c>
      <c r="S143" s="37">
        <v>2018</v>
      </c>
      <c r="T143" s="17" t="s">
        <v>2306</v>
      </c>
      <c r="U143" s="37">
        <v>2018</v>
      </c>
      <c r="V143" s="17" t="s">
        <v>2307</v>
      </c>
      <c r="W143" s="17"/>
    </row>
    <row r="144" spans="1:23" ht="409.6">
      <c r="A144" s="156"/>
      <c r="B144" s="156"/>
      <c r="C144" s="37">
        <v>2019</v>
      </c>
      <c r="D144" s="18" t="s">
        <v>2301</v>
      </c>
      <c r="E144" s="37">
        <v>2019</v>
      </c>
      <c r="F144" s="18" t="s">
        <v>16</v>
      </c>
      <c r="G144" s="37">
        <v>2019</v>
      </c>
      <c r="H144" s="38" t="s">
        <v>29</v>
      </c>
      <c r="I144" s="37">
        <v>2019</v>
      </c>
      <c r="J144" s="18" t="s">
        <v>2302</v>
      </c>
      <c r="K144" s="37">
        <v>2019</v>
      </c>
      <c r="L144" s="18" t="s">
        <v>2308</v>
      </c>
      <c r="M144" s="37">
        <v>2019</v>
      </c>
      <c r="N144" s="18" t="s">
        <v>2309</v>
      </c>
      <c r="O144" s="37">
        <v>2019</v>
      </c>
      <c r="P144" s="18" t="s">
        <v>756</v>
      </c>
      <c r="Q144" s="37">
        <v>2019</v>
      </c>
      <c r="R144" s="17" t="s">
        <v>4085</v>
      </c>
      <c r="S144" s="37">
        <v>2019</v>
      </c>
      <c r="T144" s="17" t="s">
        <v>2306</v>
      </c>
      <c r="U144" s="37">
        <v>2019</v>
      </c>
      <c r="V144" s="17" t="s">
        <v>2310</v>
      </c>
      <c r="W144" s="17"/>
    </row>
    <row r="145" spans="1:23" ht="409.6">
      <c r="A145" s="156"/>
      <c r="B145" s="156"/>
      <c r="C145" s="37">
        <v>2020</v>
      </c>
      <c r="D145" s="18" t="s">
        <v>2311</v>
      </c>
      <c r="E145" s="37">
        <v>2020</v>
      </c>
      <c r="F145" s="18" t="s">
        <v>16</v>
      </c>
      <c r="G145" s="37">
        <v>2020</v>
      </c>
      <c r="H145" s="38" t="s">
        <v>88</v>
      </c>
      <c r="I145" s="37">
        <v>2020</v>
      </c>
      <c r="J145" s="18" t="s">
        <v>2312</v>
      </c>
      <c r="K145" s="37">
        <v>2020</v>
      </c>
      <c r="L145" s="18" t="s">
        <v>2313</v>
      </c>
      <c r="M145" s="37">
        <v>2020</v>
      </c>
      <c r="N145" s="38" t="s">
        <v>17</v>
      </c>
      <c r="O145" s="37">
        <v>2020</v>
      </c>
      <c r="P145" s="18" t="s">
        <v>2314</v>
      </c>
      <c r="Q145" s="37">
        <v>2020</v>
      </c>
      <c r="R145" s="17" t="s">
        <v>2315</v>
      </c>
      <c r="S145" s="37">
        <v>2020</v>
      </c>
      <c r="T145" s="37" t="s">
        <v>17</v>
      </c>
      <c r="U145" s="37">
        <v>2020</v>
      </c>
      <c r="V145" s="17" t="s">
        <v>2316</v>
      </c>
      <c r="W145" s="17"/>
    </row>
    <row r="146" spans="1:23" ht="409.6">
      <c r="A146" s="156"/>
      <c r="B146" s="156"/>
      <c r="C146" s="37">
        <v>2021</v>
      </c>
      <c r="D146" s="18" t="s">
        <v>2317</v>
      </c>
      <c r="E146" s="37">
        <v>2021</v>
      </c>
      <c r="F146" s="18" t="s">
        <v>2318</v>
      </c>
      <c r="G146" s="37">
        <v>2021</v>
      </c>
      <c r="H146" s="38" t="s">
        <v>1783</v>
      </c>
      <c r="I146" s="37">
        <v>2021</v>
      </c>
      <c r="J146" s="18" t="s">
        <v>2319</v>
      </c>
      <c r="K146" s="37">
        <v>2021</v>
      </c>
      <c r="L146" s="18" t="s">
        <v>2320</v>
      </c>
      <c r="M146" s="37">
        <v>2021</v>
      </c>
      <c r="N146" s="38" t="s">
        <v>2321</v>
      </c>
      <c r="O146" s="37">
        <v>2021</v>
      </c>
      <c r="P146" s="18" t="s">
        <v>2314</v>
      </c>
      <c r="Q146" s="37">
        <v>2021</v>
      </c>
      <c r="R146" s="17" t="s">
        <v>2322</v>
      </c>
      <c r="S146" s="37">
        <v>2021</v>
      </c>
      <c r="T146" s="37" t="s">
        <v>2323</v>
      </c>
      <c r="U146" s="37">
        <v>2021</v>
      </c>
      <c r="V146" s="17" t="s">
        <v>2324</v>
      </c>
      <c r="W146" s="17"/>
    </row>
    <row r="147" spans="1:23" ht="409.6">
      <c r="A147" s="156" t="s">
        <v>422</v>
      </c>
      <c r="B147" s="156" t="s">
        <v>2325</v>
      </c>
      <c r="C147" s="37">
        <v>2018</v>
      </c>
      <c r="D147" s="18" t="s">
        <v>2326</v>
      </c>
      <c r="E147" s="37">
        <v>2018</v>
      </c>
      <c r="F147" s="18" t="s">
        <v>2327</v>
      </c>
      <c r="G147" s="37">
        <v>2018</v>
      </c>
      <c r="H147" s="38" t="s">
        <v>29</v>
      </c>
      <c r="I147" s="37">
        <v>2018</v>
      </c>
      <c r="J147" s="18" t="s">
        <v>2328</v>
      </c>
      <c r="K147" s="37">
        <v>2018</v>
      </c>
      <c r="L147" s="18" t="s">
        <v>2329</v>
      </c>
      <c r="M147" s="37">
        <v>2018</v>
      </c>
      <c r="N147" s="18" t="s">
        <v>2330</v>
      </c>
      <c r="O147" s="37">
        <v>2018</v>
      </c>
      <c r="P147" s="18" t="s">
        <v>17</v>
      </c>
      <c r="Q147" s="37">
        <v>2018</v>
      </c>
      <c r="R147" s="17" t="s">
        <v>2331</v>
      </c>
      <c r="S147" s="37">
        <v>2018</v>
      </c>
      <c r="T147" s="19" t="s">
        <v>2332</v>
      </c>
      <c r="U147" s="37">
        <v>2018</v>
      </c>
      <c r="V147" s="19" t="s">
        <v>17</v>
      </c>
      <c r="W147" s="17"/>
    </row>
    <row r="148" spans="1:23" ht="409.6">
      <c r="A148" s="156"/>
      <c r="B148" s="156"/>
      <c r="C148" s="37">
        <v>2019</v>
      </c>
      <c r="D148" s="18" t="s">
        <v>2326</v>
      </c>
      <c r="E148" s="37">
        <v>2019</v>
      </c>
      <c r="F148" s="18" t="s">
        <v>2327</v>
      </c>
      <c r="G148" s="37">
        <v>2019</v>
      </c>
      <c r="H148" s="38" t="s">
        <v>29</v>
      </c>
      <c r="I148" s="37">
        <v>2019</v>
      </c>
      <c r="J148" s="18" t="s">
        <v>2333</v>
      </c>
      <c r="K148" s="37">
        <v>2019</v>
      </c>
      <c r="L148" s="18" t="s">
        <v>2334</v>
      </c>
      <c r="M148" s="37">
        <v>2019</v>
      </c>
      <c r="N148" s="18" t="s">
        <v>2335</v>
      </c>
      <c r="O148" s="37">
        <v>2019</v>
      </c>
      <c r="P148" s="18" t="s">
        <v>17</v>
      </c>
      <c r="Q148" s="37">
        <v>2019</v>
      </c>
      <c r="R148" s="17" t="s">
        <v>2336</v>
      </c>
      <c r="S148" s="37">
        <v>2019</v>
      </c>
      <c r="T148" s="17" t="s">
        <v>2332</v>
      </c>
      <c r="U148" s="37">
        <v>2019</v>
      </c>
      <c r="V148" s="19" t="s">
        <v>17</v>
      </c>
      <c r="W148" s="17"/>
    </row>
    <row r="149" spans="1:23" ht="409.6">
      <c r="A149" s="156"/>
      <c r="B149" s="156"/>
      <c r="C149" s="37">
        <v>2020</v>
      </c>
      <c r="D149" s="18" t="s">
        <v>2337</v>
      </c>
      <c r="E149" s="37">
        <v>2020</v>
      </c>
      <c r="F149" s="18" t="s">
        <v>2338</v>
      </c>
      <c r="G149" s="37">
        <v>2020</v>
      </c>
      <c r="H149" s="38" t="s">
        <v>88</v>
      </c>
      <c r="I149" s="37">
        <v>2020</v>
      </c>
      <c r="J149" s="18" t="s">
        <v>2339</v>
      </c>
      <c r="K149" s="37">
        <v>2020</v>
      </c>
      <c r="L149" s="18" t="s">
        <v>2340</v>
      </c>
      <c r="M149" s="37">
        <v>2020</v>
      </c>
      <c r="N149" s="18" t="s">
        <v>2341</v>
      </c>
      <c r="O149" s="37">
        <v>2020</v>
      </c>
      <c r="P149" s="18" t="s">
        <v>2342</v>
      </c>
      <c r="Q149" s="37">
        <v>2020</v>
      </c>
      <c r="R149" s="17" t="s">
        <v>2343</v>
      </c>
      <c r="S149" s="37">
        <v>2020</v>
      </c>
      <c r="T149" s="37" t="s">
        <v>17</v>
      </c>
      <c r="U149" s="37">
        <v>2020</v>
      </c>
      <c r="V149" s="17" t="s">
        <v>2344</v>
      </c>
      <c r="W149" s="17"/>
    </row>
    <row r="150" spans="1:23" ht="409.6">
      <c r="A150" s="156"/>
      <c r="B150" s="156"/>
      <c r="C150" s="37">
        <v>2021</v>
      </c>
      <c r="D150" s="18" t="s">
        <v>2345</v>
      </c>
      <c r="E150" s="37">
        <v>2021</v>
      </c>
      <c r="F150" s="18" t="s">
        <v>2346</v>
      </c>
      <c r="G150" s="37">
        <v>2021</v>
      </c>
      <c r="H150" s="38" t="s">
        <v>88</v>
      </c>
      <c r="I150" s="37">
        <v>2021</v>
      </c>
      <c r="J150" s="18" t="s">
        <v>2347</v>
      </c>
      <c r="K150" s="37">
        <v>2021</v>
      </c>
      <c r="L150" s="18" t="s">
        <v>2348</v>
      </c>
      <c r="M150" s="37">
        <v>2021</v>
      </c>
      <c r="N150" s="18" t="s">
        <v>17</v>
      </c>
      <c r="O150" s="37">
        <v>2021</v>
      </c>
      <c r="P150" s="18" t="s">
        <v>2349</v>
      </c>
      <c r="Q150" s="37">
        <v>2021</v>
      </c>
      <c r="R150" s="17" t="s">
        <v>2350</v>
      </c>
      <c r="S150" s="37">
        <v>2021</v>
      </c>
      <c r="T150" s="37" t="s">
        <v>17</v>
      </c>
      <c r="U150" s="37">
        <v>2021</v>
      </c>
      <c r="V150" s="17" t="s">
        <v>2351</v>
      </c>
      <c r="W150" s="17"/>
    </row>
    <row r="151" spans="1:23" ht="409.6">
      <c r="A151" s="156" t="s">
        <v>760</v>
      </c>
      <c r="B151" s="156" t="s">
        <v>116</v>
      </c>
      <c r="C151" s="17" t="s">
        <v>1675</v>
      </c>
      <c r="D151" s="18" t="s">
        <v>36</v>
      </c>
      <c r="E151" s="17" t="s">
        <v>1675</v>
      </c>
      <c r="F151" s="18" t="s">
        <v>60</v>
      </c>
      <c r="G151" s="17" t="s">
        <v>1675</v>
      </c>
      <c r="H151" s="18" t="s">
        <v>29</v>
      </c>
      <c r="I151" s="17" t="s">
        <v>1675</v>
      </c>
      <c r="J151" s="18" t="s">
        <v>2352</v>
      </c>
      <c r="K151" s="17" t="s">
        <v>1675</v>
      </c>
      <c r="L151" s="18" t="s">
        <v>2353</v>
      </c>
      <c r="M151" s="17" t="s">
        <v>1675</v>
      </c>
      <c r="N151" s="18" t="s">
        <v>2354</v>
      </c>
      <c r="O151" s="17" t="s">
        <v>1675</v>
      </c>
      <c r="P151" s="18" t="s">
        <v>2355</v>
      </c>
      <c r="Q151" s="17" t="s">
        <v>1675</v>
      </c>
      <c r="R151" s="17" t="s">
        <v>2356</v>
      </c>
      <c r="S151" s="17" t="s">
        <v>1675</v>
      </c>
      <c r="T151" s="17" t="s">
        <v>2357</v>
      </c>
      <c r="U151" s="17" t="s">
        <v>1675</v>
      </c>
      <c r="V151" s="17" t="s">
        <v>2358</v>
      </c>
      <c r="W151" s="17"/>
    </row>
    <row r="152" spans="1:23" ht="409.6">
      <c r="A152" s="156"/>
      <c r="B152" s="156"/>
      <c r="C152" s="17" t="s">
        <v>1681</v>
      </c>
      <c r="D152" s="18" t="s">
        <v>36</v>
      </c>
      <c r="E152" s="17" t="s">
        <v>1681</v>
      </c>
      <c r="F152" s="18" t="s">
        <v>60</v>
      </c>
      <c r="G152" s="17" t="s">
        <v>1681</v>
      </c>
      <c r="H152" s="18" t="s">
        <v>29</v>
      </c>
      <c r="I152" s="17" t="s">
        <v>1681</v>
      </c>
      <c r="J152" s="18" t="s">
        <v>2359</v>
      </c>
      <c r="K152" s="17" t="s">
        <v>1681</v>
      </c>
      <c r="L152" s="18" t="s">
        <v>2360</v>
      </c>
      <c r="M152" s="17" t="s">
        <v>1681</v>
      </c>
      <c r="N152" s="18" t="s">
        <v>2361</v>
      </c>
      <c r="O152" s="17" t="s">
        <v>1681</v>
      </c>
      <c r="P152" s="18" t="s">
        <v>2362</v>
      </c>
      <c r="Q152" s="17" t="s">
        <v>1681</v>
      </c>
      <c r="R152" s="17" t="s">
        <v>2363</v>
      </c>
      <c r="S152" s="17" t="s">
        <v>1681</v>
      </c>
      <c r="T152" s="17" t="s">
        <v>2364</v>
      </c>
      <c r="U152" s="17" t="s">
        <v>1681</v>
      </c>
      <c r="V152" s="17" t="s">
        <v>2365</v>
      </c>
      <c r="W152" s="17"/>
    </row>
    <row r="153" spans="1:23" ht="409.6">
      <c r="A153" s="156"/>
      <c r="B153" s="156"/>
      <c r="C153" s="17" t="s">
        <v>1685</v>
      </c>
      <c r="D153" s="18" t="s">
        <v>36</v>
      </c>
      <c r="E153" s="17" t="s">
        <v>1685</v>
      </c>
      <c r="F153" s="18" t="s">
        <v>60</v>
      </c>
      <c r="G153" s="17" t="s">
        <v>1685</v>
      </c>
      <c r="H153" s="18" t="s">
        <v>88</v>
      </c>
      <c r="I153" s="17" t="s">
        <v>1685</v>
      </c>
      <c r="J153" s="18" t="s">
        <v>2366</v>
      </c>
      <c r="K153" s="17" t="s">
        <v>1685</v>
      </c>
      <c r="L153" s="18" t="s">
        <v>2367</v>
      </c>
      <c r="M153" s="17" t="s">
        <v>1685</v>
      </c>
      <c r="N153" s="18" t="s">
        <v>2368</v>
      </c>
      <c r="O153" s="17" t="s">
        <v>1685</v>
      </c>
      <c r="P153" s="18" t="s">
        <v>2369</v>
      </c>
      <c r="Q153" s="17" t="s">
        <v>1685</v>
      </c>
      <c r="R153" s="17" t="s">
        <v>2370</v>
      </c>
      <c r="S153" s="17" t="s">
        <v>1685</v>
      </c>
      <c r="T153" s="17" t="s">
        <v>17</v>
      </c>
      <c r="U153" s="17" t="s">
        <v>1685</v>
      </c>
      <c r="V153" s="17" t="s">
        <v>2371</v>
      </c>
      <c r="W153" s="17"/>
    </row>
    <row r="154" spans="1:23" ht="409.6">
      <c r="A154" s="156"/>
      <c r="B154" s="156"/>
      <c r="C154" s="17" t="s">
        <v>1688</v>
      </c>
      <c r="D154" s="18" t="s">
        <v>762</v>
      </c>
      <c r="E154" s="17" t="s">
        <v>1688</v>
      </c>
      <c r="F154" s="18" t="s">
        <v>524</v>
      </c>
      <c r="G154" s="17" t="s">
        <v>1688</v>
      </c>
      <c r="H154" s="18" t="s">
        <v>88</v>
      </c>
      <c r="I154" s="17" t="s">
        <v>1688</v>
      </c>
      <c r="J154" s="18" t="s">
        <v>2366</v>
      </c>
      <c r="K154" s="17" t="s">
        <v>1688</v>
      </c>
      <c r="L154" s="18" t="s">
        <v>2372</v>
      </c>
      <c r="M154" s="17" t="s">
        <v>1688</v>
      </c>
      <c r="N154" s="18" t="s">
        <v>2373</v>
      </c>
      <c r="O154" s="17" t="s">
        <v>1688</v>
      </c>
      <c r="P154" s="18" t="s">
        <v>161</v>
      </c>
      <c r="Q154" s="17" t="s">
        <v>1688</v>
      </c>
      <c r="R154" s="17" t="s">
        <v>2374</v>
      </c>
      <c r="S154" s="17" t="s">
        <v>1688</v>
      </c>
      <c r="T154" s="17" t="s">
        <v>17</v>
      </c>
      <c r="U154" s="17" t="s">
        <v>1688</v>
      </c>
      <c r="V154" s="17" t="s">
        <v>2375</v>
      </c>
      <c r="W154" s="17"/>
    </row>
    <row r="155" spans="1:23" ht="409.6">
      <c r="A155" s="156" t="s">
        <v>287</v>
      </c>
      <c r="B155" s="156" t="s">
        <v>2376</v>
      </c>
      <c r="C155" s="17" t="s">
        <v>1675</v>
      </c>
      <c r="D155" s="18" t="s">
        <v>36</v>
      </c>
      <c r="E155" s="17" t="s">
        <v>1675</v>
      </c>
      <c r="F155" s="18" t="s">
        <v>60</v>
      </c>
      <c r="G155" s="17" t="s">
        <v>1675</v>
      </c>
      <c r="H155" s="18" t="s">
        <v>29</v>
      </c>
      <c r="I155" s="17" t="s">
        <v>1675</v>
      </c>
      <c r="J155" s="18" t="s">
        <v>2377</v>
      </c>
      <c r="K155" s="17" t="s">
        <v>1675</v>
      </c>
      <c r="L155" s="18" t="s">
        <v>2378</v>
      </c>
      <c r="M155" s="17" t="s">
        <v>1675</v>
      </c>
      <c r="N155" s="18" t="s">
        <v>2379</v>
      </c>
      <c r="O155" s="17" t="s">
        <v>1675</v>
      </c>
      <c r="P155" s="18" t="s">
        <v>17</v>
      </c>
      <c r="Q155" s="17" t="s">
        <v>1675</v>
      </c>
      <c r="R155" s="17" t="s">
        <v>2380</v>
      </c>
      <c r="S155" s="17" t="s">
        <v>1675</v>
      </c>
      <c r="T155" s="17" t="s">
        <v>2381</v>
      </c>
      <c r="U155" s="17" t="s">
        <v>1675</v>
      </c>
      <c r="V155" s="17" t="s">
        <v>17</v>
      </c>
      <c r="W155" s="17"/>
    </row>
    <row r="156" spans="1:23" ht="409.6">
      <c r="A156" s="156"/>
      <c r="B156" s="156"/>
      <c r="C156" s="17" t="s">
        <v>1681</v>
      </c>
      <c r="D156" s="18" t="s">
        <v>36</v>
      </c>
      <c r="E156" s="17" t="s">
        <v>1681</v>
      </c>
      <c r="F156" s="18" t="s">
        <v>60</v>
      </c>
      <c r="G156" s="17" t="s">
        <v>1681</v>
      </c>
      <c r="H156" s="18" t="s">
        <v>29</v>
      </c>
      <c r="I156" s="17" t="s">
        <v>1681</v>
      </c>
      <c r="J156" s="18" t="s">
        <v>2377</v>
      </c>
      <c r="K156" s="17" t="s">
        <v>1681</v>
      </c>
      <c r="L156" s="18" t="s">
        <v>2382</v>
      </c>
      <c r="M156" s="17" t="s">
        <v>1681</v>
      </c>
      <c r="N156" s="18" t="s">
        <v>2383</v>
      </c>
      <c r="O156" s="17" t="s">
        <v>1681</v>
      </c>
      <c r="P156" s="18" t="s">
        <v>17</v>
      </c>
      <c r="Q156" s="17" t="s">
        <v>1681</v>
      </c>
      <c r="R156" s="17" t="s">
        <v>4086</v>
      </c>
      <c r="S156" s="17" t="s">
        <v>1681</v>
      </c>
      <c r="T156" s="17" t="s">
        <v>2384</v>
      </c>
      <c r="U156" s="17" t="s">
        <v>1681</v>
      </c>
      <c r="V156" s="17" t="s">
        <v>17</v>
      </c>
      <c r="W156" s="17"/>
    </row>
    <row r="157" spans="1:23" ht="409.6">
      <c r="A157" s="156"/>
      <c r="B157" s="156"/>
      <c r="C157" s="17" t="s">
        <v>1685</v>
      </c>
      <c r="D157" s="18" t="s">
        <v>36</v>
      </c>
      <c r="E157" s="17" t="s">
        <v>1685</v>
      </c>
      <c r="F157" s="18" t="s">
        <v>60</v>
      </c>
      <c r="G157" s="17" t="s">
        <v>1685</v>
      </c>
      <c r="H157" s="18" t="s">
        <v>2385</v>
      </c>
      <c r="I157" s="17" t="s">
        <v>1685</v>
      </c>
      <c r="J157" s="18" t="s">
        <v>2386</v>
      </c>
      <c r="K157" s="17" t="s">
        <v>1685</v>
      </c>
      <c r="L157" s="18" t="s">
        <v>2387</v>
      </c>
      <c r="M157" s="17" t="s">
        <v>1685</v>
      </c>
      <c r="N157" s="18" t="s">
        <v>2388</v>
      </c>
      <c r="O157" s="17" t="s">
        <v>1685</v>
      </c>
      <c r="P157" s="18" t="s">
        <v>17</v>
      </c>
      <c r="Q157" s="17" t="s">
        <v>1685</v>
      </c>
      <c r="R157" s="17" t="s">
        <v>2389</v>
      </c>
      <c r="S157" s="17" t="s">
        <v>1685</v>
      </c>
      <c r="T157" s="17" t="s">
        <v>17</v>
      </c>
      <c r="U157" s="17" t="s">
        <v>1685</v>
      </c>
      <c r="V157" s="17" t="s">
        <v>17</v>
      </c>
      <c r="W157" s="17"/>
    </row>
    <row r="158" spans="1:23" ht="360">
      <c r="A158" s="156"/>
      <c r="B158" s="156"/>
      <c r="C158" s="17" t="s">
        <v>1688</v>
      </c>
      <c r="D158" s="18" t="s">
        <v>36</v>
      </c>
      <c r="E158" s="17" t="s">
        <v>1688</v>
      </c>
      <c r="F158" s="18" t="s">
        <v>2390</v>
      </c>
      <c r="G158" s="17" t="s">
        <v>1685</v>
      </c>
      <c r="H158" s="18" t="s">
        <v>2385</v>
      </c>
      <c r="I158" s="17" t="s">
        <v>1688</v>
      </c>
      <c r="J158" s="18" t="s">
        <v>2391</v>
      </c>
      <c r="K158" s="17" t="s">
        <v>1688</v>
      </c>
      <c r="L158" s="18" t="s">
        <v>2392</v>
      </c>
      <c r="M158" s="17" t="s">
        <v>1688</v>
      </c>
      <c r="N158" s="18" t="s">
        <v>17</v>
      </c>
      <c r="O158" s="17" t="s">
        <v>1685</v>
      </c>
      <c r="P158" s="18" t="s">
        <v>17</v>
      </c>
      <c r="Q158" s="17" t="s">
        <v>1688</v>
      </c>
      <c r="R158" s="17" t="s">
        <v>2393</v>
      </c>
      <c r="S158" s="17" t="s">
        <v>1688</v>
      </c>
      <c r="T158" s="17" t="s">
        <v>17</v>
      </c>
      <c r="U158" s="17" t="s">
        <v>1688</v>
      </c>
      <c r="V158" s="17" t="s">
        <v>2394</v>
      </c>
      <c r="W158" s="17"/>
    </row>
    <row r="159" spans="1:23" ht="409.6">
      <c r="A159" s="156" t="s">
        <v>383</v>
      </c>
      <c r="B159" s="156" t="s">
        <v>74</v>
      </c>
      <c r="C159" s="17" t="s">
        <v>1675</v>
      </c>
      <c r="D159" s="18" t="s">
        <v>36</v>
      </c>
      <c r="E159" s="17" t="s">
        <v>1675</v>
      </c>
      <c r="F159" s="18" t="s">
        <v>60</v>
      </c>
      <c r="G159" s="17" t="s">
        <v>1675</v>
      </c>
      <c r="H159" s="18" t="s">
        <v>29</v>
      </c>
      <c r="I159" s="17" t="s">
        <v>1675</v>
      </c>
      <c r="J159" s="18" t="s">
        <v>2395</v>
      </c>
      <c r="K159" s="17" t="s">
        <v>1675</v>
      </c>
      <c r="L159" s="18" t="s">
        <v>2396</v>
      </c>
      <c r="M159" s="17" t="s">
        <v>1675</v>
      </c>
      <c r="N159" s="18" t="s">
        <v>2397</v>
      </c>
      <c r="O159" s="17" t="s">
        <v>1675</v>
      </c>
      <c r="P159" s="18" t="s">
        <v>2398</v>
      </c>
      <c r="Q159" s="17" t="s">
        <v>1675</v>
      </c>
      <c r="R159" s="17" t="s">
        <v>2399</v>
      </c>
      <c r="S159" s="17" t="s">
        <v>1675</v>
      </c>
      <c r="T159" s="17" t="s">
        <v>17</v>
      </c>
      <c r="U159" s="17" t="s">
        <v>1675</v>
      </c>
      <c r="V159" s="17" t="s">
        <v>2400</v>
      </c>
      <c r="W159" s="17"/>
    </row>
    <row r="160" spans="1:23" ht="409.6">
      <c r="A160" s="156"/>
      <c r="B160" s="156"/>
      <c r="C160" s="17" t="s">
        <v>1681</v>
      </c>
      <c r="D160" s="18" t="s">
        <v>36</v>
      </c>
      <c r="E160" s="17" t="s">
        <v>1681</v>
      </c>
      <c r="F160" s="18" t="s">
        <v>60</v>
      </c>
      <c r="G160" s="17" t="s">
        <v>1681</v>
      </c>
      <c r="H160" s="18" t="s">
        <v>29</v>
      </c>
      <c r="I160" s="17" t="s">
        <v>1681</v>
      </c>
      <c r="J160" s="18" t="s">
        <v>2395</v>
      </c>
      <c r="K160" s="17" t="s">
        <v>1681</v>
      </c>
      <c r="L160" s="18" t="s">
        <v>2401</v>
      </c>
      <c r="M160" s="17" t="s">
        <v>1681</v>
      </c>
      <c r="N160" s="18" t="s">
        <v>2402</v>
      </c>
      <c r="O160" s="17" t="s">
        <v>1681</v>
      </c>
      <c r="P160" s="18" t="s">
        <v>2403</v>
      </c>
      <c r="Q160" s="17" t="s">
        <v>1681</v>
      </c>
      <c r="R160" s="17" t="s">
        <v>2404</v>
      </c>
      <c r="S160" s="17" t="s">
        <v>1681</v>
      </c>
      <c r="T160" s="17" t="s">
        <v>17</v>
      </c>
      <c r="U160" s="17" t="s">
        <v>1681</v>
      </c>
      <c r="V160" s="17" t="s">
        <v>2400</v>
      </c>
      <c r="W160" s="17"/>
    </row>
    <row r="161" spans="1:23" ht="409.6">
      <c r="A161" s="156"/>
      <c r="B161" s="156"/>
      <c r="C161" s="17" t="s">
        <v>1685</v>
      </c>
      <c r="D161" s="18" t="s">
        <v>36</v>
      </c>
      <c r="E161" s="17" t="s">
        <v>1685</v>
      </c>
      <c r="F161" s="18" t="s">
        <v>60</v>
      </c>
      <c r="G161" s="17" t="s">
        <v>1685</v>
      </c>
      <c r="H161" s="18" t="s">
        <v>88</v>
      </c>
      <c r="I161" s="17" t="s">
        <v>1685</v>
      </c>
      <c r="J161" s="18" t="s">
        <v>2405</v>
      </c>
      <c r="K161" s="17" t="s">
        <v>1685</v>
      </c>
      <c r="L161" s="18" t="s">
        <v>2406</v>
      </c>
      <c r="M161" s="17" t="s">
        <v>1685</v>
      </c>
      <c r="N161" s="18" t="s">
        <v>2407</v>
      </c>
      <c r="O161" s="17" t="s">
        <v>1685</v>
      </c>
      <c r="P161" s="18" t="s">
        <v>2408</v>
      </c>
      <c r="Q161" s="17" t="s">
        <v>1685</v>
      </c>
      <c r="R161" s="17" t="s">
        <v>2409</v>
      </c>
      <c r="S161" s="17" t="s">
        <v>1685</v>
      </c>
      <c r="T161" s="17" t="s">
        <v>17</v>
      </c>
      <c r="U161" s="17" t="s">
        <v>1685</v>
      </c>
      <c r="V161" s="17" t="s">
        <v>2410</v>
      </c>
      <c r="W161" s="17"/>
    </row>
    <row r="162" spans="1:23" ht="409.6">
      <c r="A162" s="156"/>
      <c r="B162" s="156"/>
      <c r="C162" s="17" t="s">
        <v>1688</v>
      </c>
      <c r="D162" s="18" t="s">
        <v>36</v>
      </c>
      <c r="E162" s="17" t="s">
        <v>1688</v>
      </c>
      <c r="F162" s="18" t="s">
        <v>2411</v>
      </c>
      <c r="G162" s="17" t="s">
        <v>1688</v>
      </c>
      <c r="H162" s="18" t="s">
        <v>88</v>
      </c>
      <c r="I162" s="17" t="s">
        <v>1688</v>
      </c>
      <c r="J162" s="18" t="s">
        <v>2412</v>
      </c>
      <c r="K162" s="17" t="s">
        <v>1688</v>
      </c>
      <c r="L162" s="41" t="s">
        <v>2413</v>
      </c>
      <c r="M162" s="17" t="s">
        <v>1688</v>
      </c>
      <c r="N162" s="18" t="s">
        <v>2414</v>
      </c>
      <c r="O162" s="17" t="s">
        <v>1688</v>
      </c>
      <c r="P162" s="18" t="s">
        <v>2415</v>
      </c>
      <c r="Q162" s="17" t="s">
        <v>1688</v>
      </c>
      <c r="R162" s="17" t="s">
        <v>2416</v>
      </c>
      <c r="S162" s="17" t="s">
        <v>1688</v>
      </c>
      <c r="T162" s="17" t="s">
        <v>17</v>
      </c>
      <c r="U162" s="17" t="s">
        <v>1688</v>
      </c>
      <c r="V162" s="17" t="s">
        <v>2417</v>
      </c>
      <c r="W162" s="17"/>
    </row>
    <row r="163" spans="1:23" ht="409.6">
      <c r="A163" s="156" t="s">
        <v>455</v>
      </c>
      <c r="B163" s="156"/>
      <c r="C163" s="17" t="s">
        <v>1675</v>
      </c>
      <c r="D163" s="18" t="s">
        <v>36</v>
      </c>
      <c r="E163" s="17" t="s">
        <v>1675</v>
      </c>
      <c r="F163" s="18" t="s">
        <v>60</v>
      </c>
      <c r="G163" s="17" t="s">
        <v>1675</v>
      </c>
      <c r="H163" s="18" t="s">
        <v>29</v>
      </c>
      <c r="I163" s="17" t="s">
        <v>1675</v>
      </c>
      <c r="J163" s="18" t="s">
        <v>2418</v>
      </c>
      <c r="K163" s="17" t="s">
        <v>1675</v>
      </c>
      <c r="L163" s="18" t="s">
        <v>2419</v>
      </c>
      <c r="M163" s="17" t="s">
        <v>1675</v>
      </c>
      <c r="N163" s="18" t="s">
        <v>2420</v>
      </c>
      <c r="O163" s="17" t="s">
        <v>1675</v>
      </c>
      <c r="P163" s="18" t="s">
        <v>2421</v>
      </c>
      <c r="Q163" s="17" t="s">
        <v>1675</v>
      </c>
      <c r="R163" s="17" t="s">
        <v>2422</v>
      </c>
      <c r="S163" s="17" t="s">
        <v>1675</v>
      </c>
      <c r="T163" s="17" t="s">
        <v>17</v>
      </c>
      <c r="U163" s="17" t="s">
        <v>1675</v>
      </c>
      <c r="V163" s="17" t="s">
        <v>2423</v>
      </c>
      <c r="W163" s="17"/>
    </row>
    <row r="164" spans="1:23" ht="409.6">
      <c r="A164" s="156"/>
      <c r="B164" s="156"/>
      <c r="C164" s="17" t="s">
        <v>1681</v>
      </c>
      <c r="D164" s="18" t="s">
        <v>36</v>
      </c>
      <c r="E164" s="17" t="s">
        <v>1681</v>
      </c>
      <c r="F164" s="18" t="s">
        <v>60</v>
      </c>
      <c r="G164" s="17" t="s">
        <v>1681</v>
      </c>
      <c r="H164" s="18" t="s">
        <v>29</v>
      </c>
      <c r="I164" s="17" t="s">
        <v>1681</v>
      </c>
      <c r="J164" s="18" t="s">
        <v>2418</v>
      </c>
      <c r="K164" s="17" t="s">
        <v>1681</v>
      </c>
      <c r="L164" s="18" t="s">
        <v>2424</v>
      </c>
      <c r="M164" s="17" t="s">
        <v>1681</v>
      </c>
      <c r="N164" s="18" t="s">
        <v>2425</v>
      </c>
      <c r="O164" s="17" t="s">
        <v>1681</v>
      </c>
      <c r="P164" s="18" t="s">
        <v>2421</v>
      </c>
      <c r="Q164" s="17" t="s">
        <v>1681</v>
      </c>
      <c r="R164" s="17" t="s">
        <v>2426</v>
      </c>
      <c r="S164" s="17" t="s">
        <v>1681</v>
      </c>
      <c r="T164" s="17" t="s">
        <v>17</v>
      </c>
      <c r="U164" s="17" t="s">
        <v>1681</v>
      </c>
      <c r="V164" s="17" t="s">
        <v>2423</v>
      </c>
      <c r="W164" s="17"/>
    </row>
    <row r="165" spans="1:23" ht="270">
      <c r="A165" s="156"/>
      <c r="B165" s="156"/>
      <c r="C165" s="17" t="s">
        <v>1685</v>
      </c>
      <c r="D165" s="18" t="s">
        <v>36</v>
      </c>
      <c r="E165" s="17" t="s">
        <v>1685</v>
      </c>
      <c r="F165" s="18" t="s">
        <v>60</v>
      </c>
      <c r="G165" s="17" t="s">
        <v>1685</v>
      </c>
      <c r="H165" s="18" t="s">
        <v>88</v>
      </c>
      <c r="I165" s="17" t="s">
        <v>1685</v>
      </c>
      <c r="J165" s="18" t="s">
        <v>2427</v>
      </c>
      <c r="K165" s="17" t="s">
        <v>1685</v>
      </c>
      <c r="L165" s="18" t="s">
        <v>2428</v>
      </c>
      <c r="M165" s="17" t="s">
        <v>1685</v>
      </c>
      <c r="N165" s="18" t="s">
        <v>2429</v>
      </c>
      <c r="O165" s="17" t="s">
        <v>1685</v>
      </c>
      <c r="P165" s="18" t="s">
        <v>17</v>
      </c>
      <c r="Q165" s="17" t="s">
        <v>1685</v>
      </c>
      <c r="R165" s="17" t="s">
        <v>17</v>
      </c>
      <c r="S165" s="17" t="s">
        <v>1685</v>
      </c>
      <c r="T165" s="17" t="s">
        <v>17</v>
      </c>
      <c r="U165" s="17" t="s">
        <v>1685</v>
      </c>
      <c r="V165" s="17" t="s">
        <v>2430</v>
      </c>
      <c r="W165" s="17"/>
    </row>
    <row r="166" spans="1:23" ht="409.6">
      <c r="A166" s="156"/>
      <c r="B166" s="156"/>
      <c r="C166" s="17" t="s">
        <v>1688</v>
      </c>
      <c r="D166" s="18" t="s">
        <v>36</v>
      </c>
      <c r="E166" s="17" t="s">
        <v>1688</v>
      </c>
      <c r="F166" s="18" t="s">
        <v>2431</v>
      </c>
      <c r="G166" s="17" t="s">
        <v>1688</v>
      </c>
      <c r="H166" s="18" t="s">
        <v>88</v>
      </c>
      <c r="I166" s="17" t="s">
        <v>1688</v>
      </c>
      <c r="J166" s="18" t="s">
        <v>2432</v>
      </c>
      <c r="K166" s="17" t="s">
        <v>1688</v>
      </c>
      <c r="L166" s="18" t="s">
        <v>2433</v>
      </c>
      <c r="M166" s="17" t="s">
        <v>1688</v>
      </c>
      <c r="N166" s="18" t="s">
        <v>2434</v>
      </c>
      <c r="O166" s="17" t="s">
        <v>1688</v>
      </c>
      <c r="P166" s="18" t="s">
        <v>32</v>
      </c>
      <c r="Q166" s="17" t="s">
        <v>1688</v>
      </c>
      <c r="R166" s="17" t="s">
        <v>2435</v>
      </c>
      <c r="S166" s="17" t="s">
        <v>1688</v>
      </c>
      <c r="T166" s="17" t="s">
        <v>2436</v>
      </c>
      <c r="U166" s="17" t="s">
        <v>1688</v>
      </c>
      <c r="V166" s="17" t="s">
        <v>2437</v>
      </c>
      <c r="W166" s="17"/>
    </row>
    <row r="167" spans="1:23" ht="409.6">
      <c r="A167" s="156" t="s">
        <v>309</v>
      </c>
      <c r="B167" s="156" t="s">
        <v>191</v>
      </c>
      <c r="C167" s="17" t="s">
        <v>1675</v>
      </c>
      <c r="D167" s="18" t="s">
        <v>36</v>
      </c>
      <c r="E167" s="17" t="s">
        <v>1675</v>
      </c>
      <c r="F167" s="18" t="s">
        <v>60</v>
      </c>
      <c r="G167" s="17" t="s">
        <v>1675</v>
      </c>
      <c r="H167" s="18" t="s">
        <v>29</v>
      </c>
      <c r="I167" s="17" t="s">
        <v>1675</v>
      </c>
      <c r="J167" s="18" t="s">
        <v>2438</v>
      </c>
      <c r="K167" s="17" t="s">
        <v>1675</v>
      </c>
      <c r="L167" s="18" t="s">
        <v>2439</v>
      </c>
      <c r="M167" s="17" t="s">
        <v>1675</v>
      </c>
      <c r="N167" s="18" t="s">
        <v>2440</v>
      </c>
      <c r="O167" s="17" t="s">
        <v>1675</v>
      </c>
      <c r="P167" s="18" t="s">
        <v>2441</v>
      </c>
      <c r="Q167" s="17" t="s">
        <v>1675</v>
      </c>
      <c r="R167" s="17" t="s">
        <v>2442</v>
      </c>
      <c r="S167" s="17" t="s">
        <v>1675</v>
      </c>
      <c r="T167" s="17" t="s">
        <v>2443</v>
      </c>
      <c r="U167" s="17" t="s">
        <v>1675</v>
      </c>
      <c r="V167" s="17" t="s">
        <v>17</v>
      </c>
      <c r="W167" s="17"/>
    </row>
    <row r="168" spans="1:23" ht="409.6">
      <c r="A168" s="156"/>
      <c r="B168" s="156"/>
      <c r="C168" s="17" t="s">
        <v>1681</v>
      </c>
      <c r="D168" s="18" t="s">
        <v>36</v>
      </c>
      <c r="E168" s="17" t="s">
        <v>1681</v>
      </c>
      <c r="F168" s="18" t="s">
        <v>60</v>
      </c>
      <c r="G168" s="17" t="s">
        <v>1681</v>
      </c>
      <c r="H168" s="18" t="s">
        <v>29</v>
      </c>
      <c r="I168" s="17" t="s">
        <v>1681</v>
      </c>
      <c r="J168" s="18" t="s">
        <v>2438</v>
      </c>
      <c r="K168" s="17" t="s">
        <v>1681</v>
      </c>
      <c r="L168" s="18" t="s">
        <v>2444</v>
      </c>
      <c r="M168" s="17" t="s">
        <v>1681</v>
      </c>
      <c r="N168" s="18" t="s">
        <v>2445</v>
      </c>
      <c r="O168" s="17" t="s">
        <v>1681</v>
      </c>
      <c r="P168" s="18" t="s">
        <v>2441</v>
      </c>
      <c r="Q168" s="17" t="s">
        <v>1681</v>
      </c>
      <c r="R168" s="17" t="s">
        <v>2442</v>
      </c>
      <c r="S168" s="17" t="s">
        <v>1681</v>
      </c>
      <c r="T168" s="17" t="s">
        <v>2446</v>
      </c>
      <c r="U168" s="17" t="s">
        <v>1681</v>
      </c>
      <c r="V168" s="17" t="s">
        <v>17</v>
      </c>
      <c r="W168" s="17"/>
    </row>
    <row r="169" spans="1:23" ht="409.6">
      <c r="A169" s="156"/>
      <c r="B169" s="156"/>
      <c r="C169" s="17" t="s">
        <v>1685</v>
      </c>
      <c r="D169" s="18" t="s">
        <v>36</v>
      </c>
      <c r="E169" s="17" t="s">
        <v>1685</v>
      </c>
      <c r="F169" s="18" t="s">
        <v>60</v>
      </c>
      <c r="G169" s="17" t="s">
        <v>1685</v>
      </c>
      <c r="H169" s="18" t="s">
        <v>29</v>
      </c>
      <c r="I169" s="17" t="s">
        <v>1685</v>
      </c>
      <c r="J169" s="18" t="s">
        <v>2447</v>
      </c>
      <c r="K169" s="17" t="s">
        <v>1685</v>
      </c>
      <c r="L169" s="18" t="s">
        <v>2448</v>
      </c>
      <c r="M169" s="17" t="s">
        <v>1685</v>
      </c>
      <c r="N169" s="18" t="s">
        <v>2449</v>
      </c>
      <c r="O169" s="17" t="s">
        <v>1685</v>
      </c>
      <c r="P169" s="18" t="s">
        <v>2441</v>
      </c>
      <c r="Q169" s="17" t="s">
        <v>1685</v>
      </c>
      <c r="R169" s="17" t="s">
        <v>2450</v>
      </c>
      <c r="S169" s="17" t="s">
        <v>1685</v>
      </c>
      <c r="T169" s="17" t="s">
        <v>2451</v>
      </c>
      <c r="U169" s="17" t="s">
        <v>1685</v>
      </c>
      <c r="V169" s="17" t="s">
        <v>2452</v>
      </c>
      <c r="W169" s="17"/>
    </row>
    <row r="170" spans="1:23" ht="409.6">
      <c r="A170" s="156"/>
      <c r="B170" s="156"/>
      <c r="C170" s="17" t="s">
        <v>1688</v>
      </c>
      <c r="D170" s="18" t="s">
        <v>36</v>
      </c>
      <c r="E170" s="17" t="s">
        <v>1688</v>
      </c>
      <c r="F170" s="18" t="s">
        <v>60</v>
      </c>
      <c r="G170" s="17" t="s">
        <v>1688</v>
      </c>
      <c r="H170" s="18" t="s">
        <v>29</v>
      </c>
      <c r="I170" s="17" t="s">
        <v>1688</v>
      </c>
      <c r="J170" s="18" t="s">
        <v>2447</v>
      </c>
      <c r="K170" s="17" t="s">
        <v>1688</v>
      </c>
      <c r="L170" s="18" t="s">
        <v>2453</v>
      </c>
      <c r="M170" s="17" t="s">
        <v>1688</v>
      </c>
      <c r="N170" s="18" t="s">
        <v>2454</v>
      </c>
      <c r="O170" s="17" t="s">
        <v>1688</v>
      </c>
      <c r="P170" s="18" t="s">
        <v>2441</v>
      </c>
      <c r="Q170" s="17" t="s">
        <v>1688</v>
      </c>
      <c r="R170" s="17" t="s">
        <v>2455</v>
      </c>
      <c r="S170" s="17" t="s">
        <v>1688</v>
      </c>
      <c r="T170" s="17" t="s">
        <v>2456</v>
      </c>
      <c r="U170" s="17" t="s">
        <v>1688</v>
      </c>
      <c r="V170" s="17" t="s">
        <v>2457</v>
      </c>
      <c r="W170" s="17"/>
    </row>
    <row r="171" spans="1:23" ht="30">
      <c r="A171" s="156" t="s">
        <v>156</v>
      </c>
      <c r="B171" s="156" t="s">
        <v>201</v>
      </c>
      <c r="C171" s="17" t="s">
        <v>2458</v>
      </c>
      <c r="D171" s="18"/>
      <c r="E171" s="17" t="s">
        <v>2386</v>
      </c>
      <c r="F171" s="18" t="s">
        <v>2386</v>
      </c>
      <c r="G171" s="17" t="s">
        <v>2386</v>
      </c>
      <c r="H171" s="18" t="s">
        <v>2386</v>
      </c>
      <c r="I171" s="17" t="s">
        <v>2386</v>
      </c>
      <c r="J171" s="18" t="s">
        <v>2386</v>
      </c>
      <c r="K171" s="17" t="s">
        <v>2386</v>
      </c>
      <c r="L171" s="18" t="s">
        <v>2386</v>
      </c>
      <c r="M171" s="17" t="s">
        <v>2386</v>
      </c>
      <c r="N171" s="18" t="s">
        <v>2386</v>
      </c>
      <c r="O171" s="17" t="s">
        <v>2386</v>
      </c>
      <c r="P171" s="18" t="s">
        <v>2386</v>
      </c>
      <c r="Q171" s="17" t="s">
        <v>2386</v>
      </c>
      <c r="R171" s="17" t="s">
        <v>2386</v>
      </c>
      <c r="S171" s="17" t="s">
        <v>2386</v>
      </c>
      <c r="T171" s="17"/>
      <c r="U171" s="17" t="s">
        <v>1675</v>
      </c>
      <c r="V171" s="17" t="s">
        <v>17</v>
      </c>
      <c r="W171" s="17"/>
    </row>
    <row r="172" spans="1:23" ht="30">
      <c r="A172" s="156"/>
      <c r="B172" s="156"/>
      <c r="C172" s="17" t="s">
        <v>2459</v>
      </c>
      <c r="D172" s="18"/>
      <c r="E172" s="17" t="s">
        <v>2386</v>
      </c>
      <c r="F172" s="18" t="s">
        <v>2386</v>
      </c>
      <c r="G172" s="17" t="s">
        <v>2386</v>
      </c>
      <c r="H172" s="18" t="s">
        <v>2386</v>
      </c>
      <c r="I172" s="17" t="s">
        <v>2386</v>
      </c>
      <c r="J172" s="18" t="s">
        <v>2386</v>
      </c>
      <c r="K172" s="17" t="s">
        <v>2386</v>
      </c>
      <c r="L172" s="18" t="s">
        <v>2386</v>
      </c>
      <c r="M172" s="17" t="s">
        <v>2386</v>
      </c>
      <c r="N172" s="18" t="s">
        <v>2386</v>
      </c>
      <c r="O172" s="17" t="s">
        <v>2386</v>
      </c>
      <c r="P172" s="18" t="s">
        <v>2386</v>
      </c>
      <c r="Q172" s="17" t="s">
        <v>2386</v>
      </c>
      <c r="R172" s="17" t="s">
        <v>2386</v>
      </c>
      <c r="S172" s="17" t="s">
        <v>2386</v>
      </c>
      <c r="T172" s="17"/>
      <c r="U172" s="17" t="s">
        <v>1681</v>
      </c>
      <c r="V172" s="17" t="s">
        <v>17</v>
      </c>
      <c r="W172" s="17"/>
    </row>
    <row r="173" spans="1:23" ht="409.6">
      <c r="A173" s="156"/>
      <c r="B173" s="156"/>
      <c r="C173" s="17" t="s">
        <v>1685</v>
      </c>
      <c r="D173" s="18" t="s">
        <v>36</v>
      </c>
      <c r="E173" s="17" t="s">
        <v>1685</v>
      </c>
      <c r="F173" s="18" t="s">
        <v>60</v>
      </c>
      <c r="G173" s="17" t="s">
        <v>1685</v>
      </c>
      <c r="H173" s="18" t="s">
        <v>88</v>
      </c>
      <c r="I173" s="17" t="s">
        <v>1685</v>
      </c>
      <c r="J173" s="18" t="s">
        <v>2460</v>
      </c>
      <c r="K173" s="17" t="s">
        <v>1685</v>
      </c>
      <c r="L173" s="18" t="s">
        <v>2461</v>
      </c>
      <c r="M173" s="17" t="s">
        <v>1685</v>
      </c>
      <c r="N173" s="42">
        <v>44013</v>
      </c>
      <c r="O173" s="17" t="s">
        <v>1685</v>
      </c>
      <c r="P173" s="18" t="s">
        <v>2462</v>
      </c>
      <c r="Q173" s="17" t="s">
        <v>1685</v>
      </c>
      <c r="R173" s="17" t="s">
        <v>2463</v>
      </c>
      <c r="S173" s="17" t="s">
        <v>1685</v>
      </c>
      <c r="T173" s="17" t="s">
        <v>17</v>
      </c>
      <c r="U173" s="17" t="s">
        <v>1685</v>
      </c>
      <c r="V173" s="17" t="s">
        <v>17</v>
      </c>
      <c r="W173" s="17"/>
    </row>
    <row r="174" spans="1:23" ht="409.6">
      <c r="A174" s="156"/>
      <c r="B174" s="156"/>
      <c r="C174" s="17" t="s">
        <v>1688</v>
      </c>
      <c r="D174" s="18" t="s">
        <v>36</v>
      </c>
      <c r="E174" s="17" t="s">
        <v>1688</v>
      </c>
      <c r="F174" s="18" t="s">
        <v>2464</v>
      </c>
      <c r="G174" s="17" t="s">
        <v>1688</v>
      </c>
      <c r="H174" s="18" t="s">
        <v>88</v>
      </c>
      <c r="I174" s="17" t="s">
        <v>1688</v>
      </c>
      <c r="J174" s="18" t="s">
        <v>2465</v>
      </c>
      <c r="K174" s="17" t="s">
        <v>1688</v>
      </c>
      <c r="L174" s="18" t="s">
        <v>2466</v>
      </c>
      <c r="M174" s="17" t="s">
        <v>1688</v>
      </c>
      <c r="N174" s="42" t="s">
        <v>2467</v>
      </c>
      <c r="O174" s="17" t="s">
        <v>1688</v>
      </c>
      <c r="P174" s="18" t="s">
        <v>2468</v>
      </c>
      <c r="Q174" s="17" t="s">
        <v>1688</v>
      </c>
      <c r="R174" s="17" t="s">
        <v>2469</v>
      </c>
      <c r="S174" s="17" t="s">
        <v>1688</v>
      </c>
      <c r="T174" s="17" t="s">
        <v>17</v>
      </c>
      <c r="U174" s="17" t="s">
        <v>1688</v>
      </c>
      <c r="V174" s="17" t="s">
        <v>17</v>
      </c>
      <c r="W174" s="17"/>
    </row>
    <row r="175" spans="1:23" ht="409.6">
      <c r="A175" s="156" t="s">
        <v>455</v>
      </c>
      <c r="B175" s="156" t="s">
        <v>2470</v>
      </c>
      <c r="C175" s="17" t="s">
        <v>1675</v>
      </c>
      <c r="D175" s="18" t="s">
        <v>36</v>
      </c>
      <c r="E175" s="17" t="s">
        <v>1675</v>
      </c>
      <c r="F175" s="18" t="s">
        <v>60</v>
      </c>
      <c r="G175" s="17" t="s">
        <v>1675</v>
      </c>
      <c r="H175" s="18" t="s">
        <v>29</v>
      </c>
      <c r="I175" s="17" t="s">
        <v>1675</v>
      </c>
      <c r="J175" s="18" t="s">
        <v>2418</v>
      </c>
      <c r="K175" s="17" t="s">
        <v>1675</v>
      </c>
      <c r="L175" s="18" t="s">
        <v>2419</v>
      </c>
      <c r="M175" s="17" t="s">
        <v>1675</v>
      </c>
      <c r="N175" s="18" t="s">
        <v>2420</v>
      </c>
      <c r="O175" s="17" t="s">
        <v>1675</v>
      </c>
      <c r="P175" s="18" t="s">
        <v>2421</v>
      </c>
      <c r="Q175" s="17" t="s">
        <v>1675</v>
      </c>
      <c r="R175" s="17" t="s">
        <v>2422</v>
      </c>
      <c r="S175" s="17" t="s">
        <v>1675</v>
      </c>
      <c r="T175" s="17" t="s">
        <v>17</v>
      </c>
      <c r="U175" s="17" t="s">
        <v>1675</v>
      </c>
      <c r="V175" s="17" t="s">
        <v>2423</v>
      </c>
      <c r="W175" s="17"/>
    </row>
    <row r="176" spans="1:23" ht="409.6">
      <c r="A176" s="156"/>
      <c r="B176" s="156"/>
      <c r="C176" s="17" t="s">
        <v>1681</v>
      </c>
      <c r="D176" s="18" t="s">
        <v>36</v>
      </c>
      <c r="E176" s="17" t="s">
        <v>1681</v>
      </c>
      <c r="F176" s="18" t="s">
        <v>60</v>
      </c>
      <c r="G176" s="17" t="s">
        <v>1681</v>
      </c>
      <c r="H176" s="18" t="s">
        <v>29</v>
      </c>
      <c r="I176" s="17" t="s">
        <v>1681</v>
      </c>
      <c r="J176" s="18" t="s">
        <v>2418</v>
      </c>
      <c r="K176" s="17" t="s">
        <v>1681</v>
      </c>
      <c r="L176" s="18" t="s">
        <v>2424</v>
      </c>
      <c r="M176" s="17" t="s">
        <v>1681</v>
      </c>
      <c r="N176" s="18" t="s">
        <v>2425</v>
      </c>
      <c r="O176" s="17" t="s">
        <v>1681</v>
      </c>
      <c r="P176" s="18" t="s">
        <v>2421</v>
      </c>
      <c r="Q176" s="17" t="s">
        <v>1681</v>
      </c>
      <c r="R176" s="17" t="s">
        <v>2426</v>
      </c>
      <c r="S176" s="17" t="s">
        <v>1681</v>
      </c>
      <c r="T176" s="17" t="s">
        <v>17</v>
      </c>
      <c r="U176" s="17" t="s">
        <v>1681</v>
      </c>
      <c r="V176" s="17" t="s">
        <v>2423</v>
      </c>
      <c r="W176" s="17"/>
    </row>
    <row r="177" spans="1:23" ht="270">
      <c r="A177" s="156"/>
      <c r="B177" s="156"/>
      <c r="C177" s="17" t="s">
        <v>1685</v>
      </c>
      <c r="D177" s="18" t="s">
        <v>36</v>
      </c>
      <c r="E177" s="17" t="s">
        <v>1685</v>
      </c>
      <c r="F177" s="18" t="s">
        <v>60</v>
      </c>
      <c r="G177" s="17" t="s">
        <v>1685</v>
      </c>
      <c r="H177" s="18" t="s">
        <v>88</v>
      </c>
      <c r="I177" s="17" t="s">
        <v>1685</v>
      </c>
      <c r="J177" s="18" t="s">
        <v>2471</v>
      </c>
      <c r="K177" s="17" t="s">
        <v>1685</v>
      </c>
      <c r="L177" s="18" t="s">
        <v>2472</v>
      </c>
      <c r="M177" s="17" t="s">
        <v>1685</v>
      </c>
      <c r="N177" s="18" t="s">
        <v>2473</v>
      </c>
      <c r="O177" s="17" t="s">
        <v>1685</v>
      </c>
      <c r="P177" s="18" t="s">
        <v>2474</v>
      </c>
      <c r="Q177" s="17" t="s">
        <v>1685</v>
      </c>
      <c r="R177" s="17" t="s">
        <v>2475</v>
      </c>
      <c r="S177" s="17" t="s">
        <v>1685</v>
      </c>
      <c r="T177" s="17" t="s">
        <v>17</v>
      </c>
      <c r="U177" s="17" t="s">
        <v>1685</v>
      </c>
      <c r="V177" s="17" t="s">
        <v>17</v>
      </c>
      <c r="W177" s="17"/>
    </row>
    <row r="178" spans="1:23" ht="409.6">
      <c r="A178" s="156"/>
      <c r="B178" s="156"/>
      <c r="C178" s="17" t="s">
        <v>1688</v>
      </c>
      <c r="D178" s="18" t="s">
        <v>36</v>
      </c>
      <c r="E178" s="17" t="s">
        <v>1688</v>
      </c>
      <c r="F178" s="18" t="s">
        <v>2431</v>
      </c>
      <c r="G178" s="17" t="s">
        <v>1688</v>
      </c>
      <c r="H178" s="18" t="s">
        <v>88</v>
      </c>
      <c r="I178" s="17" t="s">
        <v>1688</v>
      </c>
      <c r="J178" s="18" t="s">
        <v>2432</v>
      </c>
      <c r="K178" s="17" t="s">
        <v>1688</v>
      </c>
      <c r="L178" s="18" t="s">
        <v>2433</v>
      </c>
      <c r="M178" s="17" t="s">
        <v>1688</v>
      </c>
      <c r="N178" s="18" t="s">
        <v>2434</v>
      </c>
      <c r="O178" s="17" t="s">
        <v>1688</v>
      </c>
      <c r="P178" s="18" t="s">
        <v>32</v>
      </c>
      <c r="Q178" s="17" t="s">
        <v>1688</v>
      </c>
      <c r="R178" s="17" t="s">
        <v>2435</v>
      </c>
      <c r="S178" s="17" t="s">
        <v>1688</v>
      </c>
      <c r="T178" s="17" t="s">
        <v>2436</v>
      </c>
      <c r="U178" s="17" t="s">
        <v>1688</v>
      </c>
      <c r="V178" s="17" t="s">
        <v>2437</v>
      </c>
      <c r="W178" s="17"/>
    </row>
    <row r="179" spans="1:23" ht="409.6">
      <c r="A179" s="156" t="s">
        <v>383</v>
      </c>
      <c r="B179" s="156" t="s">
        <v>2476</v>
      </c>
      <c r="C179" s="17" t="s">
        <v>1675</v>
      </c>
      <c r="D179" s="18" t="s">
        <v>36</v>
      </c>
      <c r="E179" s="17" t="s">
        <v>1675</v>
      </c>
      <c r="F179" s="18" t="s">
        <v>60</v>
      </c>
      <c r="G179" s="17" t="s">
        <v>1675</v>
      </c>
      <c r="H179" s="18" t="s">
        <v>29</v>
      </c>
      <c r="I179" s="17" t="s">
        <v>1675</v>
      </c>
      <c r="J179" s="18" t="s">
        <v>2395</v>
      </c>
      <c r="K179" s="17" t="s">
        <v>1675</v>
      </c>
      <c r="L179" s="18" t="s">
        <v>2396</v>
      </c>
      <c r="M179" s="17" t="s">
        <v>1675</v>
      </c>
      <c r="N179" s="18" t="s">
        <v>2397</v>
      </c>
      <c r="O179" s="17" t="s">
        <v>1675</v>
      </c>
      <c r="P179" s="18" t="s">
        <v>2398</v>
      </c>
      <c r="Q179" s="17" t="s">
        <v>1675</v>
      </c>
      <c r="R179" s="17" t="s">
        <v>2399</v>
      </c>
      <c r="S179" s="17" t="s">
        <v>1675</v>
      </c>
      <c r="T179" s="17" t="s">
        <v>17</v>
      </c>
      <c r="U179" s="17" t="s">
        <v>1675</v>
      </c>
      <c r="V179" s="17" t="s">
        <v>2400</v>
      </c>
      <c r="W179" s="17"/>
    </row>
    <row r="180" spans="1:23" ht="409.6">
      <c r="A180" s="156"/>
      <c r="B180" s="156"/>
      <c r="C180" s="17" t="s">
        <v>1681</v>
      </c>
      <c r="D180" s="18" t="s">
        <v>36</v>
      </c>
      <c r="E180" s="17" t="s">
        <v>1681</v>
      </c>
      <c r="F180" s="18" t="s">
        <v>60</v>
      </c>
      <c r="G180" s="17" t="s">
        <v>1681</v>
      </c>
      <c r="H180" s="18" t="s">
        <v>29</v>
      </c>
      <c r="I180" s="17" t="s">
        <v>1681</v>
      </c>
      <c r="J180" s="18" t="s">
        <v>2395</v>
      </c>
      <c r="K180" s="17" t="s">
        <v>1681</v>
      </c>
      <c r="L180" s="18" t="s">
        <v>2401</v>
      </c>
      <c r="M180" s="17" t="s">
        <v>1681</v>
      </c>
      <c r="N180" s="18" t="s">
        <v>2402</v>
      </c>
      <c r="O180" s="17" t="s">
        <v>1681</v>
      </c>
      <c r="P180" s="18" t="s">
        <v>2403</v>
      </c>
      <c r="Q180" s="17" t="s">
        <v>1681</v>
      </c>
      <c r="R180" s="17" t="s">
        <v>2404</v>
      </c>
      <c r="S180" s="17" t="s">
        <v>1681</v>
      </c>
      <c r="T180" s="17" t="s">
        <v>17</v>
      </c>
      <c r="U180" s="17" t="s">
        <v>1681</v>
      </c>
      <c r="V180" s="17" t="s">
        <v>4087</v>
      </c>
      <c r="W180" s="17"/>
    </row>
    <row r="181" spans="1:23" ht="409.6">
      <c r="A181" s="156"/>
      <c r="B181" s="156"/>
      <c r="C181" s="17" t="s">
        <v>1685</v>
      </c>
      <c r="D181" s="18" t="s">
        <v>36</v>
      </c>
      <c r="E181" s="17" t="s">
        <v>1685</v>
      </c>
      <c r="F181" s="18" t="s">
        <v>60</v>
      </c>
      <c r="G181" s="17" t="s">
        <v>1685</v>
      </c>
      <c r="H181" s="18" t="s">
        <v>88</v>
      </c>
      <c r="I181" s="17" t="s">
        <v>1685</v>
      </c>
      <c r="J181" s="18" t="s">
        <v>2477</v>
      </c>
      <c r="K181" s="17" t="s">
        <v>1685</v>
      </c>
      <c r="L181" s="18" t="s">
        <v>2478</v>
      </c>
      <c r="M181" s="17" t="s">
        <v>1685</v>
      </c>
      <c r="N181" s="18" t="s">
        <v>2479</v>
      </c>
      <c r="O181" s="17" t="s">
        <v>1685</v>
      </c>
      <c r="P181" s="18" t="s">
        <v>2408</v>
      </c>
      <c r="Q181" s="17" t="s">
        <v>1685</v>
      </c>
      <c r="R181" s="17" t="s">
        <v>2480</v>
      </c>
      <c r="S181" s="17" t="s">
        <v>1685</v>
      </c>
      <c r="T181" s="17" t="s">
        <v>17</v>
      </c>
      <c r="U181" s="17" t="s">
        <v>1685</v>
      </c>
      <c r="V181" s="17" t="s">
        <v>2481</v>
      </c>
      <c r="W181" s="17"/>
    </row>
    <row r="182" spans="1:23" ht="409.6">
      <c r="A182" s="156"/>
      <c r="B182" s="156"/>
      <c r="C182" s="17" t="s">
        <v>1688</v>
      </c>
      <c r="D182" s="18" t="s">
        <v>36</v>
      </c>
      <c r="E182" s="17" t="s">
        <v>1688</v>
      </c>
      <c r="F182" s="18" t="s">
        <v>2411</v>
      </c>
      <c r="G182" s="17" t="s">
        <v>1688</v>
      </c>
      <c r="H182" s="18" t="s">
        <v>88</v>
      </c>
      <c r="I182" s="17" t="s">
        <v>1688</v>
      </c>
      <c r="J182" s="18" t="s">
        <v>2412</v>
      </c>
      <c r="K182" s="17" t="s">
        <v>1688</v>
      </c>
      <c r="L182" s="41" t="s">
        <v>2413</v>
      </c>
      <c r="M182" s="17" t="s">
        <v>1688</v>
      </c>
      <c r="N182" s="18" t="s">
        <v>2414</v>
      </c>
      <c r="O182" s="17" t="s">
        <v>1688</v>
      </c>
      <c r="P182" s="18" t="s">
        <v>2415</v>
      </c>
      <c r="Q182" s="17" t="s">
        <v>1688</v>
      </c>
      <c r="R182" s="17" t="s">
        <v>2416</v>
      </c>
      <c r="S182" s="17" t="s">
        <v>1688</v>
      </c>
      <c r="T182" s="17" t="s">
        <v>17</v>
      </c>
      <c r="U182" s="17" t="s">
        <v>1688</v>
      </c>
      <c r="V182" s="17" t="s">
        <v>2417</v>
      </c>
      <c r="W182" s="17"/>
    </row>
    <row r="183" spans="1:23" ht="409.6">
      <c r="A183" s="156" t="s">
        <v>435</v>
      </c>
      <c r="B183" s="156"/>
      <c r="C183" s="17" t="s">
        <v>1675</v>
      </c>
      <c r="D183" s="18" t="s">
        <v>36</v>
      </c>
      <c r="E183" s="17" t="s">
        <v>1675</v>
      </c>
      <c r="F183" s="18" t="s">
        <v>60</v>
      </c>
      <c r="G183" s="17" t="s">
        <v>1675</v>
      </c>
      <c r="H183" s="18" t="s">
        <v>29</v>
      </c>
      <c r="I183" s="17" t="s">
        <v>1675</v>
      </c>
      <c r="J183" s="18" t="s">
        <v>17</v>
      </c>
      <c r="K183" s="17" t="s">
        <v>1675</v>
      </c>
      <c r="L183" s="18" t="s">
        <v>2482</v>
      </c>
      <c r="M183" s="17" t="s">
        <v>1675</v>
      </c>
      <c r="N183" s="18" t="s">
        <v>2483</v>
      </c>
      <c r="O183" s="17" t="s">
        <v>1675</v>
      </c>
      <c r="P183" s="18" t="s">
        <v>2408</v>
      </c>
      <c r="Q183" s="17" t="s">
        <v>1675</v>
      </c>
      <c r="R183" s="17" t="s">
        <v>2484</v>
      </c>
      <c r="S183" s="17" t="s">
        <v>1675</v>
      </c>
      <c r="T183" s="17" t="s">
        <v>2485</v>
      </c>
      <c r="U183" s="17" t="s">
        <v>1675</v>
      </c>
      <c r="V183" s="17" t="s">
        <v>17</v>
      </c>
      <c r="W183" s="17"/>
    </row>
    <row r="184" spans="1:23" ht="165">
      <c r="A184" s="156"/>
      <c r="B184" s="156"/>
      <c r="C184" s="17" t="s">
        <v>1681</v>
      </c>
      <c r="D184" s="18" t="s">
        <v>36</v>
      </c>
      <c r="E184" s="17" t="s">
        <v>1681</v>
      </c>
      <c r="F184" s="18" t="s">
        <v>60</v>
      </c>
      <c r="G184" s="17" t="s">
        <v>1681</v>
      </c>
      <c r="H184" s="18" t="s">
        <v>29</v>
      </c>
      <c r="I184" s="17" t="s">
        <v>1681</v>
      </c>
      <c r="J184" s="18" t="s">
        <v>2486</v>
      </c>
      <c r="K184" s="17" t="s">
        <v>1681</v>
      </c>
      <c r="L184" s="18" t="s">
        <v>2487</v>
      </c>
      <c r="M184" s="17" t="s">
        <v>1681</v>
      </c>
      <c r="N184" s="18" t="s">
        <v>2488</v>
      </c>
      <c r="O184" s="17" t="s">
        <v>1681</v>
      </c>
      <c r="P184" s="18" t="s">
        <v>17</v>
      </c>
      <c r="Q184" s="17" t="s">
        <v>1681</v>
      </c>
      <c r="R184" s="17" t="s">
        <v>17</v>
      </c>
      <c r="S184" s="17" t="s">
        <v>1681</v>
      </c>
      <c r="T184" s="17" t="s">
        <v>17</v>
      </c>
      <c r="U184" s="17" t="s">
        <v>1681</v>
      </c>
      <c r="V184" s="17" t="s">
        <v>17</v>
      </c>
      <c r="W184" s="17"/>
    </row>
    <row r="185" spans="1:23" ht="75">
      <c r="A185" s="156"/>
      <c r="B185" s="156"/>
      <c r="C185" s="17" t="s">
        <v>1685</v>
      </c>
      <c r="D185" s="18" t="s">
        <v>36</v>
      </c>
      <c r="E185" s="17" t="s">
        <v>1685</v>
      </c>
      <c r="F185" s="18" t="s">
        <v>60</v>
      </c>
      <c r="G185" s="17" t="s">
        <v>1685</v>
      </c>
      <c r="H185" s="18" t="s">
        <v>88</v>
      </c>
      <c r="I185" s="17" t="s">
        <v>1685</v>
      </c>
      <c r="J185" s="18" t="s">
        <v>17</v>
      </c>
      <c r="K185" s="17" t="s">
        <v>1685</v>
      </c>
      <c r="L185" s="18" t="s">
        <v>2489</v>
      </c>
      <c r="M185" s="17" t="s">
        <v>1685</v>
      </c>
      <c r="N185" s="18" t="s">
        <v>2117</v>
      </c>
      <c r="O185" s="17" t="s">
        <v>1685</v>
      </c>
      <c r="P185" s="18" t="s">
        <v>17</v>
      </c>
      <c r="Q185" s="17" t="s">
        <v>1685</v>
      </c>
      <c r="R185" s="17" t="s">
        <v>17</v>
      </c>
      <c r="S185" s="17" t="s">
        <v>1685</v>
      </c>
      <c r="T185" s="17" t="s">
        <v>17</v>
      </c>
      <c r="U185" s="17" t="s">
        <v>1685</v>
      </c>
      <c r="V185" s="17" t="s">
        <v>17</v>
      </c>
      <c r="W185" s="17"/>
    </row>
    <row r="186" spans="1:23" ht="409.6">
      <c r="A186" s="156"/>
      <c r="B186" s="156"/>
      <c r="C186" s="17" t="s">
        <v>1688</v>
      </c>
      <c r="D186" s="28" t="s">
        <v>564</v>
      </c>
      <c r="E186" s="17" t="s">
        <v>1688</v>
      </c>
      <c r="F186" s="18" t="s">
        <v>2490</v>
      </c>
      <c r="G186" s="17" t="s">
        <v>1688</v>
      </c>
      <c r="H186" s="18" t="s">
        <v>88</v>
      </c>
      <c r="I186" s="17" t="s">
        <v>1688</v>
      </c>
      <c r="J186" s="18" t="s">
        <v>17</v>
      </c>
      <c r="K186" s="17" t="s">
        <v>1688</v>
      </c>
      <c r="L186" s="28" t="s">
        <v>2491</v>
      </c>
      <c r="M186" s="17" t="s">
        <v>1688</v>
      </c>
      <c r="N186" s="28" t="s">
        <v>2492</v>
      </c>
      <c r="O186" s="17" t="s">
        <v>1688</v>
      </c>
      <c r="P186" s="18" t="s">
        <v>17</v>
      </c>
      <c r="Q186" s="17" t="s">
        <v>1688</v>
      </c>
      <c r="R186" s="17" t="s">
        <v>2493</v>
      </c>
      <c r="S186" s="17" t="s">
        <v>1688</v>
      </c>
      <c r="T186" s="17" t="s">
        <v>17</v>
      </c>
      <c r="U186" s="17" t="s">
        <v>1688</v>
      </c>
      <c r="V186" s="17" t="s">
        <v>2494</v>
      </c>
      <c r="W186" s="17"/>
    </row>
    <row r="187" spans="1:23" ht="409.6">
      <c r="A187" s="156" t="s">
        <v>415</v>
      </c>
      <c r="B187" s="156" t="s">
        <v>416</v>
      </c>
      <c r="C187" s="17" t="s">
        <v>1675</v>
      </c>
      <c r="D187" s="18" t="s">
        <v>36</v>
      </c>
      <c r="E187" s="17" t="s">
        <v>1675</v>
      </c>
      <c r="F187" s="18" t="s">
        <v>60</v>
      </c>
      <c r="G187" s="17" t="s">
        <v>1675</v>
      </c>
      <c r="H187" s="18" t="s">
        <v>29</v>
      </c>
      <c r="I187" s="17" t="s">
        <v>1675</v>
      </c>
      <c r="J187" s="18" t="s">
        <v>17</v>
      </c>
      <c r="K187" s="17" t="s">
        <v>1675</v>
      </c>
      <c r="L187" s="18" t="s">
        <v>2495</v>
      </c>
      <c r="M187" s="17" t="s">
        <v>1675</v>
      </c>
      <c r="N187" s="18" t="s">
        <v>2496</v>
      </c>
      <c r="O187" s="17" t="s">
        <v>1675</v>
      </c>
      <c r="P187" s="18" t="s">
        <v>17</v>
      </c>
      <c r="Q187" s="17" t="s">
        <v>1675</v>
      </c>
      <c r="R187" s="17" t="s">
        <v>2497</v>
      </c>
      <c r="S187" s="17" t="s">
        <v>1675</v>
      </c>
      <c r="T187" s="17" t="s">
        <v>2498</v>
      </c>
      <c r="U187" s="17" t="s">
        <v>1675</v>
      </c>
      <c r="V187" s="17" t="s">
        <v>17</v>
      </c>
      <c r="W187" s="17"/>
    </row>
    <row r="188" spans="1:23" ht="409.6">
      <c r="A188" s="156"/>
      <c r="B188" s="156"/>
      <c r="C188" s="17" t="s">
        <v>1681</v>
      </c>
      <c r="D188" s="18" t="s">
        <v>36</v>
      </c>
      <c r="E188" s="17" t="s">
        <v>1681</v>
      </c>
      <c r="F188" s="18" t="s">
        <v>60</v>
      </c>
      <c r="G188" s="17" t="s">
        <v>1681</v>
      </c>
      <c r="H188" s="18" t="s">
        <v>29</v>
      </c>
      <c r="I188" s="17" t="s">
        <v>1681</v>
      </c>
      <c r="J188" s="18" t="s">
        <v>17</v>
      </c>
      <c r="K188" s="17" t="s">
        <v>1681</v>
      </c>
      <c r="L188" s="18" t="s">
        <v>2499</v>
      </c>
      <c r="M188" s="17" t="s">
        <v>1681</v>
      </c>
      <c r="N188" s="18" t="s">
        <v>2500</v>
      </c>
      <c r="O188" s="17" t="s">
        <v>1681</v>
      </c>
      <c r="P188" s="18" t="s">
        <v>17</v>
      </c>
      <c r="Q188" s="17" t="s">
        <v>1681</v>
      </c>
      <c r="R188" s="17" t="s">
        <v>2501</v>
      </c>
      <c r="S188" s="17" t="s">
        <v>1681</v>
      </c>
      <c r="T188" s="17" t="s">
        <v>2502</v>
      </c>
      <c r="U188" s="17" t="s">
        <v>1681</v>
      </c>
      <c r="V188" s="17" t="s">
        <v>17</v>
      </c>
      <c r="W188" s="17"/>
    </row>
    <row r="189" spans="1:23" ht="409.6">
      <c r="A189" s="156"/>
      <c r="B189" s="156"/>
      <c r="C189" s="17" t="s">
        <v>1685</v>
      </c>
      <c r="D189" s="18" t="s">
        <v>36</v>
      </c>
      <c r="E189" s="17" t="s">
        <v>1685</v>
      </c>
      <c r="F189" s="18" t="s">
        <v>60</v>
      </c>
      <c r="G189" s="17" t="s">
        <v>1685</v>
      </c>
      <c r="H189" s="18" t="s">
        <v>88</v>
      </c>
      <c r="I189" s="17" t="s">
        <v>1685</v>
      </c>
      <c r="J189" s="18" t="s">
        <v>2503</v>
      </c>
      <c r="K189" s="17" t="s">
        <v>1685</v>
      </c>
      <c r="L189" s="18" t="s">
        <v>2504</v>
      </c>
      <c r="M189" s="17" t="s">
        <v>1685</v>
      </c>
      <c r="N189" s="18" t="s">
        <v>2505</v>
      </c>
      <c r="O189" s="17" t="s">
        <v>1685</v>
      </c>
      <c r="P189" s="18" t="s">
        <v>258</v>
      </c>
      <c r="Q189" s="17" t="s">
        <v>1685</v>
      </c>
      <c r="R189" s="17" t="s">
        <v>2506</v>
      </c>
      <c r="S189" s="17" t="s">
        <v>1685</v>
      </c>
      <c r="T189" s="17" t="s">
        <v>17</v>
      </c>
      <c r="U189" s="17" t="s">
        <v>1685</v>
      </c>
      <c r="V189" s="17" t="s">
        <v>17</v>
      </c>
      <c r="W189" s="17"/>
    </row>
    <row r="190" spans="1:23" ht="409.6">
      <c r="A190" s="156"/>
      <c r="B190" s="156"/>
      <c r="C190" s="17" t="s">
        <v>1688</v>
      </c>
      <c r="D190" s="18" t="s">
        <v>36</v>
      </c>
      <c r="E190" s="17" t="s">
        <v>1688</v>
      </c>
      <c r="F190" s="18" t="s">
        <v>60</v>
      </c>
      <c r="G190" s="17" t="s">
        <v>1688</v>
      </c>
      <c r="H190" s="18" t="s">
        <v>88</v>
      </c>
      <c r="I190" s="17" t="s">
        <v>1688</v>
      </c>
      <c r="J190" s="18" t="s">
        <v>418</v>
      </c>
      <c r="K190" s="17" t="s">
        <v>1688</v>
      </c>
      <c r="L190" s="18" t="s">
        <v>2507</v>
      </c>
      <c r="M190" s="17" t="s">
        <v>1688</v>
      </c>
      <c r="N190" s="18" t="s">
        <v>2508</v>
      </c>
      <c r="O190" s="17" t="s">
        <v>1688</v>
      </c>
      <c r="P190" s="18" t="s">
        <v>258</v>
      </c>
      <c r="Q190" s="17" t="s">
        <v>1688</v>
      </c>
      <c r="R190" s="17" t="s">
        <v>2509</v>
      </c>
      <c r="S190" s="17" t="s">
        <v>1688</v>
      </c>
      <c r="T190" s="17" t="s">
        <v>17</v>
      </c>
      <c r="U190" s="17" t="s">
        <v>1688</v>
      </c>
      <c r="V190" s="17" t="s">
        <v>17</v>
      </c>
      <c r="W190" s="17"/>
    </row>
    <row r="191" spans="1:23" ht="409.6">
      <c r="A191" s="156" t="s">
        <v>318</v>
      </c>
      <c r="B191" s="156" t="s">
        <v>74</v>
      </c>
      <c r="C191" s="17" t="s">
        <v>1675</v>
      </c>
      <c r="D191" s="18" t="s">
        <v>36</v>
      </c>
      <c r="E191" s="17" t="s">
        <v>1675</v>
      </c>
      <c r="F191" s="18" t="s">
        <v>60</v>
      </c>
      <c r="G191" s="17" t="s">
        <v>1675</v>
      </c>
      <c r="H191" s="18" t="s">
        <v>29</v>
      </c>
      <c r="I191" s="17" t="s">
        <v>1675</v>
      </c>
      <c r="J191" s="18" t="s">
        <v>17</v>
      </c>
      <c r="K191" s="17" t="s">
        <v>1675</v>
      </c>
      <c r="L191" s="18" t="s">
        <v>2510</v>
      </c>
      <c r="M191" s="17" t="s">
        <v>1675</v>
      </c>
      <c r="N191" s="18" t="s">
        <v>2511</v>
      </c>
      <c r="O191" s="17" t="s">
        <v>1675</v>
      </c>
      <c r="P191" s="18" t="s">
        <v>17</v>
      </c>
      <c r="Q191" s="17" t="s">
        <v>1675</v>
      </c>
      <c r="R191" s="17" t="s">
        <v>2512</v>
      </c>
      <c r="S191" s="17" t="s">
        <v>1675</v>
      </c>
      <c r="T191" s="17" t="s">
        <v>2513</v>
      </c>
      <c r="U191" s="17" t="s">
        <v>1675</v>
      </c>
      <c r="V191" s="17" t="s">
        <v>17</v>
      </c>
      <c r="W191" s="17"/>
    </row>
    <row r="192" spans="1:23" ht="409.6">
      <c r="A192" s="156"/>
      <c r="B192" s="156"/>
      <c r="C192" s="17" t="s">
        <v>1681</v>
      </c>
      <c r="D192" s="18" t="s">
        <v>36</v>
      </c>
      <c r="E192" s="17" t="s">
        <v>1681</v>
      </c>
      <c r="F192" s="18" t="s">
        <v>60</v>
      </c>
      <c r="G192" s="17" t="s">
        <v>1681</v>
      </c>
      <c r="H192" s="18" t="s">
        <v>29</v>
      </c>
      <c r="I192" s="17" t="s">
        <v>1681</v>
      </c>
      <c r="J192" s="18" t="s">
        <v>17</v>
      </c>
      <c r="K192" s="17" t="s">
        <v>1681</v>
      </c>
      <c r="L192" s="18" t="s">
        <v>2514</v>
      </c>
      <c r="M192" s="17" t="s">
        <v>1681</v>
      </c>
      <c r="N192" s="18" t="s">
        <v>2515</v>
      </c>
      <c r="O192" s="17" t="s">
        <v>1681</v>
      </c>
      <c r="P192" s="18" t="s">
        <v>17</v>
      </c>
      <c r="Q192" s="17" t="s">
        <v>1681</v>
      </c>
      <c r="R192" s="17" t="s">
        <v>2516</v>
      </c>
      <c r="S192" s="17" t="s">
        <v>1681</v>
      </c>
      <c r="T192" s="17" t="s">
        <v>2513</v>
      </c>
      <c r="U192" s="17" t="s">
        <v>1681</v>
      </c>
      <c r="V192" s="17" t="s">
        <v>17</v>
      </c>
      <c r="W192" s="17"/>
    </row>
    <row r="193" spans="1:23" ht="409.6">
      <c r="A193" s="156"/>
      <c r="B193" s="156"/>
      <c r="C193" s="17" t="s">
        <v>1685</v>
      </c>
      <c r="D193" s="18" t="s">
        <v>36</v>
      </c>
      <c r="E193" s="17" t="s">
        <v>1685</v>
      </c>
      <c r="F193" s="18" t="s">
        <v>60</v>
      </c>
      <c r="G193" s="17" t="s">
        <v>1685</v>
      </c>
      <c r="H193" s="18" t="s">
        <v>88</v>
      </c>
      <c r="I193" s="17" t="s">
        <v>1685</v>
      </c>
      <c r="J193" s="18" t="s">
        <v>17</v>
      </c>
      <c r="K193" s="17" t="s">
        <v>1685</v>
      </c>
      <c r="L193" s="18" t="s">
        <v>2517</v>
      </c>
      <c r="M193" s="17" t="s">
        <v>1685</v>
      </c>
      <c r="N193" s="18" t="s">
        <v>2518</v>
      </c>
      <c r="O193" s="17" t="s">
        <v>1685</v>
      </c>
      <c r="P193" s="18" t="s">
        <v>1343</v>
      </c>
      <c r="Q193" s="17" t="s">
        <v>1685</v>
      </c>
      <c r="R193" s="17" t="s">
        <v>2519</v>
      </c>
      <c r="S193" s="17" t="s">
        <v>1685</v>
      </c>
      <c r="T193" s="17" t="s">
        <v>17</v>
      </c>
      <c r="U193" s="17" t="s">
        <v>1685</v>
      </c>
      <c r="V193" s="17" t="s">
        <v>2520</v>
      </c>
      <c r="W193" s="17"/>
    </row>
    <row r="194" spans="1:23" ht="409.6">
      <c r="A194" s="156"/>
      <c r="B194" s="156"/>
      <c r="C194" s="17" t="s">
        <v>1688</v>
      </c>
      <c r="D194" s="35" t="s">
        <v>2521</v>
      </c>
      <c r="E194" s="17" t="s">
        <v>1688</v>
      </c>
      <c r="F194" s="43" t="s">
        <v>320</v>
      </c>
      <c r="G194" s="17" t="s">
        <v>1688</v>
      </c>
      <c r="H194" s="18" t="s">
        <v>88</v>
      </c>
      <c r="I194" s="17" t="s">
        <v>1688</v>
      </c>
      <c r="J194" s="18" t="s">
        <v>17</v>
      </c>
      <c r="K194" s="17" t="s">
        <v>1688</v>
      </c>
      <c r="L194" s="43" t="s">
        <v>2522</v>
      </c>
      <c r="M194" s="44" t="s">
        <v>1688</v>
      </c>
      <c r="N194" s="43" t="s">
        <v>2523</v>
      </c>
      <c r="O194" s="44" t="s">
        <v>1688</v>
      </c>
      <c r="P194" s="43" t="s">
        <v>323</v>
      </c>
      <c r="Q194" s="44" t="s">
        <v>1688</v>
      </c>
      <c r="R194" s="44" t="s">
        <v>2524</v>
      </c>
      <c r="S194" s="17" t="s">
        <v>1688</v>
      </c>
      <c r="T194" s="17" t="s">
        <v>17</v>
      </c>
      <c r="U194" s="17" t="s">
        <v>1688</v>
      </c>
      <c r="V194" s="43" t="s">
        <v>2525</v>
      </c>
      <c r="W194" s="17"/>
    </row>
    <row r="195" spans="1:23" ht="409.6">
      <c r="A195" s="156" t="s">
        <v>287</v>
      </c>
      <c r="B195" s="156" t="s">
        <v>116</v>
      </c>
      <c r="C195" s="17" t="s">
        <v>1675</v>
      </c>
      <c r="D195" s="18" t="s">
        <v>36</v>
      </c>
      <c r="E195" s="17" t="s">
        <v>1675</v>
      </c>
      <c r="F195" s="18" t="s">
        <v>60</v>
      </c>
      <c r="G195" s="17" t="s">
        <v>1675</v>
      </c>
      <c r="H195" s="18" t="s">
        <v>29</v>
      </c>
      <c r="I195" s="17" t="s">
        <v>1675</v>
      </c>
      <c r="J195" s="18" t="s">
        <v>17</v>
      </c>
      <c r="K195" s="17" t="s">
        <v>1675</v>
      </c>
      <c r="L195" s="18" t="s">
        <v>2526</v>
      </c>
      <c r="M195" s="17" t="s">
        <v>1675</v>
      </c>
      <c r="N195" s="18" t="s">
        <v>2527</v>
      </c>
      <c r="O195" s="17" t="s">
        <v>1675</v>
      </c>
      <c r="P195" s="18" t="s">
        <v>17</v>
      </c>
      <c r="Q195" s="17" t="s">
        <v>1675</v>
      </c>
      <c r="R195" s="17" t="s">
        <v>2528</v>
      </c>
      <c r="S195" s="17" t="s">
        <v>1675</v>
      </c>
      <c r="T195" s="17" t="s">
        <v>17</v>
      </c>
      <c r="U195" s="17" t="s">
        <v>1675</v>
      </c>
      <c r="V195" s="17" t="s">
        <v>2529</v>
      </c>
      <c r="W195" s="17"/>
    </row>
    <row r="196" spans="1:23" ht="409.6">
      <c r="A196" s="156"/>
      <c r="B196" s="156"/>
      <c r="C196" s="17" t="s">
        <v>1681</v>
      </c>
      <c r="D196" s="18" t="s">
        <v>36</v>
      </c>
      <c r="E196" s="17" t="s">
        <v>1681</v>
      </c>
      <c r="F196" s="18" t="s">
        <v>60</v>
      </c>
      <c r="G196" s="17" t="s">
        <v>1681</v>
      </c>
      <c r="H196" s="18" t="s">
        <v>29</v>
      </c>
      <c r="I196" s="17" t="s">
        <v>1681</v>
      </c>
      <c r="J196" s="18" t="s">
        <v>2530</v>
      </c>
      <c r="K196" s="17" t="s">
        <v>1681</v>
      </c>
      <c r="L196" s="18" t="s">
        <v>2531</v>
      </c>
      <c r="M196" s="17" t="s">
        <v>1681</v>
      </c>
      <c r="N196" s="18" t="s">
        <v>2532</v>
      </c>
      <c r="O196" s="17" t="s">
        <v>1681</v>
      </c>
      <c r="P196" s="18" t="s">
        <v>2533</v>
      </c>
      <c r="Q196" s="17" t="s">
        <v>1681</v>
      </c>
      <c r="R196" s="17" t="s">
        <v>2534</v>
      </c>
      <c r="S196" s="17" t="s">
        <v>1681</v>
      </c>
      <c r="T196" s="17" t="s">
        <v>2535</v>
      </c>
      <c r="U196" s="17" t="s">
        <v>1681</v>
      </c>
      <c r="V196" s="17" t="s">
        <v>2536</v>
      </c>
      <c r="W196" s="17"/>
    </row>
    <row r="197" spans="1:23" ht="409.6">
      <c r="A197" s="156"/>
      <c r="B197" s="156"/>
      <c r="C197" s="17" t="s">
        <v>1685</v>
      </c>
      <c r="D197" s="18" t="s">
        <v>36</v>
      </c>
      <c r="E197" s="17" t="s">
        <v>1685</v>
      </c>
      <c r="F197" s="18" t="s">
        <v>60</v>
      </c>
      <c r="G197" s="17" t="s">
        <v>1685</v>
      </c>
      <c r="H197" s="18" t="s">
        <v>88</v>
      </c>
      <c r="I197" s="17" t="s">
        <v>1685</v>
      </c>
      <c r="J197" s="18" t="s">
        <v>17</v>
      </c>
      <c r="K197" s="17" t="s">
        <v>1685</v>
      </c>
      <c r="L197" s="18" t="s">
        <v>2537</v>
      </c>
      <c r="M197" s="17" t="s">
        <v>1685</v>
      </c>
      <c r="N197" s="18" t="s">
        <v>368</v>
      </c>
      <c r="O197" s="17" t="s">
        <v>1685</v>
      </c>
      <c r="P197" s="18" t="s">
        <v>17</v>
      </c>
      <c r="Q197" s="17" t="s">
        <v>1685</v>
      </c>
      <c r="R197" s="17" t="s">
        <v>2538</v>
      </c>
      <c r="S197" s="17" t="s">
        <v>1685</v>
      </c>
      <c r="T197" s="17" t="s">
        <v>17</v>
      </c>
      <c r="U197" s="17" t="s">
        <v>1685</v>
      </c>
      <c r="V197" s="17" t="s">
        <v>17</v>
      </c>
      <c r="W197" s="17"/>
    </row>
    <row r="198" spans="1:23" ht="409.6">
      <c r="A198" s="156"/>
      <c r="B198" s="156"/>
      <c r="C198" s="17" t="s">
        <v>1688</v>
      </c>
      <c r="D198" s="18" t="s">
        <v>36</v>
      </c>
      <c r="E198" s="17" t="s">
        <v>1688</v>
      </c>
      <c r="F198" s="18" t="s">
        <v>2539</v>
      </c>
      <c r="G198" s="17" t="s">
        <v>1688</v>
      </c>
      <c r="H198" s="18" t="s">
        <v>88</v>
      </c>
      <c r="I198" s="17" t="s">
        <v>1685</v>
      </c>
      <c r="J198" s="18" t="s">
        <v>17</v>
      </c>
      <c r="K198" s="17" t="s">
        <v>1688</v>
      </c>
      <c r="L198" s="18" t="s">
        <v>2537</v>
      </c>
      <c r="M198" s="17" t="s">
        <v>1688</v>
      </c>
      <c r="N198" s="18" t="s">
        <v>2540</v>
      </c>
      <c r="O198" s="17" t="s">
        <v>1688</v>
      </c>
      <c r="P198" s="18" t="s">
        <v>1931</v>
      </c>
      <c r="Q198" s="17" t="s">
        <v>1688</v>
      </c>
      <c r="R198" s="17" t="s">
        <v>2541</v>
      </c>
      <c r="S198" s="17" t="s">
        <v>1688</v>
      </c>
      <c r="T198" s="17" t="s">
        <v>17</v>
      </c>
      <c r="U198" s="17" t="s">
        <v>1688</v>
      </c>
      <c r="V198" s="17" t="s">
        <v>2542</v>
      </c>
      <c r="W198" s="17"/>
    </row>
    <row r="199" spans="1:23" ht="409.6">
      <c r="A199" s="156" t="s">
        <v>809</v>
      </c>
      <c r="B199" s="156" t="s">
        <v>116</v>
      </c>
      <c r="C199" s="17" t="s">
        <v>1675</v>
      </c>
      <c r="D199" s="18" t="s">
        <v>36</v>
      </c>
      <c r="E199" s="17" t="s">
        <v>1675</v>
      </c>
      <c r="F199" s="18" t="s">
        <v>60</v>
      </c>
      <c r="G199" s="17" t="s">
        <v>1675</v>
      </c>
      <c r="H199" s="18" t="s">
        <v>29</v>
      </c>
      <c r="I199" s="17" t="s">
        <v>1675</v>
      </c>
      <c r="J199" s="18" t="s">
        <v>2543</v>
      </c>
      <c r="K199" s="17" t="s">
        <v>1675</v>
      </c>
      <c r="L199" s="18" t="s">
        <v>2544</v>
      </c>
      <c r="M199" s="17" t="s">
        <v>1675</v>
      </c>
      <c r="N199" s="18" t="s">
        <v>2545</v>
      </c>
      <c r="O199" s="17" t="s">
        <v>1675</v>
      </c>
      <c r="P199" s="18" t="s">
        <v>17</v>
      </c>
      <c r="Q199" s="17" t="s">
        <v>1675</v>
      </c>
      <c r="R199" s="17" t="s">
        <v>2546</v>
      </c>
      <c r="S199" s="17" t="s">
        <v>1675</v>
      </c>
      <c r="T199" s="17" t="s">
        <v>17</v>
      </c>
      <c r="U199" s="17" t="s">
        <v>1675</v>
      </c>
      <c r="V199" s="17" t="s">
        <v>17</v>
      </c>
      <c r="W199" s="17"/>
    </row>
    <row r="200" spans="1:23" ht="409.6">
      <c r="A200" s="156"/>
      <c r="B200" s="156"/>
      <c r="C200" s="17" t="s">
        <v>1681</v>
      </c>
      <c r="D200" s="18" t="s">
        <v>36</v>
      </c>
      <c r="E200" s="17" t="s">
        <v>1681</v>
      </c>
      <c r="F200" s="18" t="s">
        <v>60</v>
      </c>
      <c r="G200" s="17" t="s">
        <v>1681</v>
      </c>
      <c r="H200" s="18" t="s">
        <v>29</v>
      </c>
      <c r="I200" s="17" t="s">
        <v>1681</v>
      </c>
      <c r="J200" s="18" t="s">
        <v>2543</v>
      </c>
      <c r="K200" s="17" t="s">
        <v>1681</v>
      </c>
      <c r="L200" s="18" t="s">
        <v>2547</v>
      </c>
      <c r="M200" s="17" t="s">
        <v>1681</v>
      </c>
      <c r="N200" s="18" t="s">
        <v>2548</v>
      </c>
      <c r="O200" s="17" t="s">
        <v>1681</v>
      </c>
      <c r="P200" s="18" t="s">
        <v>17</v>
      </c>
      <c r="Q200" s="17" t="s">
        <v>1681</v>
      </c>
      <c r="R200" s="17" t="s">
        <v>2549</v>
      </c>
      <c r="S200" s="17" t="s">
        <v>1681</v>
      </c>
      <c r="T200" s="17" t="s">
        <v>17</v>
      </c>
      <c r="U200" s="17" t="s">
        <v>1681</v>
      </c>
      <c r="V200" s="17" t="s">
        <v>17</v>
      </c>
      <c r="W200" s="17"/>
    </row>
    <row r="201" spans="1:23" ht="409.6">
      <c r="A201" s="156"/>
      <c r="B201" s="156"/>
      <c r="C201" s="17" t="s">
        <v>1685</v>
      </c>
      <c r="D201" s="18" t="s">
        <v>36</v>
      </c>
      <c r="E201" s="17" t="s">
        <v>1685</v>
      </c>
      <c r="F201" s="18" t="s">
        <v>60</v>
      </c>
      <c r="G201" s="17" t="s">
        <v>1685</v>
      </c>
      <c r="H201" s="18" t="s">
        <v>88</v>
      </c>
      <c r="I201" s="17" t="s">
        <v>1685</v>
      </c>
      <c r="J201" s="18" t="s">
        <v>2550</v>
      </c>
      <c r="K201" s="17" t="s">
        <v>1685</v>
      </c>
      <c r="L201" s="18" t="s">
        <v>2551</v>
      </c>
      <c r="M201" s="17" t="s">
        <v>1685</v>
      </c>
      <c r="N201" s="18" t="s">
        <v>2552</v>
      </c>
      <c r="O201" s="17" t="s">
        <v>1685</v>
      </c>
      <c r="P201" s="18" t="s">
        <v>17</v>
      </c>
      <c r="Q201" s="17" t="s">
        <v>1685</v>
      </c>
      <c r="R201" s="17" t="s">
        <v>2553</v>
      </c>
      <c r="S201" s="17" t="s">
        <v>1685</v>
      </c>
      <c r="T201" s="17" t="s">
        <v>17</v>
      </c>
      <c r="U201" s="17" t="s">
        <v>1685</v>
      </c>
      <c r="V201" s="17" t="s">
        <v>17</v>
      </c>
      <c r="W201" s="17"/>
    </row>
    <row r="202" spans="1:23" ht="409.6">
      <c r="A202" s="156"/>
      <c r="B202" s="156"/>
      <c r="C202" s="17" t="s">
        <v>1688</v>
      </c>
      <c r="D202" s="18" t="s">
        <v>36</v>
      </c>
      <c r="E202" s="17" t="s">
        <v>1688</v>
      </c>
      <c r="F202" s="18" t="s">
        <v>60</v>
      </c>
      <c r="G202" s="17" t="s">
        <v>1688</v>
      </c>
      <c r="H202" s="18" t="s">
        <v>88</v>
      </c>
      <c r="I202" s="17" t="s">
        <v>1688</v>
      </c>
      <c r="J202" s="18" t="s">
        <v>2554</v>
      </c>
      <c r="K202" s="17" t="s">
        <v>1688</v>
      </c>
      <c r="L202" s="18" t="s">
        <v>2555</v>
      </c>
      <c r="M202" s="17" t="s">
        <v>1688</v>
      </c>
      <c r="N202" s="18" t="s">
        <v>2556</v>
      </c>
      <c r="O202" s="17" t="s">
        <v>1688</v>
      </c>
      <c r="P202" s="18" t="s">
        <v>17</v>
      </c>
      <c r="Q202" s="17" t="s">
        <v>1688</v>
      </c>
      <c r="R202" s="17" t="s">
        <v>2557</v>
      </c>
      <c r="S202" s="17" t="s">
        <v>1688</v>
      </c>
      <c r="T202" s="17" t="s">
        <v>17</v>
      </c>
      <c r="U202" s="17" t="s">
        <v>1688</v>
      </c>
      <c r="V202" s="17" t="s">
        <v>2558</v>
      </c>
      <c r="W202" s="17"/>
    </row>
    <row r="203" spans="1:23" ht="30">
      <c r="A203" s="156" t="s">
        <v>809</v>
      </c>
      <c r="B203" s="156" t="s">
        <v>2559</v>
      </c>
      <c r="C203" s="17" t="s">
        <v>1675</v>
      </c>
      <c r="D203" s="18" t="s">
        <v>2282</v>
      </c>
      <c r="E203" s="17" t="s">
        <v>1675</v>
      </c>
      <c r="F203" s="18" t="s">
        <v>2560</v>
      </c>
      <c r="G203" s="17" t="s">
        <v>1675</v>
      </c>
      <c r="H203" s="18" t="s">
        <v>2560</v>
      </c>
      <c r="I203" s="17" t="s">
        <v>1675</v>
      </c>
      <c r="J203" s="18" t="s">
        <v>2560</v>
      </c>
      <c r="K203" s="17" t="s">
        <v>1675</v>
      </c>
      <c r="L203" s="18" t="s">
        <v>2560</v>
      </c>
      <c r="M203" s="17" t="s">
        <v>1675</v>
      </c>
      <c r="N203" s="18" t="s">
        <v>2560</v>
      </c>
      <c r="O203" s="17" t="s">
        <v>1675</v>
      </c>
      <c r="P203" s="18" t="s">
        <v>2560</v>
      </c>
      <c r="Q203" s="17" t="s">
        <v>1675</v>
      </c>
      <c r="R203" s="17" t="s">
        <v>2560</v>
      </c>
      <c r="S203" s="17" t="s">
        <v>1675</v>
      </c>
      <c r="T203" s="17" t="s">
        <v>2560</v>
      </c>
      <c r="U203" s="17" t="s">
        <v>1675</v>
      </c>
      <c r="V203" s="17" t="s">
        <v>2560</v>
      </c>
      <c r="W203" s="17"/>
    </row>
    <row r="204" spans="1:23" ht="409.6">
      <c r="A204" s="156"/>
      <c r="B204" s="156"/>
      <c r="C204" s="17" t="s">
        <v>1681</v>
      </c>
      <c r="D204" s="45" t="s">
        <v>2561</v>
      </c>
      <c r="E204" s="17" t="s">
        <v>1681</v>
      </c>
      <c r="F204" s="45" t="s">
        <v>811</v>
      </c>
      <c r="G204" s="17" t="s">
        <v>1681</v>
      </c>
      <c r="H204" s="18" t="s">
        <v>29</v>
      </c>
      <c r="I204" s="17" t="s">
        <v>1681</v>
      </c>
      <c r="J204" s="45" t="s">
        <v>2562</v>
      </c>
      <c r="K204" s="17" t="s">
        <v>1681</v>
      </c>
      <c r="L204" s="18" t="s">
        <v>2563</v>
      </c>
      <c r="M204" s="17" t="s">
        <v>1681</v>
      </c>
      <c r="N204" s="45" t="s">
        <v>2564</v>
      </c>
      <c r="O204" s="17" t="s">
        <v>1681</v>
      </c>
      <c r="P204" s="18" t="s">
        <v>402</v>
      </c>
      <c r="Q204" s="17" t="s">
        <v>1681</v>
      </c>
      <c r="R204" s="46" t="s">
        <v>2565</v>
      </c>
      <c r="S204" s="17" t="s">
        <v>1681</v>
      </c>
      <c r="T204" s="46" t="s">
        <v>2566</v>
      </c>
      <c r="U204" s="17" t="s">
        <v>1681</v>
      </c>
      <c r="V204" s="47" t="s">
        <v>2567</v>
      </c>
      <c r="W204" s="17"/>
    </row>
    <row r="205" spans="1:23" ht="409.6">
      <c r="A205" s="156"/>
      <c r="B205" s="156"/>
      <c r="C205" s="17" t="s">
        <v>1685</v>
      </c>
      <c r="D205" s="18" t="s">
        <v>2568</v>
      </c>
      <c r="E205" s="17" t="s">
        <v>1685</v>
      </c>
      <c r="F205" s="18" t="s">
        <v>2569</v>
      </c>
      <c r="G205" s="17" t="s">
        <v>1685</v>
      </c>
      <c r="H205" s="18" t="s">
        <v>88</v>
      </c>
      <c r="I205" s="17" t="s">
        <v>1685</v>
      </c>
      <c r="J205" s="18" t="s">
        <v>2570</v>
      </c>
      <c r="K205" s="17" t="s">
        <v>1685</v>
      </c>
      <c r="L205" s="18" t="s">
        <v>2571</v>
      </c>
      <c r="M205" s="17" t="s">
        <v>1685</v>
      </c>
      <c r="N205" s="18" t="s">
        <v>674</v>
      </c>
      <c r="O205" s="17" t="s">
        <v>1685</v>
      </c>
      <c r="P205" s="18" t="s">
        <v>942</v>
      </c>
      <c r="Q205" s="17" t="s">
        <v>1685</v>
      </c>
      <c r="R205" s="46" t="s">
        <v>2572</v>
      </c>
      <c r="S205" s="17" t="s">
        <v>1685</v>
      </c>
      <c r="T205" s="46" t="s">
        <v>17</v>
      </c>
      <c r="U205" s="17" t="s">
        <v>1685</v>
      </c>
      <c r="V205" s="47" t="s">
        <v>2573</v>
      </c>
      <c r="W205" s="17"/>
    </row>
    <row r="206" spans="1:23" ht="409.6">
      <c r="A206" s="156"/>
      <c r="B206" s="156"/>
      <c r="C206" s="17" t="s">
        <v>1688</v>
      </c>
      <c r="D206" s="18" t="s">
        <v>2574</v>
      </c>
      <c r="E206" s="17" t="s">
        <v>1688</v>
      </c>
      <c r="F206" s="18" t="s">
        <v>2575</v>
      </c>
      <c r="G206" s="17" t="s">
        <v>1688</v>
      </c>
      <c r="H206" s="18" t="s">
        <v>88</v>
      </c>
      <c r="I206" s="17" t="s">
        <v>1688</v>
      </c>
      <c r="J206" s="18" t="s">
        <v>2576</v>
      </c>
      <c r="K206" s="17" t="s">
        <v>1688</v>
      </c>
      <c r="L206" s="18" t="s">
        <v>2577</v>
      </c>
      <c r="M206" s="17" t="s">
        <v>1688</v>
      </c>
      <c r="N206" s="18" t="s">
        <v>2578</v>
      </c>
      <c r="O206" s="17" t="s">
        <v>1688</v>
      </c>
      <c r="P206" s="18" t="s">
        <v>1931</v>
      </c>
      <c r="Q206" s="17" t="s">
        <v>1688</v>
      </c>
      <c r="R206" s="46" t="s">
        <v>2579</v>
      </c>
      <c r="S206" s="17" t="s">
        <v>1688</v>
      </c>
      <c r="T206" s="46" t="s">
        <v>17</v>
      </c>
      <c r="U206" s="17" t="s">
        <v>1688</v>
      </c>
      <c r="V206" s="47" t="s">
        <v>2580</v>
      </c>
      <c r="W206" s="17"/>
    </row>
    <row r="207" spans="1:23" ht="60">
      <c r="A207" s="156" t="s">
        <v>156</v>
      </c>
      <c r="B207" s="156" t="s">
        <v>59</v>
      </c>
      <c r="C207" s="17" t="s">
        <v>1675</v>
      </c>
      <c r="D207" s="18" t="s">
        <v>2581</v>
      </c>
      <c r="E207" s="17" t="s">
        <v>1675</v>
      </c>
      <c r="F207" s="18" t="s">
        <v>2581</v>
      </c>
      <c r="G207" s="17" t="s">
        <v>1675</v>
      </c>
      <c r="H207" s="18" t="s">
        <v>2581</v>
      </c>
      <c r="I207" s="17" t="s">
        <v>1675</v>
      </c>
      <c r="J207" s="18" t="s">
        <v>2581</v>
      </c>
      <c r="K207" s="17" t="s">
        <v>1675</v>
      </c>
      <c r="L207" s="18" t="s">
        <v>2581</v>
      </c>
      <c r="M207" s="17" t="s">
        <v>1675</v>
      </c>
      <c r="N207" s="18" t="s">
        <v>2581</v>
      </c>
      <c r="O207" s="17" t="s">
        <v>1675</v>
      </c>
      <c r="P207" s="18" t="s">
        <v>2581</v>
      </c>
      <c r="Q207" s="17" t="s">
        <v>1675</v>
      </c>
      <c r="R207" s="17" t="s">
        <v>2581</v>
      </c>
      <c r="S207" s="17" t="s">
        <v>1675</v>
      </c>
      <c r="T207" s="17" t="s">
        <v>2581</v>
      </c>
      <c r="U207" s="17" t="s">
        <v>1675</v>
      </c>
      <c r="V207" s="17" t="s">
        <v>2581</v>
      </c>
      <c r="W207" s="17"/>
    </row>
    <row r="208" spans="1:23" ht="60">
      <c r="A208" s="156"/>
      <c r="B208" s="156"/>
      <c r="C208" s="17" t="s">
        <v>1681</v>
      </c>
      <c r="D208" s="18" t="s">
        <v>2581</v>
      </c>
      <c r="E208" s="17" t="s">
        <v>1681</v>
      </c>
      <c r="F208" s="18" t="s">
        <v>2581</v>
      </c>
      <c r="G208" s="17" t="s">
        <v>1681</v>
      </c>
      <c r="H208" s="18" t="s">
        <v>2581</v>
      </c>
      <c r="I208" s="17" t="s">
        <v>1681</v>
      </c>
      <c r="J208" s="18" t="s">
        <v>2581</v>
      </c>
      <c r="K208" s="17" t="s">
        <v>1681</v>
      </c>
      <c r="L208" s="18" t="s">
        <v>2581</v>
      </c>
      <c r="M208" s="17" t="s">
        <v>1681</v>
      </c>
      <c r="N208" s="18" t="s">
        <v>2581</v>
      </c>
      <c r="O208" s="17" t="s">
        <v>1681</v>
      </c>
      <c r="P208" s="18" t="s">
        <v>2581</v>
      </c>
      <c r="Q208" s="17" t="s">
        <v>1681</v>
      </c>
      <c r="R208" s="17" t="s">
        <v>2581</v>
      </c>
      <c r="S208" s="17" t="s">
        <v>1681</v>
      </c>
      <c r="T208" s="17" t="s">
        <v>2581</v>
      </c>
      <c r="U208" s="17" t="s">
        <v>1681</v>
      </c>
      <c r="V208" s="17" t="s">
        <v>2581</v>
      </c>
      <c r="W208" s="17"/>
    </row>
    <row r="209" spans="1:23" ht="409.6">
      <c r="A209" s="156"/>
      <c r="B209" s="156"/>
      <c r="C209" s="17" t="s">
        <v>1685</v>
      </c>
      <c r="D209" s="18" t="s">
        <v>2582</v>
      </c>
      <c r="E209" s="17" t="s">
        <v>1685</v>
      </c>
      <c r="F209" s="18" t="s">
        <v>2583</v>
      </c>
      <c r="G209" s="17" t="s">
        <v>1685</v>
      </c>
      <c r="H209" s="18" t="s">
        <v>88</v>
      </c>
      <c r="I209" s="17" t="s">
        <v>1685</v>
      </c>
      <c r="J209" s="18" t="s">
        <v>2584</v>
      </c>
      <c r="K209" s="17" t="s">
        <v>1685</v>
      </c>
      <c r="L209" s="18" t="s">
        <v>2585</v>
      </c>
      <c r="M209" s="17" t="s">
        <v>1685</v>
      </c>
      <c r="N209" s="18" t="s">
        <v>2586</v>
      </c>
      <c r="O209" s="17" t="s">
        <v>1685</v>
      </c>
      <c r="P209" s="18" t="s">
        <v>2587</v>
      </c>
      <c r="Q209" s="17" t="s">
        <v>1685</v>
      </c>
      <c r="R209" s="17" t="s">
        <v>2588</v>
      </c>
      <c r="S209" s="17" t="s">
        <v>1685</v>
      </c>
      <c r="T209" s="17" t="s">
        <v>17</v>
      </c>
      <c r="U209" s="17" t="s">
        <v>1685</v>
      </c>
      <c r="V209" s="17" t="s">
        <v>17</v>
      </c>
      <c r="W209" s="17"/>
    </row>
    <row r="210" spans="1:23" ht="409.6">
      <c r="A210" s="156"/>
      <c r="B210" s="156"/>
      <c r="C210" s="17" t="s">
        <v>1688</v>
      </c>
      <c r="D210" s="18" t="s">
        <v>2589</v>
      </c>
      <c r="E210" s="17" t="s">
        <v>1688</v>
      </c>
      <c r="F210" s="18" t="s">
        <v>2583</v>
      </c>
      <c r="G210" s="17" t="s">
        <v>1688</v>
      </c>
      <c r="H210" s="18" t="s">
        <v>17</v>
      </c>
      <c r="I210" s="17" t="s">
        <v>1688</v>
      </c>
      <c r="J210" s="18" t="s">
        <v>17</v>
      </c>
      <c r="K210" s="17" t="s">
        <v>1688</v>
      </c>
      <c r="L210" s="18" t="s">
        <v>1929</v>
      </c>
      <c r="M210" s="17" t="s">
        <v>1688</v>
      </c>
      <c r="N210" s="18" t="s">
        <v>2590</v>
      </c>
      <c r="O210" s="17" t="s">
        <v>1688</v>
      </c>
      <c r="P210" s="18" t="s">
        <v>2591</v>
      </c>
      <c r="Q210" s="17" t="s">
        <v>1688</v>
      </c>
      <c r="R210" s="17" t="s">
        <v>2592</v>
      </c>
      <c r="S210" s="17" t="s">
        <v>1688</v>
      </c>
      <c r="T210" s="17" t="s">
        <v>17</v>
      </c>
      <c r="U210" s="17" t="s">
        <v>1688</v>
      </c>
      <c r="V210" s="17" t="s">
        <v>17</v>
      </c>
      <c r="W210" s="17"/>
    </row>
    <row r="211" spans="1:23" ht="409.6">
      <c r="A211" s="156" t="s">
        <v>58</v>
      </c>
      <c r="B211" s="156" t="s">
        <v>2593</v>
      </c>
      <c r="C211" s="17" t="s">
        <v>1675</v>
      </c>
      <c r="D211" s="18" t="s">
        <v>2594</v>
      </c>
      <c r="E211" s="17" t="s">
        <v>1675</v>
      </c>
      <c r="F211" s="18" t="s">
        <v>2595</v>
      </c>
      <c r="G211" s="17" t="s">
        <v>1675</v>
      </c>
      <c r="H211" s="18" t="s">
        <v>29</v>
      </c>
      <c r="I211" s="17" t="s">
        <v>1675</v>
      </c>
      <c r="J211" s="18" t="s">
        <v>2596</v>
      </c>
      <c r="K211" s="17" t="s">
        <v>1675</v>
      </c>
      <c r="L211" s="18" t="s">
        <v>2597</v>
      </c>
      <c r="M211" s="17" t="s">
        <v>1675</v>
      </c>
      <c r="N211" s="18" t="s">
        <v>2598</v>
      </c>
      <c r="O211" s="17" t="s">
        <v>1675</v>
      </c>
      <c r="P211" s="18" t="s">
        <v>2077</v>
      </c>
      <c r="Q211" s="17" t="s">
        <v>1675</v>
      </c>
      <c r="R211" s="17" t="s">
        <v>2599</v>
      </c>
      <c r="S211" s="17" t="s">
        <v>1675</v>
      </c>
      <c r="T211" s="17" t="s">
        <v>2600</v>
      </c>
      <c r="U211" s="17" t="s">
        <v>1675</v>
      </c>
      <c r="V211" s="17" t="s">
        <v>17</v>
      </c>
      <c r="W211" s="17"/>
    </row>
    <row r="212" spans="1:23" ht="409.6">
      <c r="A212" s="156"/>
      <c r="B212" s="156"/>
      <c r="C212" s="17" t="s">
        <v>1681</v>
      </c>
      <c r="D212" s="18" t="s">
        <v>2601</v>
      </c>
      <c r="E212" s="17" t="s">
        <v>1681</v>
      </c>
      <c r="F212" s="18" t="s">
        <v>2602</v>
      </c>
      <c r="G212" s="17" t="s">
        <v>1681</v>
      </c>
      <c r="H212" s="18" t="s">
        <v>29</v>
      </c>
      <c r="I212" s="17" t="s">
        <v>1681</v>
      </c>
      <c r="J212" s="18" t="s">
        <v>2603</v>
      </c>
      <c r="K212" s="17" t="s">
        <v>1681</v>
      </c>
      <c r="L212" s="18" t="s">
        <v>2604</v>
      </c>
      <c r="M212" s="17" t="s">
        <v>1681</v>
      </c>
      <c r="N212" s="18" t="s">
        <v>2605</v>
      </c>
      <c r="O212" s="17" t="s">
        <v>1681</v>
      </c>
      <c r="P212" s="18" t="s">
        <v>99</v>
      </c>
      <c r="Q212" s="17" t="s">
        <v>1681</v>
      </c>
      <c r="R212" s="17" t="s">
        <v>2606</v>
      </c>
      <c r="S212" s="17" t="s">
        <v>1681</v>
      </c>
      <c r="T212" s="17" t="s">
        <v>2607</v>
      </c>
      <c r="U212" s="17" t="s">
        <v>1681</v>
      </c>
      <c r="V212" s="17" t="s">
        <v>17</v>
      </c>
      <c r="W212" s="17"/>
    </row>
    <row r="213" spans="1:23" ht="240">
      <c r="A213" s="156"/>
      <c r="B213" s="156"/>
      <c r="C213" s="17" t="s">
        <v>1685</v>
      </c>
      <c r="D213" s="18" t="s">
        <v>2608</v>
      </c>
      <c r="E213" s="17" t="s">
        <v>1685</v>
      </c>
      <c r="F213" s="18" t="s">
        <v>60</v>
      </c>
      <c r="G213" s="17" t="s">
        <v>1685</v>
      </c>
      <c r="H213" s="18" t="s">
        <v>17</v>
      </c>
      <c r="I213" s="17" t="s">
        <v>1685</v>
      </c>
      <c r="J213" s="18" t="s">
        <v>2609</v>
      </c>
      <c r="K213" s="17" t="s">
        <v>1685</v>
      </c>
      <c r="L213" s="18" t="s">
        <v>2610</v>
      </c>
      <c r="M213" s="17" t="s">
        <v>1685</v>
      </c>
      <c r="N213" s="18" t="s">
        <v>62</v>
      </c>
      <c r="O213" s="17" t="s">
        <v>1685</v>
      </c>
      <c r="P213" s="18" t="s">
        <v>17</v>
      </c>
      <c r="Q213" s="17" t="s">
        <v>1685</v>
      </c>
      <c r="R213" s="17" t="s">
        <v>17</v>
      </c>
      <c r="S213" s="17" t="s">
        <v>1685</v>
      </c>
      <c r="T213" s="17" t="s">
        <v>17</v>
      </c>
      <c r="U213" s="17" t="s">
        <v>1685</v>
      </c>
      <c r="V213" s="17" t="s">
        <v>17</v>
      </c>
      <c r="W213" s="17"/>
    </row>
    <row r="214" spans="1:23" ht="165">
      <c r="A214" s="156"/>
      <c r="B214" s="156"/>
      <c r="C214" s="17" t="s">
        <v>1688</v>
      </c>
      <c r="D214" s="18" t="s">
        <v>2611</v>
      </c>
      <c r="E214" s="17" t="s">
        <v>1688</v>
      </c>
      <c r="F214" s="18" t="s">
        <v>60</v>
      </c>
      <c r="G214" s="17" t="s">
        <v>1688</v>
      </c>
      <c r="H214" s="18" t="s">
        <v>17</v>
      </c>
      <c r="I214" s="17" t="s">
        <v>1688</v>
      </c>
      <c r="J214" s="18" t="s">
        <v>17</v>
      </c>
      <c r="K214" s="17" t="s">
        <v>1688</v>
      </c>
      <c r="L214" s="18" t="s">
        <v>2612</v>
      </c>
      <c r="M214" s="17" t="s">
        <v>1688</v>
      </c>
      <c r="N214" s="18" t="s">
        <v>368</v>
      </c>
      <c r="O214" s="17" t="s">
        <v>1688</v>
      </c>
      <c r="P214" s="18" t="s">
        <v>17</v>
      </c>
      <c r="Q214" s="17" t="s">
        <v>1688</v>
      </c>
      <c r="R214" s="17" t="s">
        <v>17</v>
      </c>
      <c r="S214" s="17" t="s">
        <v>1688</v>
      </c>
      <c r="T214" s="17" t="s">
        <v>17</v>
      </c>
      <c r="U214" s="17" t="s">
        <v>1688</v>
      </c>
      <c r="V214" s="17" t="s">
        <v>17</v>
      </c>
      <c r="W214" s="17"/>
    </row>
    <row r="215" spans="1:23" ht="409.6">
      <c r="A215" s="156" t="s">
        <v>455</v>
      </c>
      <c r="B215" s="156" t="s">
        <v>2613</v>
      </c>
      <c r="C215" s="48" t="s">
        <v>1675</v>
      </c>
      <c r="D215" s="22" t="s">
        <v>2614</v>
      </c>
      <c r="E215" s="48" t="s">
        <v>1675</v>
      </c>
      <c r="F215" s="22" t="s">
        <v>17</v>
      </c>
      <c r="G215" s="48" t="s">
        <v>1675</v>
      </c>
      <c r="H215" s="22" t="s">
        <v>29</v>
      </c>
      <c r="I215" s="48" t="s">
        <v>1675</v>
      </c>
      <c r="J215" s="22" t="s">
        <v>2615</v>
      </c>
      <c r="K215" s="48" t="s">
        <v>1675</v>
      </c>
      <c r="L215" s="22" t="s">
        <v>2616</v>
      </c>
      <c r="M215" s="48" t="s">
        <v>1675</v>
      </c>
      <c r="N215" s="22" t="s">
        <v>1733</v>
      </c>
      <c r="O215" s="48" t="s">
        <v>1675</v>
      </c>
      <c r="P215" s="22" t="s">
        <v>2617</v>
      </c>
      <c r="Q215" s="48" t="s">
        <v>1675</v>
      </c>
      <c r="R215" s="48" t="s">
        <v>2618</v>
      </c>
      <c r="S215" s="48" t="s">
        <v>1675</v>
      </c>
      <c r="T215" s="48" t="s">
        <v>2619</v>
      </c>
      <c r="U215" s="48" t="s">
        <v>1675</v>
      </c>
      <c r="V215" s="48" t="s">
        <v>17</v>
      </c>
      <c r="W215" s="17"/>
    </row>
    <row r="216" spans="1:23" ht="345">
      <c r="A216" s="156"/>
      <c r="B216" s="156"/>
      <c r="C216" s="48" t="s">
        <v>1681</v>
      </c>
      <c r="D216" s="22" t="s">
        <v>2620</v>
      </c>
      <c r="E216" s="48" t="s">
        <v>1681</v>
      </c>
      <c r="F216" s="22" t="s">
        <v>2621</v>
      </c>
      <c r="G216" s="48" t="s">
        <v>1681</v>
      </c>
      <c r="H216" s="22" t="s">
        <v>29</v>
      </c>
      <c r="I216" s="48" t="s">
        <v>1681</v>
      </c>
      <c r="J216" s="22" t="s">
        <v>2622</v>
      </c>
      <c r="K216" s="48" t="s">
        <v>1681</v>
      </c>
      <c r="L216" s="22" t="s">
        <v>2623</v>
      </c>
      <c r="M216" s="48" t="s">
        <v>1681</v>
      </c>
      <c r="N216" s="22" t="s">
        <v>2624</v>
      </c>
      <c r="O216" s="48" t="s">
        <v>1681</v>
      </c>
      <c r="P216" s="22" t="s">
        <v>56</v>
      </c>
      <c r="Q216" s="48" t="s">
        <v>1681</v>
      </c>
      <c r="R216" s="48" t="s">
        <v>2625</v>
      </c>
      <c r="S216" s="48" t="s">
        <v>1681</v>
      </c>
      <c r="T216" s="48" t="s">
        <v>2626</v>
      </c>
      <c r="U216" s="48" t="s">
        <v>1681</v>
      </c>
      <c r="V216" s="48" t="s">
        <v>17</v>
      </c>
      <c r="W216" s="17"/>
    </row>
    <row r="217" spans="1:23" ht="409.6">
      <c r="A217" s="156"/>
      <c r="B217" s="156"/>
      <c r="C217" s="48" t="s">
        <v>1685</v>
      </c>
      <c r="D217" s="22" t="s">
        <v>2620</v>
      </c>
      <c r="E217" s="48" t="s">
        <v>1685</v>
      </c>
      <c r="F217" s="22" t="s">
        <v>2621</v>
      </c>
      <c r="G217" s="48" t="s">
        <v>1685</v>
      </c>
      <c r="H217" s="22" t="s">
        <v>88</v>
      </c>
      <c r="I217" s="48" t="s">
        <v>1685</v>
      </c>
      <c r="J217" s="22" t="s">
        <v>2627</v>
      </c>
      <c r="K217" s="48" t="s">
        <v>1685</v>
      </c>
      <c r="L217" s="22" t="s">
        <v>2628</v>
      </c>
      <c r="M217" s="48" t="s">
        <v>1685</v>
      </c>
      <c r="N217" s="22" t="s">
        <v>2629</v>
      </c>
      <c r="O217" s="48" t="s">
        <v>1685</v>
      </c>
      <c r="P217" s="22" t="s">
        <v>512</v>
      </c>
      <c r="Q217" s="48" t="s">
        <v>1685</v>
      </c>
      <c r="R217" s="48" t="s">
        <v>2630</v>
      </c>
      <c r="S217" s="48" t="s">
        <v>1685</v>
      </c>
      <c r="T217" s="48" t="s">
        <v>17</v>
      </c>
      <c r="U217" s="48" t="s">
        <v>1685</v>
      </c>
      <c r="V217" s="48" t="s">
        <v>17</v>
      </c>
      <c r="W217" s="17"/>
    </row>
    <row r="218" spans="1:23" ht="409.6">
      <c r="A218" s="156"/>
      <c r="B218" s="156"/>
      <c r="C218" s="48" t="s">
        <v>1688</v>
      </c>
      <c r="D218" s="22" t="s">
        <v>2631</v>
      </c>
      <c r="E218" s="48" t="s">
        <v>1688</v>
      </c>
      <c r="F218" s="22" t="s">
        <v>2632</v>
      </c>
      <c r="G218" s="48" t="s">
        <v>1688</v>
      </c>
      <c r="H218" s="22" t="s">
        <v>88</v>
      </c>
      <c r="I218" s="48" t="s">
        <v>1688</v>
      </c>
      <c r="J218" s="22" t="s">
        <v>2633</v>
      </c>
      <c r="K218" s="48" t="s">
        <v>1688</v>
      </c>
      <c r="L218" s="22" t="s">
        <v>2634</v>
      </c>
      <c r="M218" s="48" t="s">
        <v>1688</v>
      </c>
      <c r="N218" s="22" t="s">
        <v>2635</v>
      </c>
      <c r="O218" s="48" t="s">
        <v>1688</v>
      </c>
      <c r="P218" s="22" t="s">
        <v>512</v>
      </c>
      <c r="Q218" s="48" t="s">
        <v>1688</v>
      </c>
      <c r="R218" s="48" t="s">
        <v>2636</v>
      </c>
      <c r="S218" s="48" t="s">
        <v>1688</v>
      </c>
      <c r="T218" s="48" t="s">
        <v>17</v>
      </c>
      <c r="U218" s="48" t="s">
        <v>1688</v>
      </c>
      <c r="V218" s="48" t="s">
        <v>17</v>
      </c>
      <c r="W218" s="17"/>
    </row>
    <row r="219" spans="1:23" ht="360">
      <c r="A219" s="156" t="s">
        <v>455</v>
      </c>
      <c r="B219" s="156" t="s">
        <v>546</v>
      </c>
      <c r="C219" s="48" t="s">
        <v>1675</v>
      </c>
      <c r="D219" s="22" t="s">
        <v>2637</v>
      </c>
      <c r="E219" s="48" t="s">
        <v>1675</v>
      </c>
      <c r="F219" s="22" t="s">
        <v>17</v>
      </c>
      <c r="G219" s="48" t="s">
        <v>1675</v>
      </c>
      <c r="H219" s="22" t="s">
        <v>29</v>
      </c>
      <c r="I219" s="48" t="s">
        <v>1675</v>
      </c>
      <c r="J219" s="22" t="s">
        <v>2638</v>
      </c>
      <c r="K219" s="48" t="s">
        <v>1675</v>
      </c>
      <c r="L219" s="22" t="s">
        <v>2639</v>
      </c>
      <c r="M219" s="48" t="s">
        <v>1675</v>
      </c>
      <c r="N219" s="22" t="s">
        <v>2629</v>
      </c>
      <c r="O219" s="48" t="s">
        <v>1675</v>
      </c>
      <c r="P219" s="22" t="s">
        <v>2617</v>
      </c>
      <c r="Q219" s="48" t="s">
        <v>1675</v>
      </c>
      <c r="R219" s="48" t="s">
        <v>2640</v>
      </c>
      <c r="S219" s="48" t="s">
        <v>1675</v>
      </c>
      <c r="T219" s="48" t="s">
        <v>2641</v>
      </c>
      <c r="U219" s="48" t="s">
        <v>1675</v>
      </c>
      <c r="V219" s="48" t="s">
        <v>17</v>
      </c>
      <c r="W219" s="17"/>
    </row>
    <row r="220" spans="1:23" ht="409.6">
      <c r="A220" s="156"/>
      <c r="B220" s="156"/>
      <c r="C220" s="48" t="s">
        <v>1681</v>
      </c>
      <c r="D220" s="22" t="s">
        <v>2642</v>
      </c>
      <c r="E220" s="48" t="s">
        <v>1681</v>
      </c>
      <c r="F220" s="22" t="s">
        <v>2643</v>
      </c>
      <c r="G220" s="48" t="s">
        <v>1681</v>
      </c>
      <c r="H220" s="22" t="s">
        <v>29</v>
      </c>
      <c r="I220" s="48" t="s">
        <v>1681</v>
      </c>
      <c r="J220" s="22" t="s">
        <v>2644</v>
      </c>
      <c r="K220" s="48" t="s">
        <v>1681</v>
      </c>
      <c r="L220" s="22" t="s">
        <v>2645</v>
      </c>
      <c r="M220" s="48" t="s">
        <v>1681</v>
      </c>
      <c r="N220" s="22" t="s">
        <v>2646</v>
      </c>
      <c r="O220" s="48" t="s">
        <v>1681</v>
      </c>
      <c r="P220" s="22" t="s">
        <v>161</v>
      </c>
      <c r="Q220" s="48" t="s">
        <v>1681</v>
      </c>
      <c r="R220" s="48" t="s">
        <v>2647</v>
      </c>
      <c r="S220" s="48" t="s">
        <v>1681</v>
      </c>
      <c r="T220" s="48" t="s">
        <v>2648</v>
      </c>
      <c r="U220" s="48" t="s">
        <v>1681</v>
      </c>
      <c r="V220" s="48" t="s">
        <v>17</v>
      </c>
      <c r="W220" s="17"/>
    </row>
    <row r="221" spans="1:23" ht="409.6">
      <c r="A221" s="156"/>
      <c r="B221" s="156"/>
      <c r="C221" s="48" t="s">
        <v>1685</v>
      </c>
      <c r="D221" s="22" t="s">
        <v>2642</v>
      </c>
      <c r="E221" s="48" t="s">
        <v>1685</v>
      </c>
      <c r="F221" s="22" t="s">
        <v>2649</v>
      </c>
      <c r="G221" s="48" t="s">
        <v>1685</v>
      </c>
      <c r="H221" s="22" t="s">
        <v>88</v>
      </c>
      <c r="I221" s="48" t="s">
        <v>1685</v>
      </c>
      <c r="J221" s="22" t="s">
        <v>2650</v>
      </c>
      <c r="K221" s="48" t="s">
        <v>1685</v>
      </c>
      <c r="L221" s="22" t="s">
        <v>2651</v>
      </c>
      <c r="M221" s="48" t="s">
        <v>1685</v>
      </c>
      <c r="N221" s="22" t="s">
        <v>2629</v>
      </c>
      <c r="O221" s="48" t="s">
        <v>1685</v>
      </c>
      <c r="P221" s="22" t="s">
        <v>329</v>
      </c>
      <c r="Q221" s="48" t="s">
        <v>1685</v>
      </c>
      <c r="R221" s="48" t="s">
        <v>2652</v>
      </c>
      <c r="S221" s="48" t="s">
        <v>1685</v>
      </c>
      <c r="T221" s="48" t="s">
        <v>17</v>
      </c>
      <c r="U221" s="48" t="s">
        <v>1685</v>
      </c>
      <c r="V221" s="48" t="s">
        <v>17</v>
      </c>
      <c r="W221" s="17"/>
    </row>
    <row r="222" spans="1:23" ht="409.6">
      <c r="A222" s="156"/>
      <c r="B222" s="156"/>
      <c r="C222" s="48" t="s">
        <v>1688</v>
      </c>
      <c r="D222" s="22" t="s">
        <v>2653</v>
      </c>
      <c r="E222" s="48" t="s">
        <v>1688</v>
      </c>
      <c r="F222" s="22" t="s">
        <v>2654</v>
      </c>
      <c r="G222" s="48" t="s">
        <v>1688</v>
      </c>
      <c r="H222" s="22" t="s">
        <v>88</v>
      </c>
      <c r="I222" s="48" t="s">
        <v>1688</v>
      </c>
      <c r="J222" s="22" t="s">
        <v>2655</v>
      </c>
      <c r="K222" s="48" t="s">
        <v>1688</v>
      </c>
      <c r="L222" s="22" t="s">
        <v>2656</v>
      </c>
      <c r="M222" s="48" t="s">
        <v>1688</v>
      </c>
      <c r="N222" s="22" t="s">
        <v>2657</v>
      </c>
      <c r="O222" s="48" t="s">
        <v>1688</v>
      </c>
      <c r="P222" s="22" t="s">
        <v>174</v>
      </c>
      <c r="Q222" s="48" t="s">
        <v>1688</v>
      </c>
      <c r="R222" s="48" t="s">
        <v>2658</v>
      </c>
      <c r="S222" s="48" t="s">
        <v>1688</v>
      </c>
      <c r="T222" s="48" t="s">
        <v>17</v>
      </c>
      <c r="U222" s="48" t="s">
        <v>1688</v>
      </c>
      <c r="V222" s="48" t="s">
        <v>17</v>
      </c>
      <c r="W222" s="17"/>
    </row>
    <row r="223" spans="1:23" ht="30">
      <c r="A223" s="156" t="s">
        <v>2659</v>
      </c>
      <c r="B223" s="156" t="s">
        <v>288</v>
      </c>
      <c r="C223" s="48" t="s">
        <v>1675</v>
      </c>
      <c r="D223" s="22" t="s">
        <v>2560</v>
      </c>
      <c r="E223" s="48" t="s">
        <v>1675</v>
      </c>
      <c r="F223" s="22" t="s">
        <v>2560</v>
      </c>
      <c r="G223" s="48" t="s">
        <v>1675</v>
      </c>
      <c r="H223" s="22" t="s">
        <v>29</v>
      </c>
      <c r="I223" s="48" t="s">
        <v>1675</v>
      </c>
      <c r="J223" s="22" t="s">
        <v>2560</v>
      </c>
      <c r="K223" s="48" t="s">
        <v>1675</v>
      </c>
      <c r="L223" s="22" t="s">
        <v>2560</v>
      </c>
      <c r="M223" s="48" t="s">
        <v>1675</v>
      </c>
      <c r="N223" s="22" t="s">
        <v>2660</v>
      </c>
      <c r="O223" s="48" t="s">
        <v>1675</v>
      </c>
      <c r="P223" s="22" t="s">
        <v>2661</v>
      </c>
      <c r="Q223" s="48" t="s">
        <v>1675</v>
      </c>
      <c r="R223" s="48" t="s">
        <v>2560</v>
      </c>
      <c r="S223" s="48" t="s">
        <v>1675</v>
      </c>
      <c r="T223" s="48" t="s">
        <v>2560</v>
      </c>
      <c r="U223" s="48" t="s">
        <v>1675</v>
      </c>
      <c r="V223" s="48" t="s">
        <v>17</v>
      </c>
      <c r="W223" s="17"/>
    </row>
    <row r="224" spans="1:23" ht="165">
      <c r="A224" s="156"/>
      <c r="B224" s="156"/>
      <c r="C224" s="48" t="s">
        <v>1681</v>
      </c>
      <c r="D224" s="22" t="s">
        <v>2662</v>
      </c>
      <c r="E224" s="48" t="s">
        <v>1681</v>
      </c>
      <c r="F224" s="22" t="s">
        <v>17</v>
      </c>
      <c r="G224" s="48" t="s">
        <v>1681</v>
      </c>
      <c r="H224" s="22" t="s">
        <v>29</v>
      </c>
      <c r="I224" s="48" t="s">
        <v>1681</v>
      </c>
      <c r="J224" s="22" t="s">
        <v>2663</v>
      </c>
      <c r="K224" s="48" t="s">
        <v>1681</v>
      </c>
      <c r="L224" s="22" t="s">
        <v>2664</v>
      </c>
      <c r="M224" s="48" t="s">
        <v>1681</v>
      </c>
      <c r="N224" s="22" t="s">
        <v>2665</v>
      </c>
      <c r="O224" s="48" t="s">
        <v>1681</v>
      </c>
      <c r="P224" s="22" t="s">
        <v>2077</v>
      </c>
      <c r="Q224" s="48" t="s">
        <v>1681</v>
      </c>
      <c r="R224" s="48" t="s">
        <v>17</v>
      </c>
      <c r="S224" s="48" t="s">
        <v>1681</v>
      </c>
      <c r="T224" s="48" t="s">
        <v>2666</v>
      </c>
      <c r="U224" s="48" t="s">
        <v>1681</v>
      </c>
      <c r="V224" s="48" t="s">
        <v>17</v>
      </c>
      <c r="W224" s="17"/>
    </row>
    <row r="225" spans="1:23" ht="300">
      <c r="A225" s="156"/>
      <c r="B225" s="156"/>
      <c r="C225" s="48" t="s">
        <v>1685</v>
      </c>
      <c r="D225" s="22" t="s">
        <v>2667</v>
      </c>
      <c r="E225" s="48" t="s">
        <v>1685</v>
      </c>
      <c r="F225" s="22" t="s">
        <v>17</v>
      </c>
      <c r="G225" s="48" t="s">
        <v>1685</v>
      </c>
      <c r="H225" s="22" t="s">
        <v>88</v>
      </c>
      <c r="I225" s="48" t="s">
        <v>1685</v>
      </c>
      <c r="J225" s="22" t="s">
        <v>2668</v>
      </c>
      <c r="K225" s="48" t="s">
        <v>1685</v>
      </c>
      <c r="L225" s="22" t="s">
        <v>2669</v>
      </c>
      <c r="M225" s="48" t="s">
        <v>1685</v>
      </c>
      <c r="N225" s="22" t="s">
        <v>2670</v>
      </c>
      <c r="O225" s="48" t="s">
        <v>1685</v>
      </c>
      <c r="P225" s="22" t="s">
        <v>2671</v>
      </c>
      <c r="Q225" s="48" t="s">
        <v>1685</v>
      </c>
      <c r="R225" s="48" t="s">
        <v>2669</v>
      </c>
      <c r="S225" s="48" t="s">
        <v>1685</v>
      </c>
      <c r="T225" s="48" t="s">
        <v>2669</v>
      </c>
      <c r="U225" s="48" t="s">
        <v>1685</v>
      </c>
      <c r="V225" s="48" t="s">
        <v>17</v>
      </c>
      <c r="W225" s="17"/>
    </row>
    <row r="226" spans="1:23" ht="409.6">
      <c r="A226" s="156"/>
      <c r="B226" s="156"/>
      <c r="C226" s="48" t="s">
        <v>1688</v>
      </c>
      <c r="D226" s="22" t="s">
        <v>2672</v>
      </c>
      <c r="E226" s="48" t="s">
        <v>1688</v>
      </c>
      <c r="F226" s="22" t="s">
        <v>2673</v>
      </c>
      <c r="G226" s="48" t="s">
        <v>1688</v>
      </c>
      <c r="H226" s="22" t="s">
        <v>29</v>
      </c>
      <c r="I226" s="48" t="s">
        <v>1688</v>
      </c>
      <c r="J226" s="22" t="s">
        <v>2674</v>
      </c>
      <c r="K226" s="48" t="s">
        <v>1688</v>
      </c>
      <c r="L226" s="22" t="s">
        <v>2675</v>
      </c>
      <c r="M226" s="48" t="s">
        <v>1688</v>
      </c>
      <c r="N226" s="22" t="s">
        <v>2676</v>
      </c>
      <c r="O226" s="48" t="s">
        <v>1688</v>
      </c>
      <c r="P226" s="22" t="s">
        <v>1908</v>
      </c>
      <c r="Q226" s="48" t="s">
        <v>1688</v>
      </c>
      <c r="R226" s="48" t="s">
        <v>2669</v>
      </c>
      <c r="S226" s="48" t="s">
        <v>1688</v>
      </c>
      <c r="T226" s="48" t="s">
        <v>2669</v>
      </c>
      <c r="U226" s="48" t="s">
        <v>1688</v>
      </c>
      <c r="V226" s="48" t="s">
        <v>17</v>
      </c>
      <c r="W226" s="17"/>
    </row>
    <row r="227" spans="1:23" ht="409.6">
      <c r="A227" s="156" t="s">
        <v>589</v>
      </c>
      <c r="B227" s="156" t="s">
        <v>59</v>
      </c>
      <c r="C227" s="48" t="s">
        <v>1675</v>
      </c>
      <c r="D227" s="22" t="s">
        <v>2677</v>
      </c>
      <c r="E227" s="48" t="s">
        <v>1675</v>
      </c>
      <c r="F227" s="22" t="s">
        <v>2678</v>
      </c>
      <c r="G227" s="48" t="s">
        <v>1675</v>
      </c>
      <c r="H227" s="22" t="s">
        <v>29</v>
      </c>
      <c r="I227" s="48" t="s">
        <v>1675</v>
      </c>
      <c r="J227" s="22" t="s">
        <v>2679</v>
      </c>
      <c r="K227" s="48" t="s">
        <v>1675</v>
      </c>
      <c r="L227" s="22" t="s">
        <v>2680</v>
      </c>
      <c r="M227" s="48" t="s">
        <v>1675</v>
      </c>
      <c r="N227" s="22" t="s">
        <v>2681</v>
      </c>
      <c r="O227" s="48" t="s">
        <v>1675</v>
      </c>
      <c r="P227" s="22" t="s">
        <v>314</v>
      </c>
      <c r="Q227" s="48" t="s">
        <v>1675</v>
      </c>
      <c r="R227" s="48" t="s">
        <v>2682</v>
      </c>
      <c r="S227" s="48" t="s">
        <v>1675</v>
      </c>
      <c r="T227" s="48" t="s">
        <v>2683</v>
      </c>
      <c r="U227" s="48" t="s">
        <v>1675</v>
      </c>
      <c r="V227" s="48" t="s">
        <v>17</v>
      </c>
      <c r="W227" s="17"/>
    </row>
    <row r="228" spans="1:23" ht="409.6">
      <c r="A228" s="156"/>
      <c r="B228" s="156"/>
      <c r="C228" s="48" t="s">
        <v>1681</v>
      </c>
      <c r="D228" s="22" t="s">
        <v>2684</v>
      </c>
      <c r="E228" s="48" t="s">
        <v>1681</v>
      </c>
      <c r="F228" s="22" t="s">
        <v>2685</v>
      </c>
      <c r="G228" s="48" t="s">
        <v>1681</v>
      </c>
      <c r="H228" s="22" t="s">
        <v>29</v>
      </c>
      <c r="I228" s="48" t="s">
        <v>1681</v>
      </c>
      <c r="J228" s="22" t="s">
        <v>2679</v>
      </c>
      <c r="K228" s="48" t="s">
        <v>1681</v>
      </c>
      <c r="L228" s="22" t="s">
        <v>2686</v>
      </c>
      <c r="M228" s="48" t="s">
        <v>1681</v>
      </c>
      <c r="N228" s="22" t="s">
        <v>2681</v>
      </c>
      <c r="O228" s="48" t="s">
        <v>1681</v>
      </c>
      <c r="P228" s="22" t="s">
        <v>402</v>
      </c>
      <c r="Q228" s="48" t="s">
        <v>1681</v>
      </c>
      <c r="R228" s="48" t="s">
        <v>2687</v>
      </c>
      <c r="S228" s="48" t="s">
        <v>1681</v>
      </c>
      <c r="T228" s="48" t="s">
        <v>2688</v>
      </c>
      <c r="U228" s="48" t="s">
        <v>1681</v>
      </c>
      <c r="V228" s="48" t="s">
        <v>17</v>
      </c>
      <c r="W228" s="17"/>
    </row>
    <row r="229" spans="1:23" ht="409.6">
      <c r="A229" s="156"/>
      <c r="B229" s="156"/>
      <c r="C229" s="48" t="s">
        <v>1685</v>
      </c>
      <c r="D229" s="22" t="s">
        <v>2689</v>
      </c>
      <c r="E229" s="48" t="s">
        <v>1685</v>
      </c>
      <c r="F229" s="22" t="s">
        <v>2685</v>
      </c>
      <c r="G229" s="48" t="s">
        <v>1685</v>
      </c>
      <c r="H229" s="22" t="s">
        <v>88</v>
      </c>
      <c r="I229" s="48" t="s">
        <v>1685</v>
      </c>
      <c r="J229" s="22" t="s">
        <v>2690</v>
      </c>
      <c r="K229" s="48" t="s">
        <v>1685</v>
      </c>
      <c r="L229" s="22" t="s">
        <v>2691</v>
      </c>
      <c r="M229" s="48" t="s">
        <v>1685</v>
      </c>
      <c r="N229" s="22" t="s">
        <v>62</v>
      </c>
      <c r="O229" s="48" t="s">
        <v>1685</v>
      </c>
      <c r="P229" s="22" t="s">
        <v>2692</v>
      </c>
      <c r="Q229" s="48" t="s">
        <v>1685</v>
      </c>
      <c r="R229" s="48" t="s">
        <v>2693</v>
      </c>
      <c r="S229" s="48" t="s">
        <v>1685</v>
      </c>
      <c r="T229" s="48" t="s">
        <v>2694</v>
      </c>
      <c r="U229" s="48" t="s">
        <v>1685</v>
      </c>
      <c r="V229" s="48" t="s">
        <v>17</v>
      </c>
      <c r="W229" s="17"/>
    </row>
    <row r="230" spans="1:23" ht="409.6">
      <c r="A230" s="156"/>
      <c r="B230" s="156"/>
      <c r="C230" s="48" t="s">
        <v>1688</v>
      </c>
      <c r="D230" s="22" t="s">
        <v>2689</v>
      </c>
      <c r="E230" s="48" t="s">
        <v>1688</v>
      </c>
      <c r="F230" s="49" t="s">
        <v>2695</v>
      </c>
      <c r="G230" s="48" t="s">
        <v>1688</v>
      </c>
      <c r="H230" s="22" t="s">
        <v>88</v>
      </c>
      <c r="I230" s="48" t="s">
        <v>1688</v>
      </c>
      <c r="J230" s="33" t="s">
        <v>2696</v>
      </c>
      <c r="K230" s="48" t="s">
        <v>1688</v>
      </c>
      <c r="L230" s="50" t="s">
        <v>2697</v>
      </c>
      <c r="M230" s="48" t="s">
        <v>1688</v>
      </c>
      <c r="N230" s="33" t="s">
        <v>2698</v>
      </c>
      <c r="O230" s="48" t="s">
        <v>1688</v>
      </c>
      <c r="P230" s="22" t="s">
        <v>237</v>
      </c>
      <c r="Q230" s="48" t="s">
        <v>1688</v>
      </c>
      <c r="R230" s="48" t="s">
        <v>594</v>
      </c>
      <c r="S230" s="48" t="s">
        <v>1688</v>
      </c>
      <c r="T230" s="48" t="s">
        <v>2694</v>
      </c>
      <c r="U230" s="48" t="s">
        <v>1688</v>
      </c>
      <c r="V230" s="48" t="s">
        <v>17</v>
      </c>
      <c r="W230" s="17"/>
    </row>
    <row r="231" spans="1:23" ht="390">
      <c r="A231" s="156" t="s">
        <v>455</v>
      </c>
      <c r="B231" s="156" t="s">
        <v>686</v>
      </c>
      <c r="C231" s="17" t="s">
        <v>1675</v>
      </c>
      <c r="D231" s="18" t="s">
        <v>2699</v>
      </c>
      <c r="E231" s="17" t="s">
        <v>1675</v>
      </c>
      <c r="F231" s="18" t="s">
        <v>2700</v>
      </c>
      <c r="G231" s="17" t="s">
        <v>1675</v>
      </c>
      <c r="H231" s="18" t="s">
        <v>29</v>
      </c>
      <c r="I231" s="17" t="s">
        <v>1675</v>
      </c>
      <c r="J231" s="18" t="s">
        <v>2701</v>
      </c>
      <c r="K231" s="17" t="s">
        <v>1675</v>
      </c>
      <c r="L231" s="18" t="s">
        <v>2702</v>
      </c>
      <c r="M231" s="17" t="s">
        <v>1675</v>
      </c>
      <c r="N231" s="45" t="s">
        <v>2703</v>
      </c>
      <c r="O231" s="17" t="s">
        <v>1675</v>
      </c>
      <c r="P231" s="18" t="s">
        <v>2704</v>
      </c>
      <c r="Q231" s="17" t="s">
        <v>1675</v>
      </c>
      <c r="R231" s="17" t="s">
        <v>2705</v>
      </c>
      <c r="S231" s="17" t="s">
        <v>1675</v>
      </c>
      <c r="T231" s="17" t="s">
        <v>2706</v>
      </c>
      <c r="U231" s="17" t="s">
        <v>1675</v>
      </c>
      <c r="V231" s="17" t="s">
        <v>17</v>
      </c>
      <c r="W231" s="17"/>
    </row>
    <row r="232" spans="1:23" ht="375">
      <c r="A232" s="156"/>
      <c r="B232" s="156"/>
      <c r="C232" s="17" t="s">
        <v>1681</v>
      </c>
      <c r="D232" s="18" t="s">
        <v>2699</v>
      </c>
      <c r="E232" s="17" t="s">
        <v>1681</v>
      </c>
      <c r="F232" s="18" t="s">
        <v>2700</v>
      </c>
      <c r="G232" s="17" t="s">
        <v>1681</v>
      </c>
      <c r="H232" s="18" t="s">
        <v>29</v>
      </c>
      <c r="I232" s="17" t="s">
        <v>1681</v>
      </c>
      <c r="J232" s="18" t="s">
        <v>2707</v>
      </c>
      <c r="K232" s="17" t="s">
        <v>1681</v>
      </c>
      <c r="L232" s="18" t="s">
        <v>2708</v>
      </c>
      <c r="M232" s="17" t="s">
        <v>1681</v>
      </c>
      <c r="N232" s="18" t="s">
        <v>2709</v>
      </c>
      <c r="O232" s="17" t="s">
        <v>1681</v>
      </c>
      <c r="P232" s="18" t="s">
        <v>2704</v>
      </c>
      <c r="Q232" s="17" t="s">
        <v>1681</v>
      </c>
      <c r="R232" s="17" t="s">
        <v>2710</v>
      </c>
      <c r="S232" s="17" t="s">
        <v>1681</v>
      </c>
      <c r="T232" s="17" t="s">
        <v>2711</v>
      </c>
      <c r="U232" s="17" t="s">
        <v>1681</v>
      </c>
      <c r="V232" s="17" t="s">
        <v>17</v>
      </c>
      <c r="W232" s="17"/>
    </row>
    <row r="233" spans="1:23" ht="409.6">
      <c r="A233" s="156"/>
      <c r="B233" s="156"/>
      <c r="C233" s="17" t="s">
        <v>1685</v>
      </c>
      <c r="D233" s="18" t="s">
        <v>2712</v>
      </c>
      <c r="E233" s="17" t="s">
        <v>1685</v>
      </c>
      <c r="F233" s="18" t="s">
        <v>2700</v>
      </c>
      <c r="G233" s="17" t="s">
        <v>1685</v>
      </c>
      <c r="H233" s="18" t="s">
        <v>88</v>
      </c>
      <c r="I233" s="17" t="s">
        <v>1685</v>
      </c>
      <c r="J233" s="18" t="s">
        <v>2713</v>
      </c>
      <c r="K233" s="17" t="s">
        <v>1685</v>
      </c>
      <c r="L233" s="18" t="s">
        <v>2714</v>
      </c>
      <c r="M233" s="17" t="s">
        <v>1685</v>
      </c>
      <c r="N233" s="18" t="s">
        <v>338</v>
      </c>
      <c r="O233" s="17" t="s">
        <v>1685</v>
      </c>
      <c r="P233" s="18" t="s">
        <v>161</v>
      </c>
      <c r="Q233" s="17" t="s">
        <v>1685</v>
      </c>
      <c r="R233" s="17" t="s">
        <v>2715</v>
      </c>
      <c r="S233" s="17" t="s">
        <v>1685</v>
      </c>
      <c r="T233" s="17" t="s">
        <v>17</v>
      </c>
      <c r="U233" s="17" t="s">
        <v>1685</v>
      </c>
      <c r="V233" s="17" t="s">
        <v>17</v>
      </c>
      <c r="W233" s="17"/>
    </row>
    <row r="234" spans="1:23" ht="409.6">
      <c r="A234" s="156"/>
      <c r="B234" s="156"/>
      <c r="C234" s="17" t="s">
        <v>1688</v>
      </c>
      <c r="D234" s="18" t="s">
        <v>2716</v>
      </c>
      <c r="E234" s="17" t="s">
        <v>1688</v>
      </c>
      <c r="F234" s="18" t="s">
        <v>2717</v>
      </c>
      <c r="G234" s="17" t="s">
        <v>1688</v>
      </c>
      <c r="H234" s="18" t="s">
        <v>29</v>
      </c>
      <c r="I234" s="17" t="s">
        <v>1688</v>
      </c>
      <c r="J234" s="18" t="s">
        <v>2718</v>
      </c>
      <c r="K234" s="17" t="s">
        <v>1688</v>
      </c>
      <c r="L234" s="18" t="s">
        <v>2719</v>
      </c>
      <c r="M234" s="17" t="s">
        <v>1688</v>
      </c>
      <c r="N234" s="18" t="s">
        <v>2720</v>
      </c>
      <c r="O234" s="17" t="s">
        <v>1688</v>
      </c>
      <c r="P234" s="18" t="s">
        <v>323</v>
      </c>
      <c r="Q234" s="17" t="s">
        <v>1688</v>
      </c>
      <c r="R234" s="17" t="s">
        <v>4088</v>
      </c>
      <c r="S234" s="17" t="s">
        <v>1688</v>
      </c>
      <c r="T234" s="17" t="s">
        <v>2721</v>
      </c>
      <c r="U234" s="17" t="s">
        <v>1688</v>
      </c>
      <c r="V234" s="17" t="s">
        <v>17</v>
      </c>
      <c r="W234" s="17"/>
    </row>
    <row r="235" spans="1:23" ht="409.6">
      <c r="A235" s="165" t="s">
        <v>530</v>
      </c>
      <c r="B235" s="165" t="s">
        <v>74</v>
      </c>
      <c r="C235" s="48" t="s">
        <v>1685</v>
      </c>
      <c r="D235" s="22" t="s">
        <v>17</v>
      </c>
      <c r="E235" s="48" t="s">
        <v>1685</v>
      </c>
      <c r="F235" s="22" t="s">
        <v>17</v>
      </c>
      <c r="G235" s="48" t="s">
        <v>1685</v>
      </c>
      <c r="H235" s="22" t="s">
        <v>88</v>
      </c>
      <c r="I235" s="48" t="s">
        <v>1685</v>
      </c>
      <c r="J235" s="22" t="s">
        <v>17</v>
      </c>
      <c r="K235" s="48" t="s">
        <v>1685</v>
      </c>
      <c r="L235" s="22" t="s">
        <v>17</v>
      </c>
      <c r="M235" s="48" t="s">
        <v>1685</v>
      </c>
      <c r="N235" s="22" t="s">
        <v>17</v>
      </c>
      <c r="O235" s="48" t="s">
        <v>1685</v>
      </c>
      <c r="P235" s="22" t="s">
        <v>17</v>
      </c>
      <c r="Q235" s="48" t="s">
        <v>1685</v>
      </c>
      <c r="R235" s="48" t="s">
        <v>2722</v>
      </c>
      <c r="S235" s="48" t="s">
        <v>1685</v>
      </c>
      <c r="T235" s="48" t="s">
        <v>17</v>
      </c>
      <c r="U235" s="48" t="s">
        <v>1685</v>
      </c>
      <c r="V235" s="48" t="s">
        <v>17</v>
      </c>
      <c r="W235" s="17"/>
    </row>
    <row r="236" spans="1:23" ht="409.6">
      <c r="A236" s="154"/>
      <c r="B236" s="154"/>
      <c r="C236" s="48" t="s">
        <v>1688</v>
      </c>
      <c r="D236" s="22" t="s">
        <v>2723</v>
      </c>
      <c r="E236" s="48" t="s">
        <v>1688</v>
      </c>
      <c r="F236" s="22" t="s">
        <v>2723</v>
      </c>
      <c r="G236" s="48" t="s">
        <v>1688</v>
      </c>
      <c r="H236" s="22" t="s">
        <v>2724</v>
      </c>
      <c r="I236" s="48" t="s">
        <v>1688</v>
      </c>
      <c r="J236" s="22" t="s">
        <v>2723</v>
      </c>
      <c r="K236" s="48" t="s">
        <v>1688</v>
      </c>
      <c r="L236" s="22" t="s">
        <v>2723</v>
      </c>
      <c r="M236" s="48" t="s">
        <v>1688</v>
      </c>
      <c r="N236" s="22" t="s">
        <v>2723</v>
      </c>
      <c r="O236" s="48" t="s">
        <v>1688</v>
      </c>
      <c r="P236" s="22" t="s">
        <v>2723</v>
      </c>
      <c r="Q236" s="48" t="s">
        <v>1688</v>
      </c>
      <c r="R236" s="48" t="s">
        <v>2725</v>
      </c>
      <c r="S236" s="48" t="s">
        <v>1688</v>
      </c>
      <c r="T236" s="48" t="s">
        <v>2723</v>
      </c>
      <c r="U236" s="48" t="s">
        <v>1688</v>
      </c>
      <c r="V236" s="48" t="s">
        <v>2723</v>
      </c>
      <c r="W236" s="17"/>
    </row>
    <row r="237" spans="1:23" ht="409.6">
      <c r="A237" s="156" t="s">
        <v>318</v>
      </c>
      <c r="B237" s="156" t="s">
        <v>116</v>
      </c>
      <c r="C237" s="48" t="s">
        <v>1675</v>
      </c>
      <c r="D237" s="22" t="s">
        <v>2726</v>
      </c>
      <c r="E237" s="48" t="s">
        <v>1675</v>
      </c>
      <c r="F237" s="22" t="s">
        <v>2727</v>
      </c>
      <c r="G237" s="48" t="s">
        <v>1675</v>
      </c>
      <c r="H237" s="22" t="s">
        <v>29</v>
      </c>
      <c r="I237" s="48" t="s">
        <v>1675</v>
      </c>
      <c r="J237" s="22" t="s">
        <v>2728</v>
      </c>
      <c r="K237" s="48" t="s">
        <v>1675</v>
      </c>
      <c r="L237" s="22" t="s">
        <v>2708</v>
      </c>
      <c r="M237" s="48" t="s">
        <v>1675</v>
      </c>
      <c r="N237" s="22" t="s">
        <v>2729</v>
      </c>
      <c r="O237" s="48" t="s">
        <v>1675</v>
      </c>
      <c r="P237" s="22" t="s">
        <v>56</v>
      </c>
      <c r="Q237" s="48" t="s">
        <v>1675</v>
      </c>
      <c r="R237" s="48" t="s">
        <v>2730</v>
      </c>
      <c r="S237" s="48" t="s">
        <v>1675</v>
      </c>
      <c r="T237" s="48" t="s">
        <v>2731</v>
      </c>
      <c r="U237" s="48" t="s">
        <v>1675</v>
      </c>
      <c r="V237" s="48" t="s">
        <v>2732</v>
      </c>
      <c r="W237" s="17"/>
    </row>
    <row r="238" spans="1:23" ht="409.6">
      <c r="A238" s="156"/>
      <c r="B238" s="156"/>
      <c r="C238" s="48" t="s">
        <v>1681</v>
      </c>
      <c r="D238" s="22" t="s">
        <v>2733</v>
      </c>
      <c r="E238" s="48" t="s">
        <v>1681</v>
      </c>
      <c r="F238" s="22" t="s">
        <v>365</v>
      </c>
      <c r="G238" s="48" t="s">
        <v>1681</v>
      </c>
      <c r="H238" s="22" t="s">
        <v>29</v>
      </c>
      <c r="I238" s="48" t="s">
        <v>1681</v>
      </c>
      <c r="J238" s="22" t="s">
        <v>2734</v>
      </c>
      <c r="K238" s="48" t="s">
        <v>1681</v>
      </c>
      <c r="L238" s="22" t="s">
        <v>2735</v>
      </c>
      <c r="M238" s="48" t="s">
        <v>1681</v>
      </c>
      <c r="N238" s="22" t="s">
        <v>2736</v>
      </c>
      <c r="O238" s="48" t="s">
        <v>1681</v>
      </c>
      <c r="P238" s="22" t="s">
        <v>56</v>
      </c>
      <c r="Q238" s="48" t="s">
        <v>1681</v>
      </c>
      <c r="R238" s="48" t="s">
        <v>2737</v>
      </c>
      <c r="S238" s="48" t="s">
        <v>1681</v>
      </c>
      <c r="T238" s="48" t="s">
        <v>2731</v>
      </c>
      <c r="U238" s="48" t="s">
        <v>1681</v>
      </c>
      <c r="V238" s="48" t="s">
        <v>2732</v>
      </c>
      <c r="W238" s="17"/>
    </row>
    <row r="239" spans="1:23" ht="409.6">
      <c r="A239" s="156"/>
      <c r="B239" s="156"/>
      <c r="C239" s="48" t="s">
        <v>1685</v>
      </c>
      <c r="D239" s="22" t="s">
        <v>2733</v>
      </c>
      <c r="E239" s="48" t="s">
        <v>1685</v>
      </c>
      <c r="F239" s="22" t="s">
        <v>2738</v>
      </c>
      <c r="G239" s="48" t="s">
        <v>1685</v>
      </c>
      <c r="H239" s="22" t="s">
        <v>88</v>
      </c>
      <c r="I239" s="48" t="s">
        <v>1685</v>
      </c>
      <c r="J239" s="22" t="s">
        <v>2739</v>
      </c>
      <c r="K239" s="48" t="s">
        <v>1685</v>
      </c>
      <c r="L239" s="22" t="s">
        <v>2740</v>
      </c>
      <c r="M239" s="48" t="s">
        <v>1685</v>
      </c>
      <c r="N239" s="22" t="s">
        <v>2741</v>
      </c>
      <c r="O239" s="48" t="s">
        <v>1685</v>
      </c>
      <c r="P239" s="22" t="s">
        <v>56</v>
      </c>
      <c r="Q239" s="48" t="s">
        <v>1685</v>
      </c>
      <c r="R239" s="48" t="s">
        <v>2742</v>
      </c>
      <c r="S239" s="48" t="s">
        <v>1685</v>
      </c>
      <c r="T239" s="48" t="s">
        <v>17</v>
      </c>
      <c r="U239" s="48" t="s">
        <v>1685</v>
      </c>
      <c r="V239" s="48" t="s">
        <v>2743</v>
      </c>
      <c r="W239" s="17"/>
    </row>
    <row r="240" spans="1:23" ht="409.6">
      <c r="A240" s="156"/>
      <c r="B240" s="156"/>
      <c r="C240" s="48" t="s">
        <v>1688</v>
      </c>
      <c r="D240" s="22" t="s">
        <v>2744</v>
      </c>
      <c r="E240" s="48" t="s">
        <v>1688</v>
      </c>
      <c r="F240" s="22" t="s">
        <v>365</v>
      </c>
      <c r="G240" s="48" t="s">
        <v>1688</v>
      </c>
      <c r="H240" s="22" t="s">
        <v>88</v>
      </c>
      <c r="I240" s="48" t="s">
        <v>1688</v>
      </c>
      <c r="J240" s="22" t="s">
        <v>2739</v>
      </c>
      <c r="K240" s="48" t="s">
        <v>1688</v>
      </c>
      <c r="L240" s="22" t="s">
        <v>2745</v>
      </c>
      <c r="M240" s="48" t="s">
        <v>1688</v>
      </c>
      <c r="N240" s="22" t="s">
        <v>2746</v>
      </c>
      <c r="O240" s="48" t="s">
        <v>1688</v>
      </c>
      <c r="P240" s="22" t="s">
        <v>56</v>
      </c>
      <c r="Q240" s="48" t="s">
        <v>1688</v>
      </c>
      <c r="R240" s="48" t="s">
        <v>2747</v>
      </c>
      <c r="S240" s="48" t="s">
        <v>1688</v>
      </c>
      <c r="T240" s="48" t="s">
        <v>17</v>
      </c>
      <c r="U240" s="48" t="s">
        <v>1688</v>
      </c>
      <c r="V240" s="48" t="s">
        <v>2748</v>
      </c>
      <c r="W240" s="17"/>
    </row>
    <row r="241" spans="1:23" ht="409.6">
      <c r="A241" s="165" t="s">
        <v>156</v>
      </c>
      <c r="B241" s="165" t="s">
        <v>191</v>
      </c>
      <c r="C241" s="48" t="s">
        <v>1685</v>
      </c>
      <c r="D241" s="22" t="s">
        <v>2749</v>
      </c>
      <c r="E241" s="48" t="s">
        <v>1685</v>
      </c>
      <c r="F241" s="22" t="s">
        <v>60</v>
      </c>
      <c r="G241" s="48" t="s">
        <v>1685</v>
      </c>
      <c r="H241" s="22" t="s">
        <v>88</v>
      </c>
      <c r="I241" s="48" t="s">
        <v>1685</v>
      </c>
      <c r="J241" s="22" t="s">
        <v>2750</v>
      </c>
      <c r="K241" s="48" t="s">
        <v>1685</v>
      </c>
      <c r="L241" s="22" t="s">
        <v>2751</v>
      </c>
      <c r="M241" s="48" t="s">
        <v>1685</v>
      </c>
      <c r="N241" s="22" t="s">
        <v>2752</v>
      </c>
      <c r="O241" s="48" t="s">
        <v>1685</v>
      </c>
      <c r="P241" s="22" t="s">
        <v>17</v>
      </c>
      <c r="Q241" s="48" t="s">
        <v>1685</v>
      </c>
      <c r="R241" s="48" t="s">
        <v>2753</v>
      </c>
      <c r="S241" s="48" t="s">
        <v>1685</v>
      </c>
      <c r="T241" s="48" t="s">
        <v>17</v>
      </c>
      <c r="U241" s="48" t="s">
        <v>1685</v>
      </c>
      <c r="V241" s="48" t="s">
        <v>17</v>
      </c>
      <c r="W241" s="17"/>
    </row>
    <row r="242" spans="1:23" ht="409.6">
      <c r="A242" s="154"/>
      <c r="B242" s="154"/>
      <c r="C242" s="48" t="s">
        <v>1688</v>
      </c>
      <c r="D242" s="22" t="s">
        <v>2749</v>
      </c>
      <c r="E242" s="48" t="s">
        <v>1688</v>
      </c>
      <c r="F242" s="22" t="s">
        <v>60</v>
      </c>
      <c r="G242" s="48" t="s">
        <v>1688</v>
      </c>
      <c r="H242" s="22" t="s">
        <v>88</v>
      </c>
      <c r="I242" s="48" t="s">
        <v>1688</v>
      </c>
      <c r="J242" s="22" t="s">
        <v>2754</v>
      </c>
      <c r="K242" s="48" t="s">
        <v>1688</v>
      </c>
      <c r="L242" s="22" t="s">
        <v>1966</v>
      </c>
      <c r="M242" s="48" t="s">
        <v>1688</v>
      </c>
      <c r="N242" s="22" t="s">
        <v>2755</v>
      </c>
      <c r="O242" s="48" t="s">
        <v>1688</v>
      </c>
      <c r="P242" s="22" t="s">
        <v>2756</v>
      </c>
      <c r="Q242" s="48" t="s">
        <v>1688</v>
      </c>
      <c r="R242" s="48" t="s">
        <v>2757</v>
      </c>
      <c r="S242" s="48" t="s">
        <v>1688</v>
      </c>
      <c r="T242" s="48" t="s">
        <v>17</v>
      </c>
      <c r="U242" s="48" t="s">
        <v>1688</v>
      </c>
      <c r="V242" s="48" t="s">
        <v>2758</v>
      </c>
      <c r="W242" s="17"/>
    </row>
    <row r="243" spans="1:23" ht="409.6">
      <c r="A243" s="156" t="s">
        <v>760</v>
      </c>
      <c r="B243" s="156" t="s">
        <v>2759</v>
      </c>
      <c r="C243" s="48" t="s">
        <v>1681</v>
      </c>
      <c r="D243" s="22" t="s">
        <v>2760</v>
      </c>
      <c r="E243" s="48" t="s">
        <v>1681</v>
      </c>
      <c r="F243" s="22" t="s">
        <v>17</v>
      </c>
      <c r="G243" s="48" t="s">
        <v>1681</v>
      </c>
      <c r="H243" s="22" t="s">
        <v>29</v>
      </c>
      <c r="I243" s="48" t="s">
        <v>1681</v>
      </c>
      <c r="J243" s="22" t="s">
        <v>2761</v>
      </c>
      <c r="K243" s="48" t="s">
        <v>1681</v>
      </c>
      <c r="L243" s="22" t="s">
        <v>2762</v>
      </c>
      <c r="M243" s="48" t="s">
        <v>1681</v>
      </c>
      <c r="N243" s="22" t="s">
        <v>2646</v>
      </c>
      <c r="O243" s="48" t="s">
        <v>1681</v>
      </c>
      <c r="P243" s="22" t="s">
        <v>2763</v>
      </c>
      <c r="Q243" s="48" t="s">
        <v>1681</v>
      </c>
      <c r="R243" s="48" t="s">
        <v>2764</v>
      </c>
      <c r="S243" s="48" t="s">
        <v>1681</v>
      </c>
      <c r="T243" s="48" t="s">
        <v>2765</v>
      </c>
      <c r="U243" s="48" t="s">
        <v>1681</v>
      </c>
      <c r="V243" s="48" t="s">
        <v>2766</v>
      </c>
      <c r="W243" s="17"/>
    </row>
    <row r="244" spans="1:23" ht="409.6">
      <c r="A244" s="156"/>
      <c r="B244" s="156"/>
      <c r="C244" s="48" t="s">
        <v>1685</v>
      </c>
      <c r="D244" s="22" t="s">
        <v>2760</v>
      </c>
      <c r="E244" s="48" t="s">
        <v>1685</v>
      </c>
      <c r="F244" s="22" t="s">
        <v>17</v>
      </c>
      <c r="G244" s="48" t="s">
        <v>1685</v>
      </c>
      <c r="H244" s="22" t="s">
        <v>88</v>
      </c>
      <c r="I244" s="48" t="s">
        <v>1685</v>
      </c>
      <c r="J244" s="22" t="s">
        <v>2767</v>
      </c>
      <c r="K244" s="48" t="s">
        <v>1685</v>
      </c>
      <c r="L244" s="22" t="s">
        <v>2768</v>
      </c>
      <c r="M244" s="48" t="s">
        <v>1685</v>
      </c>
      <c r="N244" s="22" t="s">
        <v>17</v>
      </c>
      <c r="O244" s="48" t="s">
        <v>1685</v>
      </c>
      <c r="P244" s="22" t="s">
        <v>2077</v>
      </c>
      <c r="Q244" s="48" t="s">
        <v>1685</v>
      </c>
      <c r="R244" s="48" t="s">
        <v>2769</v>
      </c>
      <c r="S244" s="48" t="s">
        <v>1685</v>
      </c>
      <c r="T244" s="48" t="s">
        <v>2770</v>
      </c>
      <c r="U244" s="48" t="s">
        <v>1685</v>
      </c>
      <c r="V244" s="48" t="s">
        <v>2766</v>
      </c>
      <c r="W244" s="17"/>
    </row>
    <row r="245" spans="1:23" ht="409.6">
      <c r="A245" s="156"/>
      <c r="B245" s="156"/>
      <c r="C245" s="48" t="s">
        <v>1688</v>
      </c>
      <c r="D245" s="22" t="s">
        <v>2760</v>
      </c>
      <c r="E245" s="48" t="s">
        <v>1688</v>
      </c>
      <c r="F245" s="22" t="s">
        <v>17</v>
      </c>
      <c r="G245" s="48" t="s">
        <v>1688</v>
      </c>
      <c r="H245" s="22" t="s">
        <v>88</v>
      </c>
      <c r="I245" s="48" t="s">
        <v>1688</v>
      </c>
      <c r="J245" s="51" t="s">
        <v>2771</v>
      </c>
      <c r="K245" s="48" t="s">
        <v>1688</v>
      </c>
      <c r="L245" s="22" t="s">
        <v>2772</v>
      </c>
      <c r="M245" s="48" t="s">
        <v>1688</v>
      </c>
      <c r="N245" s="22" t="s">
        <v>17</v>
      </c>
      <c r="O245" s="48" t="s">
        <v>1688</v>
      </c>
      <c r="P245" s="22" t="s">
        <v>209</v>
      </c>
      <c r="Q245" s="48" t="s">
        <v>1688</v>
      </c>
      <c r="R245" s="48" t="s">
        <v>2773</v>
      </c>
      <c r="S245" s="48" t="s">
        <v>1688</v>
      </c>
      <c r="T245" s="48" t="s">
        <v>2770</v>
      </c>
      <c r="U245" s="48" t="s">
        <v>1688</v>
      </c>
      <c r="V245" s="48" t="s">
        <v>2774</v>
      </c>
      <c r="W245" s="17"/>
    </row>
    <row r="246" spans="1:23">
      <c r="A246" s="156" t="s">
        <v>589</v>
      </c>
      <c r="B246" s="156" t="s">
        <v>640</v>
      </c>
      <c r="C246" s="17" t="s">
        <v>1675</v>
      </c>
      <c r="D246" s="18" t="s">
        <v>1957</v>
      </c>
      <c r="E246" s="17" t="s">
        <v>3</v>
      </c>
      <c r="F246" s="18"/>
      <c r="G246" s="17" t="s">
        <v>1675</v>
      </c>
      <c r="H246" s="18"/>
      <c r="I246" s="17" t="s">
        <v>1675</v>
      </c>
      <c r="J246" s="52"/>
      <c r="K246" s="17" t="s">
        <v>1675</v>
      </c>
      <c r="L246" s="18"/>
      <c r="M246" s="17" t="s">
        <v>1675</v>
      </c>
      <c r="N246" s="18"/>
      <c r="O246" s="17" t="s">
        <v>1675</v>
      </c>
      <c r="P246" s="18"/>
      <c r="Q246" s="17" t="s">
        <v>1675</v>
      </c>
      <c r="R246" s="17"/>
      <c r="S246" s="17" t="s">
        <v>1675</v>
      </c>
      <c r="T246" s="17"/>
      <c r="U246" s="17" t="s">
        <v>1675</v>
      </c>
      <c r="V246" s="17"/>
      <c r="W246" s="17"/>
    </row>
    <row r="247" spans="1:23">
      <c r="A247" s="156"/>
      <c r="B247" s="156"/>
      <c r="C247" s="17" t="s">
        <v>1681</v>
      </c>
      <c r="D247" s="18" t="s">
        <v>1957</v>
      </c>
      <c r="E247" s="17" t="s">
        <v>1681</v>
      </c>
      <c r="F247" s="18"/>
      <c r="G247" s="17" t="s">
        <v>1681</v>
      </c>
      <c r="H247" s="18"/>
      <c r="I247" s="17" t="s">
        <v>1681</v>
      </c>
      <c r="J247" s="18"/>
      <c r="K247" s="17" t="s">
        <v>1681</v>
      </c>
      <c r="L247" s="18"/>
      <c r="M247" s="17" t="s">
        <v>1681</v>
      </c>
      <c r="N247" s="18"/>
      <c r="O247" s="17" t="s">
        <v>1681</v>
      </c>
      <c r="P247" s="18"/>
      <c r="Q247" s="17" t="s">
        <v>1681</v>
      </c>
      <c r="R247" s="17"/>
      <c r="S247" s="17" t="s">
        <v>1681</v>
      </c>
      <c r="T247" s="17"/>
      <c r="U247" s="17" t="s">
        <v>1681</v>
      </c>
      <c r="V247" s="17"/>
      <c r="W247" s="17"/>
    </row>
    <row r="248" spans="1:23" ht="409.6">
      <c r="A248" s="156"/>
      <c r="B248" s="156"/>
      <c r="C248" s="17" t="s">
        <v>1685</v>
      </c>
      <c r="D248" s="18" t="s">
        <v>36</v>
      </c>
      <c r="E248" s="17" t="s">
        <v>1685</v>
      </c>
      <c r="F248" s="18" t="s">
        <v>642</v>
      </c>
      <c r="G248" s="17" t="s">
        <v>1685</v>
      </c>
      <c r="H248" s="18" t="s">
        <v>88</v>
      </c>
      <c r="I248" s="17" t="s">
        <v>1685</v>
      </c>
      <c r="J248" s="18" t="s">
        <v>2775</v>
      </c>
      <c r="K248" s="17" t="s">
        <v>1685</v>
      </c>
      <c r="L248" s="18" t="s">
        <v>2776</v>
      </c>
      <c r="M248" s="17" t="s">
        <v>1685</v>
      </c>
      <c r="N248" s="18" t="s">
        <v>2777</v>
      </c>
      <c r="O248" s="17" t="s">
        <v>1685</v>
      </c>
      <c r="P248" s="18" t="s">
        <v>323</v>
      </c>
      <c r="Q248" s="17" t="s">
        <v>1685</v>
      </c>
      <c r="R248" s="17" t="s">
        <v>2778</v>
      </c>
      <c r="S248" s="17" t="s">
        <v>1685</v>
      </c>
      <c r="T248" s="17" t="s">
        <v>17</v>
      </c>
      <c r="U248" s="17" t="s">
        <v>1685</v>
      </c>
      <c r="V248" s="17" t="s">
        <v>2779</v>
      </c>
      <c r="W248" s="17"/>
    </row>
    <row r="249" spans="1:23" ht="409.6">
      <c r="A249" s="156"/>
      <c r="B249" s="156"/>
      <c r="C249" s="17" t="s">
        <v>1688</v>
      </c>
      <c r="D249" s="18" t="s">
        <v>2780</v>
      </c>
      <c r="E249" s="17" t="s">
        <v>1688</v>
      </c>
      <c r="F249" s="18" t="s">
        <v>2781</v>
      </c>
      <c r="G249" s="17" t="s">
        <v>1688</v>
      </c>
      <c r="H249" s="18" t="s">
        <v>88</v>
      </c>
      <c r="I249" s="17" t="s">
        <v>1688</v>
      </c>
      <c r="J249" s="18" t="s">
        <v>2782</v>
      </c>
      <c r="K249" s="17" t="s">
        <v>1688</v>
      </c>
      <c r="L249" s="18" t="s">
        <v>2783</v>
      </c>
      <c r="M249" s="17" t="s">
        <v>1688</v>
      </c>
      <c r="N249" s="18" t="s">
        <v>2784</v>
      </c>
      <c r="O249" s="17" t="s">
        <v>1688</v>
      </c>
      <c r="P249" s="18" t="s">
        <v>323</v>
      </c>
      <c r="Q249" s="17" t="s">
        <v>1688</v>
      </c>
      <c r="R249" s="17" t="s">
        <v>2785</v>
      </c>
      <c r="S249" s="17" t="s">
        <v>1688</v>
      </c>
      <c r="T249" s="17" t="s">
        <v>2770</v>
      </c>
      <c r="U249" s="17" t="s">
        <v>1688</v>
      </c>
      <c r="V249" s="17" t="s">
        <v>2786</v>
      </c>
      <c r="W249" s="17" t="s">
        <v>2787</v>
      </c>
    </row>
    <row r="250" spans="1:23" ht="409.6">
      <c r="A250" s="156" t="s">
        <v>13</v>
      </c>
      <c r="B250" s="156" t="s">
        <v>478</v>
      </c>
      <c r="C250" s="17" t="s">
        <v>1675</v>
      </c>
      <c r="D250" s="18" t="s">
        <v>36</v>
      </c>
      <c r="E250" s="17" t="s">
        <v>1675</v>
      </c>
      <c r="F250" s="18" t="s">
        <v>2788</v>
      </c>
      <c r="G250" s="17" t="s">
        <v>1675</v>
      </c>
      <c r="H250" s="18" t="s">
        <v>29</v>
      </c>
      <c r="I250" s="17" t="s">
        <v>1675</v>
      </c>
      <c r="J250" s="18" t="s">
        <v>2789</v>
      </c>
      <c r="K250" s="17" t="s">
        <v>1675</v>
      </c>
      <c r="L250" s="18" t="s">
        <v>17</v>
      </c>
      <c r="M250" s="17" t="s">
        <v>1675</v>
      </c>
      <c r="N250" s="18" t="s">
        <v>2790</v>
      </c>
      <c r="O250" s="17" t="s">
        <v>1675</v>
      </c>
      <c r="P250" s="18" t="s">
        <v>17</v>
      </c>
      <c r="Q250" s="17" t="s">
        <v>1675</v>
      </c>
      <c r="R250" s="17" t="s">
        <v>2791</v>
      </c>
      <c r="S250" s="17" t="s">
        <v>1675</v>
      </c>
      <c r="T250" s="17" t="s">
        <v>17</v>
      </c>
      <c r="U250" s="17" t="s">
        <v>1675</v>
      </c>
      <c r="V250" s="17" t="s">
        <v>17</v>
      </c>
      <c r="W250" s="17"/>
    </row>
    <row r="251" spans="1:23" ht="409.6">
      <c r="A251" s="156"/>
      <c r="B251" s="156"/>
      <c r="C251" s="17" t="s">
        <v>1681</v>
      </c>
      <c r="D251" s="18" t="s">
        <v>36</v>
      </c>
      <c r="E251" s="17" t="s">
        <v>1681</v>
      </c>
      <c r="F251" s="18" t="s">
        <v>2788</v>
      </c>
      <c r="G251" s="17" t="s">
        <v>1681</v>
      </c>
      <c r="H251" s="18" t="s">
        <v>29</v>
      </c>
      <c r="I251" s="17" t="s">
        <v>1681</v>
      </c>
      <c r="J251" s="18" t="s">
        <v>2789</v>
      </c>
      <c r="K251" s="17" t="s">
        <v>1681</v>
      </c>
      <c r="L251" s="18" t="s">
        <v>2792</v>
      </c>
      <c r="M251" s="17" t="s">
        <v>1681</v>
      </c>
      <c r="N251" s="18" t="s">
        <v>2793</v>
      </c>
      <c r="O251" s="17" t="s">
        <v>1681</v>
      </c>
      <c r="P251" s="18" t="s">
        <v>17</v>
      </c>
      <c r="Q251" s="17" t="s">
        <v>1681</v>
      </c>
      <c r="R251" s="17" t="s">
        <v>2794</v>
      </c>
      <c r="S251" s="17" t="s">
        <v>1681</v>
      </c>
      <c r="T251" s="17" t="s">
        <v>2795</v>
      </c>
      <c r="U251" s="17" t="s">
        <v>1681</v>
      </c>
      <c r="V251" s="17" t="s">
        <v>17</v>
      </c>
      <c r="W251" s="17"/>
    </row>
    <row r="252" spans="1:23" ht="409.6">
      <c r="A252" s="156"/>
      <c r="B252" s="156"/>
      <c r="C252" s="17" t="s">
        <v>1685</v>
      </c>
      <c r="D252" s="18" t="s">
        <v>36</v>
      </c>
      <c r="E252" s="17" t="s">
        <v>1685</v>
      </c>
      <c r="F252" s="18" t="s">
        <v>60</v>
      </c>
      <c r="G252" s="17" t="s">
        <v>1685</v>
      </c>
      <c r="H252" s="18" t="s">
        <v>88</v>
      </c>
      <c r="I252" s="17" t="s">
        <v>1685</v>
      </c>
      <c r="J252" s="18" t="s">
        <v>17</v>
      </c>
      <c r="K252" s="17" t="s">
        <v>1685</v>
      </c>
      <c r="L252" s="18" t="s">
        <v>2796</v>
      </c>
      <c r="M252" s="17" t="s">
        <v>1685</v>
      </c>
      <c r="N252" s="18" t="s">
        <v>2797</v>
      </c>
      <c r="O252" s="17" t="s">
        <v>1685</v>
      </c>
      <c r="P252" s="18" t="s">
        <v>17</v>
      </c>
      <c r="Q252" s="17" t="s">
        <v>1685</v>
      </c>
      <c r="R252" s="17" t="s">
        <v>2798</v>
      </c>
      <c r="S252" s="17" t="s">
        <v>1685</v>
      </c>
      <c r="T252" s="17" t="s">
        <v>17</v>
      </c>
      <c r="U252" s="17" t="s">
        <v>1685</v>
      </c>
      <c r="V252" s="17" t="s">
        <v>17</v>
      </c>
      <c r="W252" s="17"/>
    </row>
    <row r="253" spans="1:23" ht="409.6">
      <c r="A253" s="156"/>
      <c r="B253" s="156"/>
      <c r="C253" s="17" t="s">
        <v>1688</v>
      </c>
      <c r="D253" s="18" t="s">
        <v>2799</v>
      </c>
      <c r="E253" s="17" t="s">
        <v>1688</v>
      </c>
      <c r="F253" s="18" t="s">
        <v>2800</v>
      </c>
      <c r="G253" s="17" t="s">
        <v>1688</v>
      </c>
      <c r="H253" s="18" t="s">
        <v>88</v>
      </c>
      <c r="I253" s="17" t="s">
        <v>1688</v>
      </c>
      <c r="J253" s="18" t="s">
        <v>17</v>
      </c>
      <c r="K253" s="17" t="s">
        <v>1688</v>
      </c>
      <c r="L253" s="18" t="s">
        <v>2801</v>
      </c>
      <c r="M253" s="17" t="s">
        <v>1688</v>
      </c>
      <c r="N253" s="18" t="s">
        <v>138</v>
      </c>
      <c r="O253" s="17" t="s">
        <v>1688</v>
      </c>
      <c r="P253" s="18" t="s">
        <v>17</v>
      </c>
      <c r="Q253" s="17" t="s">
        <v>1688</v>
      </c>
      <c r="R253" s="17" t="s">
        <v>2802</v>
      </c>
      <c r="S253" s="17" t="s">
        <v>1688</v>
      </c>
      <c r="T253" s="17" t="s">
        <v>17</v>
      </c>
      <c r="U253" s="17" t="s">
        <v>1688</v>
      </c>
      <c r="V253" s="17" t="s">
        <v>17</v>
      </c>
      <c r="W253" s="17"/>
    </row>
    <row r="254" spans="1:23" ht="409.6">
      <c r="A254" s="165" t="s">
        <v>156</v>
      </c>
      <c r="B254" s="165" t="s">
        <v>207</v>
      </c>
      <c r="C254" s="17" t="s">
        <v>1675</v>
      </c>
      <c r="D254" s="18" t="s">
        <v>36</v>
      </c>
      <c r="E254" s="17" t="s">
        <v>1675</v>
      </c>
      <c r="F254" s="18" t="s">
        <v>60</v>
      </c>
      <c r="G254" s="17" t="s">
        <v>1675</v>
      </c>
      <c r="H254" s="18" t="s">
        <v>29</v>
      </c>
      <c r="I254" s="17" t="s">
        <v>1675</v>
      </c>
      <c r="J254" s="53" t="s">
        <v>2803</v>
      </c>
      <c r="K254" s="17" t="s">
        <v>1675</v>
      </c>
      <c r="L254" s="18" t="s">
        <v>2804</v>
      </c>
      <c r="M254" s="17" t="s">
        <v>1675</v>
      </c>
      <c r="N254" s="18" t="s">
        <v>2805</v>
      </c>
      <c r="O254" s="17" t="s">
        <v>1675</v>
      </c>
      <c r="P254" s="18" t="s">
        <v>17</v>
      </c>
      <c r="Q254" s="17" t="s">
        <v>1675</v>
      </c>
      <c r="R254" s="17" t="s">
        <v>2806</v>
      </c>
      <c r="S254" s="17" t="s">
        <v>1675</v>
      </c>
      <c r="T254" s="17" t="s">
        <v>2807</v>
      </c>
      <c r="U254" s="17" t="s">
        <v>1675</v>
      </c>
      <c r="V254" s="17" t="s">
        <v>17</v>
      </c>
      <c r="W254" s="17"/>
    </row>
    <row r="255" spans="1:23" ht="409.6">
      <c r="A255" s="153"/>
      <c r="B255" s="153"/>
      <c r="C255" s="17" t="s">
        <v>1681</v>
      </c>
      <c r="D255" s="18" t="s">
        <v>2808</v>
      </c>
      <c r="E255" s="17" t="s">
        <v>1681</v>
      </c>
      <c r="F255" s="18" t="s">
        <v>2809</v>
      </c>
      <c r="G255" s="17" t="s">
        <v>1681</v>
      </c>
      <c r="H255" s="18" t="s">
        <v>29</v>
      </c>
      <c r="I255" s="17" t="s">
        <v>1681</v>
      </c>
      <c r="J255" s="18" t="s">
        <v>2810</v>
      </c>
      <c r="K255" s="17" t="s">
        <v>1681</v>
      </c>
      <c r="L255" s="18" t="s">
        <v>2811</v>
      </c>
      <c r="M255" s="17" t="s">
        <v>1681</v>
      </c>
      <c r="N255" s="18" t="s">
        <v>2812</v>
      </c>
      <c r="O255" s="17" t="s">
        <v>1681</v>
      </c>
      <c r="P255" s="18" t="s">
        <v>17</v>
      </c>
      <c r="Q255" s="17" t="s">
        <v>1681</v>
      </c>
      <c r="R255" s="17" t="s">
        <v>2813</v>
      </c>
      <c r="S255" s="17" t="s">
        <v>1681</v>
      </c>
      <c r="T255" s="17" t="s">
        <v>2814</v>
      </c>
      <c r="U255" s="17" t="s">
        <v>1681</v>
      </c>
      <c r="V255" s="17" t="s">
        <v>17</v>
      </c>
      <c r="W255" s="17"/>
    </row>
    <row r="256" spans="1:23" ht="150">
      <c r="A256" s="153"/>
      <c r="B256" s="153"/>
      <c r="C256" s="17" t="s">
        <v>1685</v>
      </c>
      <c r="D256" s="18" t="s">
        <v>36</v>
      </c>
      <c r="E256" s="17" t="s">
        <v>1685</v>
      </c>
      <c r="F256" s="18" t="s">
        <v>60</v>
      </c>
      <c r="G256" s="17" t="s">
        <v>1685</v>
      </c>
      <c r="H256" s="18" t="s">
        <v>2815</v>
      </c>
      <c r="I256" s="17" t="s">
        <v>1685</v>
      </c>
      <c r="J256" s="18" t="s">
        <v>17</v>
      </c>
      <c r="K256" s="17" t="s">
        <v>1685</v>
      </c>
      <c r="L256" s="18" t="s">
        <v>2816</v>
      </c>
      <c r="M256" s="17" t="s">
        <v>1685</v>
      </c>
      <c r="N256" s="18" t="s">
        <v>2817</v>
      </c>
      <c r="O256" s="17" t="s">
        <v>1685</v>
      </c>
      <c r="P256" s="18" t="s">
        <v>17</v>
      </c>
      <c r="Q256" s="17" t="s">
        <v>1685</v>
      </c>
      <c r="R256" s="17" t="s">
        <v>2818</v>
      </c>
      <c r="S256" s="17" t="s">
        <v>1685</v>
      </c>
      <c r="T256" s="17" t="s">
        <v>17</v>
      </c>
      <c r="U256" s="17" t="s">
        <v>1685</v>
      </c>
      <c r="V256" s="17" t="s">
        <v>2819</v>
      </c>
      <c r="W256" s="17"/>
    </row>
    <row r="257" spans="1:23" ht="409.6">
      <c r="A257" s="154"/>
      <c r="B257" s="154"/>
      <c r="C257" s="17" t="s">
        <v>1688</v>
      </c>
      <c r="D257" s="18" t="s">
        <v>2820</v>
      </c>
      <c r="E257" s="17" t="s">
        <v>1688</v>
      </c>
      <c r="F257" s="18" t="s">
        <v>60</v>
      </c>
      <c r="G257" s="17" t="s">
        <v>1688</v>
      </c>
      <c r="H257" s="18" t="s">
        <v>88</v>
      </c>
      <c r="I257" s="17" t="s">
        <v>1688</v>
      </c>
      <c r="J257" s="18" t="s">
        <v>2754</v>
      </c>
      <c r="K257" s="17" t="s">
        <v>1688</v>
      </c>
      <c r="L257" s="18" t="s">
        <v>1929</v>
      </c>
      <c r="M257" s="17" t="s">
        <v>1688</v>
      </c>
      <c r="N257" s="18" t="s">
        <v>2821</v>
      </c>
      <c r="O257" s="17" t="s">
        <v>1688</v>
      </c>
      <c r="P257" s="18" t="s">
        <v>2822</v>
      </c>
      <c r="Q257" s="17" t="s">
        <v>1688</v>
      </c>
      <c r="R257" s="17" t="s">
        <v>2823</v>
      </c>
      <c r="S257" s="17" t="s">
        <v>1688</v>
      </c>
      <c r="T257" s="17" t="s">
        <v>17</v>
      </c>
      <c r="U257" s="17" t="s">
        <v>1688</v>
      </c>
      <c r="V257" s="17" t="s">
        <v>2824</v>
      </c>
      <c r="W257" s="17"/>
    </row>
    <row r="258" spans="1:23" ht="409.6">
      <c r="A258" s="156" t="s">
        <v>318</v>
      </c>
      <c r="B258" s="156" t="s">
        <v>191</v>
      </c>
      <c r="C258" s="17" t="s">
        <v>1675</v>
      </c>
      <c r="D258" s="18" t="s">
        <v>2825</v>
      </c>
      <c r="E258" s="17" t="s">
        <v>1675</v>
      </c>
      <c r="F258" s="18" t="s">
        <v>2826</v>
      </c>
      <c r="G258" s="17" t="s">
        <v>1675</v>
      </c>
      <c r="H258" s="18" t="s">
        <v>29</v>
      </c>
      <c r="I258" s="17" t="s">
        <v>1675</v>
      </c>
      <c r="J258" s="18" t="s">
        <v>2827</v>
      </c>
      <c r="K258" s="17" t="s">
        <v>1675</v>
      </c>
      <c r="L258" s="18" t="s">
        <v>2828</v>
      </c>
      <c r="M258" s="17" t="s">
        <v>1675</v>
      </c>
      <c r="N258" s="18" t="s">
        <v>2829</v>
      </c>
      <c r="O258" s="17" t="s">
        <v>1675</v>
      </c>
      <c r="P258" s="18" t="s">
        <v>2830</v>
      </c>
      <c r="Q258" s="17" t="s">
        <v>1675</v>
      </c>
      <c r="R258" s="17" t="s">
        <v>2831</v>
      </c>
      <c r="S258" s="17" t="s">
        <v>1675</v>
      </c>
      <c r="T258" s="17" t="s">
        <v>2832</v>
      </c>
      <c r="U258" s="17" t="s">
        <v>1675</v>
      </c>
      <c r="V258" s="17" t="s">
        <v>2833</v>
      </c>
      <c r="W258" s="17"/>
    </row>
    <row r="259" spans="1:23" ht="409.6">
      <c r="A259" s="156"/>
      <c r="B259" s="156"/>
      <c r="C259" s="17" t="s">
        <v>1681</v>
      </c>
      <c r="D259" s="18" t="s">
        <v>2834</v>
      </c>
      <c r="E259" s="17" t="s">
        <v>1681</v>
      </c>
      <c r="F259" s="18" t="s">
        <v>2826</v>
      </c>
      <c r="G259" s="17" t="s">
        <v>1681</v>
      </c>
      <c r="H259" s="18" t="s">
        <v>29</v>
      </c>
      <c r="I259" s="17" t="s">
        <v>1681</v>
      </c>
      <c r="J259" s="18" t="s">
        <v>2835</v>
      </c>
      <c r="K259" s="17" t="s">
        <v>1681</v>
      </c>
      <c r="L259" s="18" t="s">
        <v>2836</v>
      </c>
      <c r="M259" s="17" t="s">
        <v>1681</v>
      </c>
      <c r="N259" s="18" t="s">
        <v>2837</v>
      </c>
      <c r="O259" s="17" t="s">
        <v>1681</v>
      </c>
      <c r="P259" s="18" t="s">
        <v>2838</v>
      </c>
      <c r="Q259" s="17" t="s">
        <v>1681</v>
      </c>
      <c r="R259" s="17" t="s">
        <v>2831</v>
      </c>
      <c r="S259" s="17" t="s">
        <v>1681</v>
      </c>
      <c r="T259" s="17" t="s">
        <v>2839</v>
      </c>
      <c r="U259" s="17" t="s">
        <v>1681</v>
      </c>
      <c r="V259" s="17" t="s">
        <v>2833</v>
      </c>
      <c r="W259" s="17"/>
    </row>
    <row r="260" spans="1:23" ht="409.6">
      <c r="A260" s="156"/>
      <c r="B260" s="156"/>
      <c r="C260" s="17" t="s">
        <v>1685</v>
      </c>
      <c r="D260" s="18" t="s">
        <v>2840</v>
      </c>
      <c r="E260" s="17" t="s">
        <v>1685</v>
      </c>
      <c r="F260" s="18" t="s">
        <v>2826</v>
      </c>
      <c r="G260" s="17" t="s">
        <v>1685</v>
      </c>
      <c r="H260" s="18" t="s">
        <v>88</v>
      </c>
      <c r="I260" s="17" t="s">
        <v>1685</v>
      </c>
      <c r="J260" s="18" t="s">
        <v>17</v>
      </c>
      <c r="K260" s="17" t="s">
        <v>1685</v>
      </c>
      <c r="L260" s="18" t="s">
        <v>2841</v>
      </c>
      <c r="M260" s="17" t="s">
        <v>1685</v>
      </c>
      <c r="N260" s="18" t="s">
        <v>17</v>
      </c>
      <c r="O260" s="17" t="s">
        <v>1685</v>
      </c>
      <c r="P260" s="18" t="s">
        <v>402</v>
      </c>
      <c r="Q260" s="17" t="s">
        <v>1685</v>
      </c>
      <c r="R260" s="17" t="s">
        <v>2842</v>
      </c>
      <c r="S260" s="17" t="s">
        <v>1685</v>
      </c>
      <c r="T260" s="17" t="s">
        <v>17</v>
      </c>
      <c r="U260" s="17" t="s">
        <v>1685</v>
      </c>
      <c r="V260" s="17" t="s">
        <v>2843</v>
      </c>
      <c r="W260" s="17"/>
    </row>
    <row r="261" spans="1:23" ht="409.6">
      <c r="A261" s="156"/>
      <c r="B261" s="156"/>
      <c r="C261" s="17" t="s">
        <v>1688</v>
      </c>
      <c r="D261" s="18" t="s">
        <v>36</v>
      </c>
      <c r="E261" s="17" t="s">
        <v>1688</v>
      </c>
      <c r="F261" s="18" t="s">
        <v>2844</v>
      </c>
      <c r="G261" s="17" t="s">
        <v>1688</v>
      </c>
      <c r="H261" s="18" t="s">
        <v>88</v>
      </c>
      <c r="I261" s="17" t="s">
        <v>1688</v>
      </c>
      <c r="J261" s="18" t="s">
        <v>17</v>
      </c>
      <c r="K261" s="17" t="s">
        <v>1688</v>
      </c>
      <c r="L261" s="18" t="s">
        <v>2845</v>
      </c>
      <c r="M261" s="17" t="s">
        <v>1688</v>
      </c>
      <c r="N261" s="18" t="s">
        <v>17</v>
      </c>
      <c r="O261" s="17" t="s">
        <v>1688</v>
      </c>
      <c r="P261" s="18" t="s">
        <v>323</v>
      </c>
      <c r="Q261" s="17" t="s">
        <v>1688</v>
      </c>
      <c r="R261" s="17" t="s">
        <v>2846</v>
      </c>
      <c r="S261" s="17" t="s">
        <v>1688</v>
      </c>
      <c r="T261" s="17" t="s">
        <v>17</v>
      </c>
      <c r="U261" s="17" t="s">
        <v>1688</v>
      </c>
      <c r="V261" s="17" t="s">
        <v>2847</v>
      </c>
      <c r="W261" s="17"/>
    </row>
    <row r="262" spans="1:23" ht="409.6">
      <c r="A262" s="156" t="s">
        <v>58</v>
      </c>
      <c r="B262" s="156" t="s">
        <v>191</v>
      </c>
      <c r="C262" s="17" t="s">
        <v>1675</v>
      </c>
      <c r="D262" s="18" t="s">
        <v>36</v>
      </c>
      <c r="E262" s="17" t="s">
        <v>1675</v>
      </c>
      <c r="F262" s="18" t="s">
        <v>60</v>
      </c>
      <c r="G262" s="17" t="s">
        <v>1675</v>
      </c>
      <c r="H262" s="18" t="s">
        <v>29</v>
      </c>
      <c r="I262" s="17" t="s">
        <v>1675</v>
      </c>
      <c r="J262" s="23" t="s">
        <v>2848</v>
      </c>
      <c r="K262" s="17" t="s">
        <v>1675</v>
      </c>
      <c r="L262" s="18" t="s">
        <v>2849</v>
      </c>
      <c r="M262" s="17" t="s">
        <v>1675</v>
      </c>
      <c r="N262" s="18" t="s">
        <v>2850</v>
      </c>
      <c r="O262" s="17" t="s">
        <v>1675</v>
      </c>
      <c r="P262" s="18" t="s">
        <v>2851</v>
      </c>
      <c r="Q262" s="17" t="s">
        <v>1675</v>
      </c>
      <c r="R262" s="17" t="s">
        <v>2852</v>
      </c>
      <c r="S262" s="17" t="s">
        <v>1675</v>
      </c>
      <c r="T262" s="17" t="s">
        <v>2853</v>
      </c>
      <c r="U262" s="17" t="s">
        <v>1675</v>
      </c>
      <c r="V262" s="17" t="s">
        <v>17</v>
      </c>
      <c r="W262" s="17"/>
    </row>
    <row r="263" spans="1:23" ht="30">
      <c r="A263" s="156"/>
      <c r="B263" s="156"/>
      <c r="C263" s="17" t="s">
        <v>1681</v>
      </c>
      <c r="D263" s="18" t="s">
        <v>2282</v>
      </c>
      <c r="E263" s="17" t="s">
        <v>1681</v>
      </c>
      <c r="F263" s="18"/>
      <c r="G263" s="17" t="s">
        <v>1681</v>
      </c>
      <c r="H263" s="18"/>
      <c r="I263" s="17" t="s">
        <v>1681</v>
      </c>
      <c r="J263" s="18"/>
      <c r="K263" s="17" t="s">
        <v>1681</v>
      </c>
      <c r="L263" s="18"/>
      <c r="M263" s="17" t="s">
        <v>1681</v>
      </c>
      <c r="N263" s="18"/>
      <c r="O263" s="17" t="s">
        <v>1681</v>
      </c>
      <c r="P263" s="18"/>
      <c r="Q263" s="17" t="s">
        <v>1681</v>
      </c>
      <c r="R263" s="17"/>
      <c r="S263" s="17" t="s">
        <v>1681</v>
      </c>
      <c r="T263" s="17"/>
      <c r="U263" s="17" t="s">
        <v>1681</v>
      </c>
      <c r="V263" s="17"/>
      <c r="W263" s="17"/>
    </row>
    <row r="264" spans="1:23" ht="409.6">
      <c r="A264" s="156"/>
      <c r="B264" s="156"/>
      <c r="C264" s="17" t="s">
        <v>1685</v>
      </c>
      <c r="D264" s="18" t="s">
        <v>2854</v>
      </c>
      <c r="E264" s="17" t="s">
        <v>1685</v>
      </c>
      <c r="F264" s="18" t="s">
        <v>60</v>
      </c>
      <c r="G264" s="17" t="s">
        <v>1685</v>
      </c>
      <c r="H264" s="18" t="s">
        <v>88</v>
      </c>
      <c r="I264" s="17" t="s">
        <v>1685</v>
      </c>
      <c r="J264" s="18" t="s">
        <v>17</v>
      </c>
      <c r="K264" s="17" t="s">
        <v>1685</v>
      </c>
      <c r="L264" s="18" t="s">
        <v>2855</v>
      </c>
      <c r="M264" s="17" t="s">
        <v>1685</v>
      </c>
      <c r="N264" s="18" t="s">
        <v>2856</v>
      </c>
      <c r="O264" s="17" t="s">
        <v>1685</v>
      </c>
      <c r="P264" s="18" t="s">
        <v>625</v>
      </c>
      <c r="Q264" s="17" t="s">
        <v>1685</v>
      </c>
      <c r="R264" s="17" t="s">
        <v>2857</v>
      </c>
      <c r="S264" s="17" t="s">
        <v>1685</v>
      </c>
      <c r="T264" s="17" t="s">
        <v>17</v>
      </c>
      <c r="U264" s="17" t="s">
        <v>1685</v>
      </c>
      <c r="V264" s="17" t="s">
        <v>17</v>
      </c>
      <c r="W264" s="17"/>
    </row>
    <row r="265" spans="1:23" ht="409.6">
      <c r="A265" s="156"/>
      <c r="B265" s="156"/>
      <c r="C265" s="17" t="s">
        <v>1688</v>
      </c>
      <c r="D265" s="18" t="s">
        <v>2858</v>
      </c>
      <c r="E265" s="17" t="s">
        <v>1688</v>
      </c>
      <c r="F265" s="18" t="s">
        <v>2859</v>
      </c>
      <c r="G265" s="17" t="s">
        <v>1688</v>
      </c>
      <c r="H265" s="18" t="s">
        <v>88</v>
      </c>
      <c r="I265" s="17" t="s">
        <v>1688</v>
      </c>
      <c r="J265" s="53" t="s">
        <v>2860</v>
      </c>
      <c r="K265" s="17" t="s">
        <v>1688</v>
      </c>
      <c r="L265" s="18" t="s">
        <v>2861</v>
      </c>
      <c r="M265" s="17" t="s">
        <v>1688</v>
      </c>
      <c r="N265" s="18" t="s">
        <v>2862</v>
      </c>
      <c r="O265" s="17" t="s">
        <v>1688</v>
      </c>
      <c r="P265" s="18" t="s">
        <v>258</v>
      </c>
      <c r="Q265" s="17" t="s">
        <v>1688</v>
      </c>
      <c r="R265" s="17" t="s">
        <v>2863</v>
      </c>
      <c r="S265" s="17" t="s">
        <v>1688</v>
      </c>
      <c r="T265" s="17" t="s">
        <v>17</v>
      </c>
      <c r="U265" s="17" t="s">
        <v>1688</v>
      </c>
      <c r="V265" s="17" t="s">
        <v>17</v>
      </c>
      <c r="W265" s="17"/>
    </row>
    <row r="266" spans="1:23" ht="30">
      <c r="A266" s="156" t="s">
        <v>2864</v>
      </c>
      <c r="B266" s="156" t="s">
        <v>2865</v>
      </c>
      <c r="C266" s="17" t="s">
        <v>1675</v>
      </c>
      <c r="D266" s="18" t="s">
        <v>2282</v>
      </c>
      <c r="E266" s="17" t="s">
        <v>1675</v>
      </c>
      <c r="F266" s="18"/>
      <c r="G266" s="17" t="s">
        <v>1675</v>
      </c>
      <c r="H266" s="18"/>
      <c r="I266" s="17" t="s">
        <v>1675</v>
      </c>
      <c r="J266" s="52"/>
      <c r="K266" s="17" t="s">
        <v>1675</v>
      </c>
      <c r="L266" s="18"/>
      <c r="M266" s="17" t="s">
        <v>1675</v>
      </c>
      <c r="N266" s="18"/>
      <c r="O266" s="17" t="s">
        <v>1675</v>
      </c>
      <c r="P266" s="18"/>
      <c r="Q266" s="17" t="s">
        <v>1675</v>
      </c>
      <c r="R266" s="17"/>
      <c r="S266" s="17" t="s">
        <v>1675</v>
      </c>
      <c r="T266" s="17"/>
      <c r="U266" s="17" t="s">
        <v>1675</v>
      </c>
      <c r="V266" s="17"/>
      <c r="W266" s="17"/>
    </row>
    <row r="267" spans="1:23" ht="30">
      <c r="A267" s="156"/>
      <c r="B267" s="156"/>
      <c r="C267" s="17" t="s">
        <v>1681</v>
      </c>
      <c r="D267" s="18" t="s">
        <v>2282</v>
      </c>
      <c r="E267" s="17" t="s">
        <v>1681</v>
      </c>
      <c r="F267" s="18"/>
      <c r="G267" s="17" t="s">
        <v>1681</v>
      </c>
      <c r="H267" s="18"/>
      <c r="I267" s="17" t="s">
        <v>1681</v>
      </c>
      <c r="J267" s="18"/>
      <c r="K267" s="17" t="s">
        <v>1681</v>
      </c>
      <c r="L267" s="18"/>
      <c r="M267" s="17" t="s">
        <v>1681</v>
      </c>
      <c r="N267" s="18"/>
      <c r="O267" s="17" t="s">
        <v>1681</v>
      </c>
      <c r="P267" s="18"/>
      <c r="Q267" s="17" t="s">
        <v>1681</v>
      </c>
      <c r="R267" s="17"/>
      <c r="S267" s="17" t="s">
        <v>1681</v>
      </c>
      <c r="T267" s="17"/>
      <c r="U267" s="17" t="s">
        <v>1681</v>
      </c>
      <c r="V267" s="17"/>
      <c r="W267" s="17"/>
    </row>
    <row r="268" spans="1:23" ht="409.6">
      <c r="A268" s="156"/>
      <c r="B268" s="156"/>
      <c r="C268" s="17" t="s">
        <v>1685</v>
      </c>
      <c r="D268" s="18" t="s">
        <v>36</v>
      </c>
      <c r="E268" s="17" t="s">
        <v>1685</v>
      </c>
      <c r="F268" s="18" t="s">
        <v>17</v>
      </c>
      <c r="G268" s="17" t="s">
        <v>1685</v>
      </c>
      <c r="H268" s="18" t="s">
        <v>88</v>
      </c>
      <c r="I268" s="17" t="s">
        <v>1685</v>
      </c>
      <c r="J268" s="18" t="s">
        <v>2866</v>
      </c>
      <c r="K268" s="17" t="s">
        <v>1685</v>
      </c>
      <c r="L268" s="18" t="s">
        <v>2867</v>
      </c>
      <c r="M268" s="17" t="s">
        <v>1685</v>
      </c>
      <c r="N268" s="18" t="s">
        <v>2868</v>
      </c>
      <c r="O268" s="17" t="s">
        <v>1685</v>
      </c>
      <c r="P268" s="18" t="s">
        <v>17</v>
      </c>
      <c r="Q268" s="17" t="s">
        <v>1685</v>
      </c>
      <c r="R268" s="17" t="s">
        <v>2869</v>
      </c>
      <c r="S268" s="17" t="s">
        <v>1685</v>
      </c>
      <c r="T268" s="17" t="s">
        <v>17</v>
      </c>
      <c r="U268" s="17" t="s">
        <v>1685</v>
      </c>
      <c r="V268" s="17" t="s">
        <v>2870</v>
      </c>
      <c r="W268" s="17"/>
    </row>
    <row r="269" spans="1:23" ht="409.6">
      <c r="A269" s="156"/>
      <c r="B269" s="156"/>
      <c r="C269" s="17" t="s">
        <v>1688</v>
      </c>
      <c r="D269" s="18" t="s">
        <v>2871</v>
      </c>
      <c r="E269" s="17" t="s">
        <v>1688</v>
      </c>
      <c r="F269" s="18" t="s">
        <v>17</v>
      </c>
      <c r="G269" s="17" t="s">
        <v>1688</v>
      </c>
      <c r="H269" s="18" t="s">
        <v>88</v>
      </c>
      <c r="I269" s="17" t="s">
        <v>1688</v>
      </c>
      <c r="J269" s="53" t="s">
        <v>2872</v>
      </c>
      <c r="K269" s="17" t="s">
        <v>1688</v>
      </c>
      <c r="L269" s="18" t="s">
        <v>2873</v>
      </c>
      <c r="M269" s="17" t="s">
        <v>1688</v>
      </c>
      <c r="N269" s="18" t="s">
        <v>2874</v>
      </c>
      <c r="O269" s="17" t="s">
        <v>1688</v>
      </c>
      <c r="P269" s="18" t="s">
        <v>17</v>
      </c>
      <c r="Q269" s="17" t="s">
        <v>1688</v>
      </c>
      <c r="R269" s="17" t="s">
        <v>2875</v>
      </c>
      <c r="S269" s="17" t="s">
        <v>1688</v>
      </c>
      <c r="T269" s="17" t="s">
        <v>17</v>
      </c>
      <c r="U269" s="17" t="s">
        <v>1688</v>
      </c>
      <c r="V269" s="17" t="s">
        <v>2876</v>
      </c>
      <c r="W269" s="17"/>
    </row>
    <row r="270" spans="1:23" ht="409.6">
      <c r="A270" s="156" t="s">
        <v>530</v>
      </c>
      <c r="B270" s="156" t="s">
        <v>116</v>
      </c>
      <c r="C270" s="17" t="s">
        <v>1675</v>
      </c>
      <c r="D270" s="18" t="s">
        <v>36</v>
      </c>
      <c r="E270" s="17" t="s">
        <v>1675</v>
      </c>
      <c r="F270" s="18" t="s">
        <v>2877</v>
      </c>
      <c r="G270" s="17" t="s">
        <v>1675</v>
      </c>
      <c r="H270" s="18" t="s">
        <v>29</v>
      </c>
      <c r="I270" s="17" t="s">
        <v>1675</v>
      </c>
      <c r="J270" s="53" t="s">
        <v>2878</v>
      </c>
      <c r="K270" s="17" t="s">
        <v>1675</v>
      </c>
      <c r="L270" s="18" t="s">
        <v>2879</v>
      </c>
      <c r="M270" s="17" t="s">
        <v>1675</v>
      </c>
      <c r="N270" s="18" t="s">
        <v>2880</v>
      </c>
      <c r="O270" s="17" t="s">
        <v>1675</v>
      </c>
      <c r="P270" s="18" t="s">
        <v>2881</v>
      </c>
      <c r="Q270" s="17" t="s">
        <v>1675</v>
      </c>
      <c r="R270" s="17" t="s">
        <v>2882</v>
      </c>
      <c r="S270" s="17" t="s">
        <v>1675</v>
      </c>
      <c r="T270" s="17" t="s">
        <v>2883</v>
      </c>
      <c r="U270" s="17" t="s">
        <v>1675</v>
      </c>
      <c r="V270" s="17" t="s">
        <v>2884</v>
      </c>
      <c r="W270" s="17"/>
    </row>
    <row r="271" spans="1:23" ht="409.6">
      <c r="A271" s="156"/>
      <c r="B271" s="156"/>
      <c r="C271" s="17" t="s">
        <v>1681</v>
      </c>
      <c r="D271" s="18" t="s">
        <v>36</v>
      </c>
      <c r="E271" s="17" t="s">
        <v>1681</v>
      </c>
      <c r="F271" s="18" t="s">
        <v>2877</v>
      </c>
      <c r="G271" s="17" t="s">
        <v>1681</v>
      </c>
      <c r="H271" s="18" t="s">
        <v>29</v>
      </c>
      <c r="I271" s="17" t="s">
        <v>1681</v>
      </c>
      <c r="J271" s="18" t="s">
        <v>2885</v>
      </c>
      <c r="K271" s="17" t="s">
        <v>1681</v>
      </c>
      <c r="L271" s="18" t="s">
        <v>2886</v>
      </c>
      <c r="M271" s="17" t="s">
        <v>1681</v>
      </c>
      <c r="N271" s="18" t="s">
        <v>2887</v>
      </c>
      <c r="O271" s="17" t="s">
        <v>1681</v>
      </c>
      <c r="P271" s="18" t="s">
        <v>2888</v>
      </c>
      <c r="Q271" s="17" t="s">
        <v>1681</v>
      </c>
      <c r="R271" s="17" t="s">
        <v>2889</v>
      </c>
      <c r="S271" s="17" t="s">
        <v>1681</v>
      </c>
      <c r="T271" s="17" t="s">
        <v>2890</v>
      </c>
      <c r="U271" s="17" t="s">
        <v>1681</v>
      </c>
      <c r="V271" s="17" t="s">
        <v>2891</v>
      </c>
      <c r="W271" s="17"/>
    </row>
    <row r="272" spans="1:23" ht="409.6">
      <c r="A272" s="156"/>
      <c r="B272" s="156"/>
      <c r="C272" s="17" t="s">
        <v>1685</v>
      </c>
      <c r="D272" s="18" t="s">
        <v>36</v>
      </c>
      <c r="E272" s="17" t="s">
        <v>1685</v>
      </c>
      <c r="F272" s="18" t="s">
        <v>2877</v>
      </c>
      <c r="G272" s="17" t="s">
        <v>1685</v>
      </c>
      <c r="H272" s="18" t="s">
        <v>88</v>
      </c>
      <c r="I272" s="17" t="s">
        <v>1685</v>
      </c>
      <c r="J272" s="18" t="s">
        <v>2885</v>
      </c>
      <c r="K272" s="17" t="s">
        <v>1685</v>
      </c>
      <c r="L272" s="18" t="s">
        <v>2892</v>
      </c>
      <c r="M272" s="17" t="s">
        <v>1685</v>
      </c>
      <c r="N272" s="18" t="s">
        <v>2893</v>
      </c>
      <c r="O272" s="17" t="s">
        <v>1685</v>
      </c>
      <c r="P272" s="18" t="s">
        <v>2894</v>
      </c>
      <c r="Q272" s="17" t="s">
        <v>1685</v>
      </c>
      <c r="R272" s="17" t="s">
        <v>2895</v>
      </c>
      <c r="S272" s="17" t="s">
        <v>1685</v>
      </c>
      <c r="T272" s="17" t="s">
        <v>17</v>
      </c>
      <c r="U272" s="17" t="s">
        <v>1685</v>
      </c>
      <c r="V272" s="17" t="s">
        <v>2896</v>
      </c>
      <c r="W272" s="17"/>
    </row>
    <row r="273" spans="1:23" ht="409.6">
      <c r="A273" s="156"/>
      <c r="B273" s="156"/>
      <c r="C273" s="17" t="s">
        <v>1688</v>
      </c>
      <c r="D273" s="18" t="s">
        <v>2897</v>
      </c>
      <c r="E273" s="17" t="s">
        <v>1688</v>
      </c>
      <c r="F273" s="18" t="s">
        <v>633</v>
      </c>
      <c r="G273" s="17" t="s">
        <v>1688</v>
      </c>
      <c r="H273" s="18" t="s">
        <v>88</v>
      </c>
      <c r="I273" s="17" t="s">
        <v>1688</v>
      </c>
      <c r="J273" s="53" t="s">
        <v>2898</v>
      </c>
      <c r="K273" s="17" t="s">
        <v>1688</v>
      </c>
      <c r="L273" s="18" t="s">
        <v>2899</v>
      </c>
      <c r="M273" s="17" t="s">
        <v>1688</v>
      </c>
      <c r="N273" s="18" t="s">
        <v>2900</v>
      </c>
      <c r="O273" s="17" t="s">
        <v>1688</v>
      </c>
      <c r="P273" s="18" t="s">
        <v>2901</v>
      </c>
      <c r="Q273" s="17" t="s">
        <v>1688</v>
      </c>
      <c r="R273" s="17" t="s">
        <v>2902</v>
      </c>
      <c r="S273" s="17" t="s">
        <v>1688</v>
      </c>
      <c r="T273" s="17" t="s">
        <v>17</v>
      </c>
      <c r="U273" s="17" t="s">
        <v>1688</v>
      </c>
      <c r="V273" s="17" t="s">
        <v>2903</v>
      </c>
      <c r="W273" s="17"/>
    </row>
    <row r="274" spans="1:23">
      <c r="A274" s="156" t="s">
        <v>530</v>
      </c>
      <c r="B274" s="156" t="s">
        <v>59</v>
      </c>
      <c r="C274" s="17" t="s">
        <v>1675</v>
      </c>
      <c r="D274" s="18" t="s">
        <v>2904</v>
      </c>
      <c r="E274" s="17" t="s">
        <v>1675</v>
      </c>
      <c r="F274" s="18"/>
      <c r="G274" s="17" t="s">
        <v>1675</v>
      </c>
      <c r="H274" s="18"/>
      <c r="I274" s="17" t="s">
        <v>1675</v>
      </c>
      <c r="J274" s="52"/>
      <c r="K274" s="17" t="s">
        <v>1675</v>
      </c>
      <c r="L274" s="18"/>
      <c r="M274" s="17" t="s">
        <v>1675</v>
      </c>
      <c r="N274" s="18"/>
      <c r="O274" s="17" t="s">
        <v>1675</v>
      </c>
      <c r="P274" s="18"/>
      <c r="Q274" s="17" t="s">
        <v>1675</v>
      </c>
      <c r="R274" s="17"/>
      <c r="S274" s="17" t="s">
        <v>1675</v>
      </c>
      <c r="T274" s="17"/>
      <c r="U274" s="17" t="s">
        <v>1675</v>
      </c>
      <c r="V274" s="17"/>
      <c r="W274" s="17"/>
    </row>
    <row r="275" spans="1:23" ht="409.6">
      <c r="A275" s="156"/>
      <c r="B275" s="156"/>
      <c r="C275" s="17" t="s">
        <v>1681</v>
      </c>
      <c r="D275" s="18" t="s">
        <v>2905</v>
      </c>
      <c r="E275" s="17" t="s">
        <v>1681</v>
      </c>
      <c r="F275" s="18" t="s">
        <v>60</v>
      </c>
      <c r="G275" s="17" t="s">
        <v>1681</v>
      </c>
      <c r="H275" s="18" t="s">
        <v>29</v>
      </c>
      <c r="I275" s="17" t="s">
        <v>1681</v>
      </c>
      <c r="J275" s="18" t="s">
        <v>17</v>
      </c>
      <c r="K275" s="17" t="s">
        <v>1681</v>
      </c>
      <c r="L275" s="18" t="s">
        <v>2906</v>
      </c>
      <c r="M275" s="17" t="s">
        <v>1681</v>
      </c>
      <c r="N275" s="18" t="s">
        <v>2907</v>
      </c>
      <c r="O275" s="17" t="s">
        <v>1681</v>
      </c>
      <c r="P275" s="18" t="s">
        <v>2908</v>
      </c>
      <c r="Q275" s="17" t="s">
        <v>1681</v>
      </c>
      <c r="R275" s="17" t="s">
        <v>2909</v>
      </c>
      <c r="S275" s="17" t="s">
        <v>1681</v>
      </c>
      <c r="T275" s="17" t="s">
        <v>2910</v>
      </c>
      <c r="U275" s="17" t="s">
        <v>1681</v>
      </c>
      <c r="V275" s="17" t="s">
        <v>2911</v>
      </c>
      <c r="W275" s="17"/>
    </row>
    <row r="276" spans="1:23" ht="409.6">
      <c r="A276" s="156"/>
      <c r="B276" s="156"/>
      <c r="C276" s="17" t="s">
        <v>1685</v>
      </c>
      <c r="D276" s="18" t="s">
        <v>2912</v>
      </c>
      <c r="E276" s="17" t="s">
        <v>1685</v>
      </c>
      <c r="F276" s="18" t="s">
        <v>60</v>
      </c>
      <c r="G276" s="17" t="s">
        <v>1685</v>
      </c>
      <c r="H276" s="18" t="s">
        <v>88</v>
      </c>
      <c r="I276" s="17" t="s">
        <v>1685</v>
      </c>
      <c r="J276" s="18" t="s">
        <v>17</v>
      </c>
      <c r="K276" s="17" t="s">
        <v>1685</v>
      </c>
      <c r="L276" s="18" t="s">
        <v>2913</v>
      </c>
      <c r="M276" s="17" t="s">
        <v>1685</v>
      </c>
      <c r="N276" s="18" t="s">
        <v>2914</v>
      </c>
      <c r="O276" s="17" t="s">
        <v>1685</v>
      </c>
      <c r="P276" s="18" t="s">
        <v>2915</v>
      </c>
      <c r="Q276" s="17" t="s">
        <v>1685</v>
      </c>
      <c r="R276" s="17" t="s">
        <v>2916</v>
      </c>
      <c r="S276" s="17" t="s">
        <v>1685</v>
      </c>
      <c r="T276" s="17" t="s">
        <v>17</v>
      </c>
      <c r="U276" s="17" t="s">
        <v>1685</v>
      </c>
      <c r="V276" s="17" t="s">
        <v>2917</v>
      </c>
      <c r="W276" s="17"/>
    </row>
    <row r="277" spans="1:23" ht="409.6">
      <c r="A277" s="156"/>
      <c r="B277" s="156"/>
      <c r="C277" s="17" t="s">
        <v>1688</v>
      </c>
      <c r="D277" s="18" t="s">
        <v>2918</v>
      </c>
      <c r="E277" s="17" t="s">
        <v>1688</v>
      </c>
      <c r="F277" s="18" t="s">
        <v>60</v>
      </c>
      <c r="G277" s="17" t="s">
        <v>1688</v>
      </c>
      <c r="H277" s="18" t="s">
        <v>88</v>
      </c>
      <c r="I277" s="17" t="s">
        <v>1688</v>
      </c>
      <c r="J277" s="53" t="s">
        <v>2919</v>
      </c>
      <c r="K277" s="17" t="s">
        <v>1688</v>
      </c>
      <c r="L277" s="18" t="s">
        <v>2920</v>
      </c>
      <c r="M277" s="17" t="s">
        <v>1688</v>
      </c>
      <c r="N277" s="18" t="s">
        <v>2921</v>
      </c>
      <c r="O277" s="17" t="s">
        <v>1688</v>
      </c>
      <c r="P277" s="18" t="s">
        <v>756</v>
      </c>
      <c r="Q277" s="17" t="s">
        <v>1688</v>
      </c>
      <c r="R277" s="17" t="s">
        <v>2902</v>
      </c>
      <c r="S277" s="17" t="s">
        <v>1688</v>
      </c>
      <c r="T277" s="17" t="s">
        <v>17</v>
      </c>
      <c r="U277" s="17" t="s">
        <v>1688</v>
      </c>
      <c r="V277" s="17" t="s">
        <v>2922</v>
      </c>
      <c r="W277" s="17"/>
    </row>
    <row r="278" spans="1:23" ht="405">
      <c r="A278" s="156" t="s">
        <v>58</v>
      </c>
      <c r="B278" s="156" t="s">
        <v>74</v>
      </c>
      <c r="C278" s="17" t="s">
        <v>1675</v>
      </c>
      <c r="D278" s="18" t="s">
        <v>2923</v>
      </c>
      <c r="E278" s="17" t="s">
        <v>1675</v>
      </c>
      <c r="F278" s="18" t="s">
        <v>60</v>
      </c>
      <c r="G278" s="17" t="s">
        <v>1675</v>
      </c>
      <c r="H278" s="18" t="s">
        <v>29</v>
      </c>
      <c r="I278" s="17" t="s">
        <v>1675</v>
      </c>
      <c r="J278" s="53" t="s">
        <v>2924</v>
      </c>
      <c r="K278" s="17" t="s">
        <v>1675</v>
      </c>
      <c r="L278" s="18" t="s">
        <v>2925</v>
      </c>
      <c r="M278" s="17" t="s">
        <v>1675</v>
      </c>
      <c r="N278" s="18" t="s">
        <v>2926</v>
      </c>
      <c r="O278" s="17" t="s">
        <v>1675</v>
      </c>
      <c r="P278" s="18" t="s">
        <v>512</v>
      </c>
      <c r="Q278" s="17" t="s">
        <v>1675</v>
      </c>
      <c r="R278" s="17" t="s">
        <v>2927</v>
      </c>
      <c r="S278" s="17" t="s">
        <v>1675</v>
      </c>
      <c r="T278" s="17" t="s">
        <v>2928</v>
      </c>
      <c r="U278" s="17" t="s">
        <v>1675</v>
      </c>
      <c r="V278" s="17" t="s">
        <v>17</v>
      </c>
      <c r="W278" s="17"/>
    </row>
    <row r="279" spans="1:23" ht="405">
      <c r="A279" s="156"/>
      <c r="B279" s="156"/>
      <c r="C279" s="17" t="s">
        <v>1681</v>
      </c>
      <c r="D279" s="18" t="s">
        <v>2923</v>
      </c>
      <c r="E279" s="17" t="s">
        <v>1681</v>
      </c>
      <c r="F279" s="18" t="s">
        <v>60</v>
      </c>
      <c r="G279" s="17" t="s">
        <v>1681</v>
      </c>
      <c r="H279" s="18" t="s">
        <v>29</v>
      </c>
      <c r="I279" s="17" t="s">
        <v>1681</v>
      </c>
      <c r="J279" s="18" t="s">
        <v>2929</v>
      </c>
      <c r="K279" s="17" t="s">
        <v>1681</v>
      </c>
      <c r="L279" s="18" t="s">
        <v>2930</v>
      </c>
      <c r="M279" s="17" t="s">
        <v>1681</v>
      </c>
      <c r="N279" s="18" t="s">
        <v>2931</v>
      </c>
      <c r="O279" s="17" t="s">
        <v>1681</v>
      </c>
      <c r="P279" s="18" t="s">
        <v>512</v>
      </c>
      <c r="Q279" s="17" t="s">
        <v>1681</v>
      </c>
      <c r="R279" s="17" t="s">
        <v>2932</v>
      </c>
      <c r="S279" s="17" t="s">
        <v>1681</v>
      </c>
      <c r="T279" s="17" t="s">
        <v>2928</v>
      </c>
      <c r="U279" s="17" t="s">
        <v>1681</v>
      </c>
      <c r="V279" s="17" t="s">
        <v>17</v>
      </c>
      <c r="W279" s="17"/>
    </row>
    <row r="280" spans="1:23" ht="405">
      <c r="A280" s="156"/>
      <c r="B280" s="156"/>
      <c r="C280" s="17" t="s">
        <v>1685</v>
      </c>
      <c r="D280" s="18" t="s">
        <v>2933</v>
      </c>
      <c r="E280" s="17" t="s">
        <v>1685</v>
      </c>
      <c r="F280" s="18" t="s">
        <v>60</v>
      </c>
      <c r="G280" s="17" t="s">
        <v>1685</v>
      </c>
      <c r="H280" s="18" t="s">
        <v>88</v>
      </c>
      <c r="I280" s="17" t="s">
        <v>1685</v>
      </c>
      <c r="J280" s="18" t="s">
        <v>2934</v>
      </c>
      <c r="K280" s="17" t="s">
        <v>1685</v>
      </c>
      <c r="L280" s="18" t="s">
        <v>2935</v>
      </c>
      <c r="M280" s="17" t="s">
        <v>1685</v>
      </c>
      <c r="N280" s="18" t="s">
        <v>2936</v>
      </c>
      <c r="O280" s="17" t="s">
        <v>1685</v>
      </c>
      <c r="P280" s="18" t="s">
        <v>17</v>
      </c>
      <c r="Q280" s="17" t="s">
        <v>1685</v>
      </c>
      <c r="R280" s="17" t="s">
        <v>2937</v>
      </c>
      <c r="S280" s="17" t="s">
        <v>1685</v>
      </c>
      <c r="T280" s="17" t="s">
        <v>17</v>
      </c>
      <c r="U280" s="17" t="s">
        <v>1685</v>
      </c>
      <c r="V280" s="17" t="s">
        <v>17</v>
      </c>
      <c r="W280" s="17"/>
    </row>
    <row r="281" spans="1:23" ht="409.6">
      <c r="A281" s="156"/>
      <c r="B281" s="156"/>
      <c r="C281" s="17" t="s">
        <v>1688</v>
      </c>
      <c r="D281" s="18" t="s">
        <v>2938</v>
      </c>
      <c r="E281" s="17" t="s">
        <v>1688</v>
      </c>
      <c r="F281" s="18" t="s">
        <v>60</v>
      </c>
      <c r="G281" s="17" t="s">
        <v>1688</v>
      </c>
      <c r="H281" s="18" t="s">
        <v>88</v>
      </c>
      <c r="I281" s="17" t="s">
        <v>1688</v>
      </c>
      <c r="J281" s="23" t="s">
        <v>2939</v>
      </c>
      <c r="K281" s="17" t="s">
        <v>1688</v>
      </c>
      <c r="L281" s="18" t="s">
        <v>2940</v>
      </c>
      <c r="M281" s="17" t="s">
        <v>1688</v>
      </c>
      <c r="N281" s="18" t="s">
        <v>2941</v>
      </c>
      <c r="O281" s="17" t="s">
        <v>1688</v>
      </c>
      <c r="P281" s="18" t="s">
        <v>17</v>
      </c>
      <c r="Q281" s="17" t="s">
        <v>1688</v>
      </c>
      <c r="R281" s="17" t="s">
        <v>2942</v>
      </c>
      <c r="S281" s="17" t="s">
        <v>1688</v>
      </c>
      <c r="T281" s="17" t="s">
        <v>17</v>
      </c>
      <c r="U281" s="17" t="s">
        <v>1688</v>
      </c>
      <c r="V281" s="17" t="s">
        <v>17</v>
      </c>
      <c r="W281" s="17"/>
    </row>
    <row r="282" spans="1:23" ht="409.6">
      <c r="A282" s="156" t="s">
        <v>50</v>
      </c>
      <c r="B282" s="156" t="s">
        <v>873</v>
      </c>
      <c r="C282" s="17" t="s">
        <v>1675</v>
      </c>
      <c r="D282" s="18" t="s">
        <v>36</v>
      </c>
      <c r="E282" s="17" t="s">
        <v>1675</v>
      </c>
      <c r="F282" s="18" t="s">
        <v>60</v>
      </c>
      <c r="G282" s="17" t="s">
        <v>1675</v>
      </c>
      <c r="H282" s="18" t="s">
        <v>29</v>
      </c>
      <c r="I282" s="17" t="s">
        <v>1675</v>
      </c>
      <c r="J282" s="23" t="s">
        <v>17</v>
      </c>
      <c r="K282" s="17" t="s">
        <v>1675</v>
      </c>
      <c r="L282" s="18" t="s">
        <v>2943</v>
      </c>
      <c r="M282" s="17" t="s">
        <v>1675</v>
      </c>
      <c r="N282" s="18" t="s">
        <v>2944</v>
      </c>
      <c r="O282" s="17" t="s">
        <v>1675</v>
      </c>
      <c r="P282" s="18" t="s">
        <v>209</v>
      </c>
      <c r="Q282" s="17" t="s">
        <v>1675</v>
      </c>
      <c r="R282" s="17" t="s">
        <v>2945</v>
      </c>
      <c r="S282" s="17" t="s">
        <v>1675</v>
      </c>
      <c r="T282" s="17" t="s">
        <v>2946</v>
      </c>
      <c r="U282" s="17" t="s">
        <v>1675</v>
      </c>
      <c r="V282" s="17" t="s">
        <v>17</v>
      </c>
      <c r="W282" s="17"/>
    </row>
    <row r="283" spans="1:23" ht="405">
      <c r="A283" s="156"/>
      <c r="B283" s="156"/>
      <c r="C283" s="17" t="s">
        <v>1681</v>
      </c>
      <c r="D283" s="18" t="s">
        <v>36</v>
      </c>
      <c r="E283" s="17" t="s">
        <v>1681</v>
      </c>
      <c r="F283" s="18" t="s">
        <v>60</v>
      </c>
      <c r="G283" s="17" t="s">
        <v>1681</v>
      </c>
      <c r="H283" s="18" t="s">
        <v>29</v>
      </c>
      <c r="I283" s="17" t="s">
        <v>1681</v>
      </c>
      <c r="J283" s="18" t="s">
        <v>17</v>
      </c>
      <c r="K283" s="17" t="s">
        <v>1681</v>
      </c>
      <c r="L283" s="18" t="s">
        <v>2947</v>
      </c>
      <c r="M283" s="17" t="s">
        <v>1681</v>
      </c>
      <c r="N283" s="18" t="s">
        <v>2948</v>
      </c>
      <c r="O283" s="17" t="s">
        <v>1681</v>
      </c>
      <c r="P283" s="18" t="s">
        <v>209</v>
      </c>
      <c r="Q283" s="17" t="s">
        <v>1681</v>
      </c>
      <c r="R283" s="17" t="s">
        <v>2949</v>
      </c>
      <c r="S283" s="17" t="s">
        <v>1681</v>
      </c>
      <c r="T283" s="17" t="s">
        <v>2950</v>
      </c>
      <c r="U283" s="17" t="s">
        <v>1681</v>
      </c>
      <c r="V283" s="17" t="s">
        <v>17</v>
      </c>
      <c r="W283" s="17"/>
    </row>
    <row r="284" spans="1:23" ht="135">
      <c r="A284" s="156"/>
      <c r="B284" s="156"/>
      <c r="C284" s="17" t="s">
        <v>1685</v>
      </c>
      <c r="D284" s="18" t="s">
        <v>36</v>
      </c>
      <c r="E284" s="17" t="s">
        <v>1685</v>
      </c>
      <c r="F284" s="18" t="s">
        <v>60</v>
      </c>
      <c r="G284" s="17" t="s">
        <v>1685</v>
      </c>
      <c r="H284" s="18" t="s">
        <v>88</v>
      </c>
      <c r="I284" s="17" t="s">
        <v>1685</v>
      </c>
      <c r="J284" s="18" t="s">
        <v>17</v>
      </c>
      <c r="K284" s="17" t="s">
        <v>1685</v>
      </c>
      <c r="L284" s="18" t="s">
        <v>2951</v>
      </c>
      <c r="M284" s="17" t="s">
        <v>1685</v>
      </c>
      <c r="N284" s="18" t="s">
        <v>2240</v>
      </c>
      <c r="O284" s="17" t="s">
        <v>1685</v>
      </c>
      <c r="P284" s="18" t="s">
        <v>329</v>
      </c>
      <c r="Q284" s="17" t="s">
        <v>1685</v>
      </c>
      <c r="R284" s="17" t="s">
        <v>2952</v>
      </c>
      <c r="S284" s="17" t="s">
        <v>1685</v>
      </c>
      <c r="T284" s="17" t="s">
        <v>17</v>
      </c>
      <c r="U284" s="17" t="s">
        <v>1685</v>
      </c>
      <c r="V284" s="17" t="s">
        <v>17</v>
      </c>
      <c r="W284" s="17"/>
    </row>
    <row r="285" spans="1:23" ht="409.6">
      <c r="A285" s="156"/>
      <c r="B285" s="156"/>
      <c r="C285" s="17" t="s">
        <v>1688</v>
      </c>
      <c r="D285" s="18" t="s">
        <v>36</v>
      </c>
      <c r="E285" s="17" t="s">
        <v>1688</v>
      </c>
      <c r="F285" s="18" t="s">
        <v>17</v>
      </c>
      <c r="G285" s="17" t="s">
        <v>1688</v>
      </c>
      <c r="H285" s="18" t="s">
        <v>88</v>
      </c>
      <c r="I285" s="17" t="s">
        <v>1688</v>
      </c>
      <c r="J285" s="53" t="s">
        <v>2953</v>
      </c>
      <c r="K285" s="17" t="s">
        <v>1688</v>
      </c>
      <c r="L285" s="53" t="s">
        <v>2954</v>
      </c>
      <c r="M285" s="17" t="s">
        <v>1688</v>
      </c>
      <c r="N285" s="18" t="s">
        <v>2955</v>
      </c>
      <c r="O285" s="17" t="s">
        <v>1688</v>
      </c>
      <c r="P285" s="18" t="s">
        <v>875</v>
      </c>
      <c r="Q285" s="17" t="s">
        <v>1688</v>
      </c>
      <c r="R285" s="17" t="s">
        <v>2956</v>
      </c>
      <c r="S285" s="17" t="s">
        <v>1688</v>
      </c>
      <c r="T285" s="17" t="s">
        <v>17</v>
      </c>
      <c r="U285" s="17" t="s">
        <v>1688</v>
      </c>
      <c r="V285" s="17" t="s">
        <v>17</v>
      </c>
      <c r="W285" s="17" t="s">
        <v>2957</v>
      </c>
    </row>
    <row r="286" spans="1:23">
      <c r="A286" s="156" t="s">
        <v>1148</v>
      </c>
      <c r="B286" s="156" t="s">
        <v>59</v>
      </c>
      <c r="C286" s="17" t="s">
        <v>1675</v>
      </c>
      <c r="D286" s="18" t="s">
        <v>2904</v>
      </c>
      <c r="E286" s="17" t="s">
        <v>1675</v>
      </c>
      <c r="F286" s="18"/>
      <c r="G286" s="17" t="s">
        <v>1675</v>
      </c>
      <c r="H286" s="18"/>
      <c r="I286" s="17" t="s">
        <v>1675</v>
      </c>
      <c r="J286" s="52"/>
      <c r="K286" s="17" t="s">
        <v>1675</v>
      </c>
      <c r="L286" s="52"/>
      <c r="M286" s="17" t="s">
        <v>1675</v>
      </c>
      <c r="N286" s="18"/>
      <c r="O286" s="17" t="s">
        <v>1675</v>
      </c>
      <c r="P286" s="18"/>
      <c r="Q286" s="17" t="s">
        <v>1675</v>
      </c>
      <c r="R286" s="17"/>
      <c r="S286" s="17" t="s">
        <v>1675</v>
      </c>
      <c r="T286" s="17"/>
      <c r="U286" s="17" t="s">
        <v>1675</v>
      </c>
      <c r="V286" s="17"/>
      <c r="W286" s="17"/>
    </row>
    <row r="287" spans="1:23">
      <c r="A287" s="156"/>
      <c r="B287" s="156"/>
      <c r="C287" s="17" t="s">
        <v>1681</v>
      </c>
      <c r="D287" s="18" t="s">
        <v>2904</v>
      </c>
      <c r="E287" s="17" t="s">
        <v>1681</v>
      </c>
      <c r="F287" s="18"/>
      <c r="G287" s="17" t="s">
        <v>1681</v>
      </c>
      <c r="H287" s="18"/>
      <c r="I287" s="17" t="s">
        <v>1681</v>
      </c>
      <c r="J287" s="18"/>
      <c r="K287" s="17" t="s">
        <v>1681</v>
      </c>
      <c r="L287" s="18"/>
      <c r="M287" s="17" t="s">
        <v>1681</v>
      </c>
      <c r="N287" s="18"/>
      <c r="O287" s="17" t="s">
        <v>1681</v>
      </c>
      <c r="P287" s="18"/>
      <c r="Q287" s="17" t="s">
        <v>1681</v>
      </c>
      <c r="R287" s="17"/>
      <c r="S287" s="17" t="s">
        <v>1681</v>
      </c>
      <c r="T287" s="17"/>
      <c r="U287" s="17" t="s">
        <v>1681</v>
      </c>
      <c r="V287" s="17"/>
      <c r="W287" s="17"/>
    </row>
    <row r="288" spans="1:23" ht="409.6">
      <c r="A288" s="156"/>
      <c r="B288" s="156"/>
      <c r="C288" s="17" t="s">
        <v>1685</v>
      </c>
      <c r="D288" s="18" t="s">
        <v>2958</v>
      </c>
      <c r="E288" s="17" t="s">
        <v>1685</v>
      </c>
      <c r="F288" s="18" t="s">
        <v>17</v>
      </c>
      <c r="G288" s="17" t="s">
        <v>1685</v>
      </c>
      <c r="H288" s="18" t="s">
        <v>88</v>
      </c>
      <c r="I288" s="17" t="s">
        <v>1685</v>
      </c>
      <c r="J288" s="18" t="s">
        <v>2959</v>
      </c>
      <c r="K288" s="17" t="s">
        <v>1685</v>
      </c>
      <c r="L288" s="18" t="s">
        <v>2960</v>
      </c>
      <c r="M288" s="17" t="s">
        <v>1685</v>
      </c>
      <c r="N288" s="21">
        <v>44391</v>
      </c>
      <c r="O288" s="17" t="s">
        <v>1685</v>
      </c>
      <c r="P288" s="18" t="s">
        <v>17</v>
      </c>
      <c r="Q288" s="17" t="s">
        <v>1685</v>
      </c>
      <c r="R288" s="17" t="s">
        <v>2961</v>
      </c>
      <c r="S288" s="17" t="s">
        <v>1685</v>
      </c>
      <c r="T288" s="17" t="s">
        <v>17</v>
      </c>
      <c r="U288" s="17" t="s">
        <v>1685</v>
      </c>
      <c r="V288" s="17" t="s">
        <v>17</v>
      </c>
      <c r="W288" s="17"/>
    </row>
    <row r="289" spans="1:23" ht="409.6">
      <c r="A289" s="156"/>
      <c r="B289" s="156"/>
      <c r="C289" s="17" t="s">
        <v>1688</v>
      </c>
      <c r="D289" s="18" t="s">
        <v>2962</v>
      </c>
      <c r="E289" s="17" t="s">
        <v>1688</v>
      </c>
      <c r="F289" s="18" t="s">
        <v>17</v>
      </c>
      <c r="G289" s="17" t="s">
        <v>1688</v>
      </c>
      <c r="H289" s="18" t="s">
        <v>88</v>
      </c>
      <c r="I289" s="17" t="s">
        <v>1688</v>
      </c>
      <c r="J289" s="18" t="s">
        <v>2963</v>
      </c>
      <c r="K289" s="17" t="s">
        <v>1688</v>
      </c>
      <c r="L289" s="18" t="s">
        <v>2964</v>
      </c>
      <c r="M289" s="17" t="s">
        <v>1688</v>
      </c>
      <c r="N289" s="21">
        <v>44762</v>
      </c>
      <c r="O289" s="17" t="s">
        <v>1688</v>
      </c>
      <c r="P289" s="18" t="s">
        <v>17</v>
      </c>
      <c r="Q289" s="17" t="s">
        <v>1688</v>
      </c>
      <c r="R289" s="17" t="s">
        <v>2965</v>
      </c>
      <c r="S289" s="17" t="s">
        <v>1688</v>
      </c>
      <c r="T289" s="17" t="s">
        <v>17</v>
      </c>
      <c r="U289" s="17" t="s">
        <v>1688</v>
      </c>
      <c r="V289" s="17" t="s">
        <v>17</v>
      </c>
      <c r="W289" s="17"/>
    </row>
    <row r="290" spans="1:23" ht="409.6">
      <c r="A290" s="156" t="s">
        <v>444</v>
      </c>
      <c r="B290" s="156" t="s">
        <v>116</v>
      </c>
      <c r="C290" s="17" t="s">
        <v>1675</v>
      </c>
      <c r="D290" s="18" t="s">
        <v>2966</v>
      </c>
      <c r="E290" s="17" t="s">
        <v>1675</v>
      </c>
      <c r="F290" s="18" t="s">
        <v>446</v>
      </c>
      <c r="G290" s="17" t="s">
        <v>1675</v>
      </c>
      <c r="H290" s="18" t="s">
        <v>29</v>
      </c>
      <c r="I290" s="17" t="s">
        <v>1675</v>
      </c>
      <c r="J290" s="18" t="s">
        <v>2967</v>
      </c>
      <c r="K290" s="17" t="s">
        <v>1675</v>
      </c>
      <c r="L290" s="18" t="s">
        <v>2968</v>
      </c>
      <c r="M290" s="17" t="s">
        <v>1675</v>
      </c>
      <c r="N290" s="18" t="s">
        <v>2969</v>
      </c>
      <c r="O290" s="17" t="s">
        <v>1675</v>
      </c>
      <c r="P290" s="18" t="s">
        <v>323</v>
      </c>
      <c r="Q290" s="17" t="s">
        <v>1675</v>
      </c>
      <c r="R290" s="17" t="s">
        <v>2970</v>
      </c>
      <c r="S290" s="17" t="s">
        <v>1675</v>
      </c>
      <c r="T290" s="17" t="s">
        <v>2971</v>
      </c>
      <c r="U290" s="17" t="s">
        <v>1675</v>
      </c>
      <c r="V290" s="17" t="s">
        <v>17</v>
      </c>
      <c r="W290" s="17"/>
    </row>
    <row r="291" spans="1:23" ht="409.6">
      <c r="A291" s="156"/>
      <c r="B291" s="156"/>
      <c r="C291" s="17" t="s">
        <v>1681</v>
      </c>
      <c r="D291" s="18" t="s">
        <v>2966</v>
      </c>
      <c r="E291" s="17" t="s">
        <v>1681</v>
      </c>
      <c r="F291" s="18" t="s">
        <v>446</v>
      </c>
      <c r="G291" s="17" t="s">
        <v>1681</v>
      </c>
      <c r="H291" s="18" t="s">
        <v>29</v>
      </c>
      <c r="I291" s="17" t="s">
        <v>1681</v>
      </c>
      <c r="J291" s="18" t="s">
        <v>2967</v>
      </c>
      <c r="K291" s="17" t="s">
        <v>1681</v>
      </c>
      <c r="L291" s="18" t="s">
        <v>2968</v>
      </c>
      <c r="M291" s="17" t="s">
        <v>1681</v>
      </c>
      <c r="N291" s="18" t="s">
        <v>2972</v>
      </c>
      <c r="O291" s="17" t="s">
        <v>1681</v>
      </c>
      <c r="P291" s="18" t="s">
        <v>161</v>
      </c>
      <c r="Q291" s="17" t="s">
        <v>1681</v>
      </c>
      <c r="R291" s="17" t="s">
        <v>2973</v>
      </c>
      <c r="S291" s="17" t="s">
        <v>1681</v>
      </c>
      <c r="T291" s="17" t="s">
        <v>2971</v>
      </c>
      <c r="U291" s="17" t="s">
        <v>1681</v>
      </c>
      <c r="V291" s="17" t="s">
        <v>17</v>
      </c>
      <c r="W291" s="17"/>
    </row>
    <row r="292" spans="1:23" ht="409.6">
      <c r="A292" s="156"/>
      <c r="B292" s="156"/>
      <c r="C292" s="17" t="s">
        <v>1685</v>
      </c>
      <c r="D292" s="18" t="s">
        <v>2974</v>
      </c>
      <c r="E292" s="17" t="s">
        <v>1685</v>
      </c>
      <c r="F292" s="18" t="s">
        <v>446</v>
      </c>
      <c r="G292" s="17" t="s">
        <v>1685</v>
      </c>
      <c r="H292" s="18" t="s">
        <v>88</v>
      </c>
      <c r="I292" s="17" t="s">
        <v>1685</v>
      </c>
      <c r="J292" s="18" t="s">
        <v>2967</v>
      </c>
      <c r="K292" s="17" t="s">
        <v>1685</v>
      </c>
      <c r="L292" s="18" t="s">
        <v>2975</v>
      </c>
      <c r="M292" s="17" t="s">
        <v>1685</v>
      </c>
      <c r="N292" s="18" t="s">
        <v>2976</v>
      </c>
      <c r="O292" s="17" t="s">
        <v>1685</v>
      </c>
      <c r="P292" s="18" t="s">
        <v>161</v>
      </c>
      <c r="Q292" s="17" t="s">
        <v>1685</v>
      </c>
      <c r="R292" s="17" t="s">
        <v>2977</v>
      </c>
      <c r="S292" s="17" t="s">
        <v>1685</v>
      </c>
      <c r="T292" s="17" t="s">
        <v>17</v>
      </c>
      <c r="U292" s="17" t="s">
        <v>1685</v>
      </c>
      <c r="V292" s="17" t="s">
        <v>2978</v>
      </c>
      <c r="W292" s="17"/>
    </row>
    <row r="293" spans="1:23" ht="409.6">
      <c r="A293" s="156"/>
      <c r="B293" s="156"/>
      <c r="C293" s="17" t="s">
        <v>1688</v>
      </c>
      <c r="D293" s="18" t="s">
        <v>2979</v>
      </c>
      <c r="E293" s="17" t="s">
        <v>1688</v>
      </c>
      <c r="F293" s="18" t="s">
        <v>2980</v>
      </c>
      <c r="G293" s="17" t="s">
        <v>1688</v>
      </c>
      <c r="H293" s="18" t="s">
        <v>88</v>
      </c>
      <c r="I293" s="17" t="s">
        <v>1688</v>
      </c>
      <c r="J293" s="18" t="s">
        <v>2981</v>
      </c>
      <c r="K293" s="17" t="s">
        <v>1688</v>
      </c>
      <c r="L293" s="18" t="s">
        <v>2982</v>
      </c>
      <c r="M293" s="17" t="s">
        <v>1688</v>
      </c>
      <c r="N293" s="18" t="s">
        <v>2983</v>
      </c>
      <c r="O293" s="17" t="s">
        <v>1688</v>
      </c>
      <c r="P293" s="18" t="s">
        <v>17</v>
      </c>
      <c r="Q293" s="17" t="s">
        <v>1688</v>
      </c>
      <c r="R293" s="17" t="s">
        <v>2984</v>
      </c>
      <c r="S293" s="17" t="s">
        <v>1688</v>
      </c>
      <c r="T293" s="17" t="s">
        <v>17</v>
      </c>
      <c r="U293" s="17" t="s">
        <v>1688</v>
      </c>
      <c r="V293" s="17" t="s">
        <v>2985</v>
      </c>
      <c r="W293" s="17"/>
    </row>
    <row r="294" spans="1:23" ht="409.6">
      <c r="A294" s="156" t="s">
        <v>439</v>
      </c>
      <c r="B294" s="156" t="s">
        <v>74</v>
      </c>
      <c r="C294" s="17" t="s">
        <v>1675</v>
      </c>
      <c r="D294" s="18" t="s">
        <v>2986</v>
      </c>
      <c r="E294" s="17" t="s">
        <v>1675</v>
      </c>
      <c r="F294" s="18" t="s">
        <v>2987</v>
      </c>
      <c r="G294" s="17" t="s">
        <v>1675</v>
      </c>
      <c r="H294" s="18" t="s">
        <v>29</v>
      </c>
      <c r="I294" s="17" t="s">
        <v>1675</v>
      </c>
      <c r="J294" s="18" t="s">
        <v>2988</v>
      </c>
      <c r="K294" s="17" t="s">
        <v>1675</v>
      </c>
      <c r="L294" s="18" t="s">
        <v>2989</v>
      </c>
      <c r="M294" s="17" t="s">
        <v>1675</v>
      </c>
      <c r="N294" s="18" t="s">
        <v>2990</v>
      </c>
      <c r="O294" s="17" t="s">
        <v>1675</v>
      </c>
      <c r="P294" s="18" t="s">
        <v>161</v>
      </c>
      <c r="Q294" s="17" t="s">
        <v>1675</v>
      </c>
      <c r="R294" s="17" t="s">
        <v>2991</v>
      </c>
      <c r="S294" s="17" t="s">
        <v>1675</v>
      </c>
      <c r="T294" s="17" t="s">
        <v>2992</v>
      </c>
      <c r="U294" s="17" t="s">
        <v>1675</v>
      </c>
      <c r="V294" s="17" t="s">
        <v>2993</v>
      </c>
      <c r="W294" s="17"/>
    </row>
    <row r="295" spans="1:23" ht="409.6">
      <c r="A295" s="156"/>
      <c r="B295" s="156"/>
      <c r="C295" s="17" t="s">
        <v>1681</v>
      </c>
      <c r="D295" s="18" t="s">
        <v>2986</v>
      </c>
      <c r="E295" s="17" t="s">
        <v>1681</v>
      </c>
      <c r="F295" s="18" t="s">
        <v>2987</v>
      </c>
      <c r="G295" s="17" t="s">
        <v>1681</v>
      </c>
      <c r="H295" s="18" t="s">
        <v>29</v>
      </c>
      <c r="I295" s="17" t="s">
        <v>1681</v>
      </c>
      <c r="J295" s="18" t="s">
        <v>2988</v>
      </c>
      <c r="K295" s="17" t="s">
        <v>1681</v>
      </c>
      <c r="L295" s="18" t="s">
        <v>2994</v>
      </c>
      <c r="M295" s="17" t="s">
        <v>1681</v>
      </c>
      <c r="N295" s="18" t="s">
        <v>2995</v>
      </c>
      <c r="O295" s="17" t="s">
        <v>1681</v>
      </c>
      <c r="P295" s="18">
        <v>40</v>
      </c>
      <c r="Q295" s="17" t="s">
        <v>1681</v>
      </c>
      <c r="R295" s="17" t="s">
        <v>2991</v>
      </c>
      <c r="S295" s="17" t="s">
        <v>1681</v>
      </c>
      <c r="T295" s="17" t="s">
        <v>2996</v>
      </c>
      <c r="U295" s="17" t="s">
        <v>1681</v>
      </c>
      <c r="V295" s="17" t="s">
        <v>2997</v>
      </c>
      <c r="W295" s="17"/>
    </row>
    <row r="296" spans="1:23" ht="409.6">
      <c r="A296" s="156"/>
      <c r="B296" s="156"/>
      <c r="C296" s="17" t="s">
        <v>1685</v>
      </c>
      <c r="D296" s="18" t="s">
        <v>2998</v>
      </c>
      <c r="E296" s="17" t="s">
        <v>1685</v>
      </c>
      <c r="F296" s="18" t="s">
        <v>2987</v>
      </c>
      <c r="G296" s="17" t="s">
        <v>1685</v>
      </c>
      <c r="H296" s="18" t="s">
        <v>88</v>
      </c>
      <c r="I296" s="17" t="s">
        <v>1685</v>
      </c>
      <c r="J296" s="18" t="s">
        <v>2999</v>
      </c>
      <c r="K296" s="17" t="s">
        <v>1685</v>
      </c>
      <c r="L296" s="18" t="s">
        <v>3000</v>
      </c>
      <c r="M296" s="17" t="s">
        <v>1685</v>
      </c>
      <c r="N296" s="18" t="s">
        <v>3001</v>
      </c>
      <c r="O296" s="17" t="s">
        <v>1685</v>
      </c>
      <c r="P296" s="18" t="s">
        <v>17</v>
      </c>
      <c r="Q296" s="17" t="s">
        <v>1685</v>
      </c>
      <c r="R296" s="17" t="s">
        <v>3002</v>
      </c>
      <c r="S296" s="17" t="s">
        <v>1685</v>
      </c>
      <c r="T296" s="17" t="s">
        <v>17</v>
      </c>
      <c r="U296" s="17" t="s">
        <v>1685</v>
      </c>
      <c r="V296" s="17" t="s">
        <v>3003</v>
      </c>
      <c r="W296" s="17"/>
    </row>
    <row r="297" spans="1:23" ht="409.6">
      <c r="A297" s="156"/>
      <c r="B297" s="156"/>
      <c r="C297" s="17" t="s">
        <v>1688</v>
      </c>
      <c r="D297" s="18" t="s">
        <v>3004</v>
      </c>
      <c r="E297" s="17" t="s">
        <v>1688</v>
      </c>
      <c r="F297" s="18" t="s">
        <v>2987</v>
      </c>
      <c r="G297" s="17" t="s">
        <v>1688</v>
      </c>
      <c r="H297" s="18" t="s">
        <v>88</v>
      </c>
      <c r="I297" s="17" t="s">
        <v>1688</v>
      </c>
      <c r="J297" s="18" t="s">
        <v>3005</v>
      </c>
      <c r="K297" s="17" t="s">
        <v>1688</v>
      </c>
      <c r="L297" s="18" t="s">
        <v>3006</v>
      </c>
      <c r="M297" s="17" t="s">
        <v>1688</v>
      </c>
      <c r="N297" s="18" t="s">
        <v>3007</v>
      </c>
      <c r="O297" s="17" t="s">
        <v>1688</v>
      </c>
      <c r="P297" s="18" t="s">
        <v>17</v>
      </c>
      <c r="Q297" s="17" t="s">
        <v>1688</v>
      </c>
      <c r="R297" s="17" t="s">
        <v>3008</v>
      </c>
      <c r="S297" s="17" t="s">
        <v>1688</v>
      </c>
      <c r="T297" s="17" t="s">
        <v>17</v>
      </c>
      <c r="U297" s="17" t="s">
        <v>1688</v>
      </c>
      <c r="V297" s="17" t="s">
        <v>3009</v>
      </c>
      <c r="W297" s="17"/>
    </row>
    <row r="298" spans="1:23" ht="409.6">
      <c r="A298" s="164" t="s">
        <v>333</v>
      </c>
      <c r="B298" s="164" t="s">
        <v>3010</v>
      </c>
      <c r="C298" s="17" t="s">
        <v>1675</v>
      </c>
      <c r="D298" s="18" t="s">
        <v>75</v>
      </c>
      <c r="E298" s="17" t="s">
        <v>1675</v>
      </c>
      <c r="F298" s="18" t="s">
        <v>17</v>
      </c>
      <c r="G298" s="17" t="s">
        <v>1675</v>
      </c>
      <c r="H298" s="18" t="s">
        <v>29</v>
      </c>
      <c r="I298" s="17" t="s">
        <v>1675</v>
      </c>
      <c r="J298" s="18" t="s">
        <v>17</v>
      </c>
      <c r="K298" s="17" t="s">
        <v>1675</v>
      </c>
      <c r="L298" s="18" t="s">
        <v>3011</v>
      </c>
      <c r="M298" s="17" t="s">
        <v>1675</v>
      </c>
      <c r="N298" s="18" t="s">
        <v>3012</v>
      </c>
      <c r="O298" s="17" t="s">
        <v>1675</v>
      </c>
      <c r="P298" s="18" t="s">
        <v>17</v>
      </c>
      <c r="Q298" s="17" t="s">
        <v>1675</v>
      </c>
      <c r="R298" s="17" t="s">
        <v>3013</v>
      </c>
      <c r="S298" s="17" t="s">
        <v>1675</v>
      </c>
      <c r="T298" s="17" t="s">
        <v>3014</v>
      </c>
      <c r="U298" s="17" t="s">
        <v>1675</v>
      </c>
      <c r="V298" s="17" t="s">
        <v>17</v>
      </c>
      <c r="W298" s="17"/>
    </row>
    <row r="299" spans="1:23" ht="409.6">
      <c r="A299" s="164"/>
      <c r="B299" s="164"/>
      <c r="C299" s="17" t="s">
        <v>1681</v>
      </c>
      <c r="D299" s="18" t="s">
        <v>3015</v>
      </c>
      <c r="E299" s="17" t="s">
        <v>1681</v>
      </c>
      <c r="F299" s="18" t="s">
        <v>17</v>
      </c>
      <c r="G299" s="17" t="s">
        <v>1681</v>
      </c>
      <c r="H299" s="18" t="s">
        <v>29</v>
      </c>
      <c r="I299" s="17" t="s">
        <v>1681</v>
      </c>
      <c r="J299" s="18" t="s">
        <v>3016</v>
      </c>
      <c r="K299" s="17" t="s">
        <v>1681</v>
      </c>
      <c r="L299" s="18" t="s">
        <v>3017</v>
      </c>
      <c r="M299" s="17" t="s">
        <v>1681</v>
      </c>
      <c r="N299" s="18" t="s">
        <v>3018</v>
      </c>
      <c r="O299" s="17" t="s">
        <v>1681</v>
      </c>
      <c r="P299" s="18" t="s">
        <v>17</v>
      </c>
      <c r="Q299" s="17" t="s">
        <v>1681</v>
      </c>
      <c r="R299" s="17" t="s">
        <v>3019</v>
      </c>
      <c r="S299" s="17" t="s">
        <v>1681</v>
      </c>
      <c r="T299" s="17" t="s">
        <v>3014</v>
      </c>
      <c r="U299" s="17" t="s">
        <v>1681</v>
      </c>
      <c r="V299" s="17" t="s">
        <v>17</v>
      </c>
      <c r="W299" s="17"/>
    </row>
    <row r="300" spans="1:23" ht="409.6">
      <c r="A300" s="164"/>
      <c r="B300" s="164"/>
      <c r="C300" s="17" t="s">
        <v>1685</v>
      </c>
      <c r="D300" s="18" t="s">
        <v>75</v>
      </c>
      <c r="E300" s="17" t="s">
        <v>1685</v>
      </c>
      <c r="F300" s="18" t="s">
        <v>17</v>
      </c>
      <c r="G300" s="17" t="s">
        <v>1685</v>
      </c>
      <c r="H300" s="18" t="s">
        <v>88</v>
      </c>
      <c r="I300" s="17" t="s">
        <v>1685</v>
      </c>
      <c r="J300" s="18" t="s">
        <v>3020</v>
      </c>
      <c r="K300" s="17" t="s">
        <v>1685</v>
      </c>
      <c r="L300" s="18" t="s">
        <v>3021</v>
      </c>
      <c r="M300" s="17" t="s">
        <v>1685</v>
      </c>
      <c r="N300" s="18" t="s">
        <v>3022</v>
      </c>
      <c r="O300" s="17" t="s">
        <v>1685</v>
      </c>
      <c r="P300" s="18" t="s">
        <v>17</v>
      </c>
      <c r="Q300" s="17" t="s">
        <v>1685</v>
      </c>
      <c r="R300" s="17" t="s">
        <v>3023</v>
      </c>
      <c r="S300" s="17" t="s">
        <v>1685</v>
      </c>
      <c r="T300" s="17" t="s">
        <v>17</v>
      </c>
      <c r="U300" s="17" t="s">
        <v>1685</v>
      </c>
      <c r="V300" s="17" t="s">
        <v>17</v>
      </c>
      <c r="W300" s="17"/>
    </row>
    <row r="301" spans="1:23" ht="409.6">
      <c r="A301" s="164"/>
      <c r="B301" s="164"/>
      <c r="C301" s="17" t="s">
        <v>1688</v>
      </c>
      <c r="D301" s="18" t="s">
        <v>3024</v>
      </c>
      <c r="E301" s="17" t="s">
        <v>1688</v>
      </c>
      <c r="F301" s="18" t="s">
        <v>3025</v>
      </c>
      <c r="G301" s="17" t="s">
        <v>1688</v>
      </c>
      <c r="H301" s="18" t="s">
        <v>88</v>
      </c>
      <c r="I301" s="17" t="s">
        <v>1688</v>
      </c>
      <c r="J301" s="18" t="s">
        <v>3026</v>
      </c>
      <c r="K301" s="17" t="s">
        <v>1688</v>
      </c>
      <c r="L301" s="18" t="s">
        <v>3027</v>
      </c>
      <c r="M301" s="17" t="s">
        <v>1688</v>
      </c>
      <c r="N301" s="18" t="s">
        <v>3028</v>
      </c>
      <c r="O301" s="17" t="s">
        <v>1688</v>
      </c>
      <c r="P301" s="18" t="s">
        <v>17</v>
      </c>
      <c r="Q301" s="17" t="s">
        <v>1688</v>
      </c>
      <c r="R301" s="17" t="s">
        <v>3029</v>
      </c>
      <c r="S301" s="17" t="s">
        <v>1688</v>
      </c>
      <c r="T301" s="17" t="s">
        <v>17</v>
      </c>
      <c r="U301" s="17" t="s">
        <v>1688</v>
      </c>
      <c r="V301" s="17" t="s">
        <v>17</v>
      </c>
      <c r="W301" s="54"/>
    </row>
    <row r="302" spans="1:23" ht="409.6">
      <c r="A302" s="165" t="s">
        <v>1138</v>
      </c>
      <c r="B302" s="165" t="s">
        <v>74</v>
      </c>
      <c r="C302" s="54" t="s">
        <v>1685</v>
      </c>
      <c r="D302" s="54" t="s">
        <v>3030</v>
      </c>
      <c r="E302" s="54" t="s">
        <v>1685</v>
      </c>
      <c r="F302" s="54" t="s">
        <v>17</v>
      </c>
      <c r="G302" s="54" t="s">
        <v>1685</v>
      </c>
      <c r="H302" s="54" t="s">
        <v>88</v>
      </c>
      <c r="I302" s="54" t="s">
        <v>1685</v>
      </c>
      <c r="J302" s="54" t="s">
        <v>17</v>
      </c>
      <c r="K302" s="54" t="s">
        <v>1685</v>
      </c>
      <c r="L302" s="54" t="s">
        <v>3031</v>
      </c>
      <c r="M302" s="54" t="s">
        <v>1685</v>
      </c>
      <c r="N302" s="54" t="s">
        <v>3032</v>
      </c>
      <c r="O302" s="54" t="s">
        <v>1685</v>
      </c>
      <c r="P302" s="54" t="s">
        <v>17</v>
      </c>
      <c r="Q302" s="54" t="s">
        <v>1685</v>
      </c>
      <c r="R302" s="55" t="s">
        <v>3033</v>
      </c>
      <c r="S302" s="55" t="s">
        <v>1685</v>
      </c>
      <c r="T302" s="55" t="s">
        <v>17</v>
      </c>
      <c r="U302" s="55" t="s">
        <v>1685</v>
      </c>
      <c r="V302" s="55" t="s">
        <v>17</v>
      </c>
      <c r="W302" s="56"/>
    </row>
    <row r="303" spans="1:23" ht="409.6">
      <c r="A303" s="154"/>
      <c r="B303" s="154"/>
      <c r="C303" s="17" t="s">
        <v>1688</v>
      </c>
      <c r="D303" s="18" t="s">
        <v>3034</v>
      </c>
      <c r="E303" s="17" t="s">
        <v>1688</v>
      </c>
      <c r="F303" s="18" t="s">
        <v>17</v>
      </c>
      <c r="G303" s="17" t="s">
        <v>1688</v>
      </c>
      <c r="H303" s="18" t="s">
        <v>88</v>
      </c>
      <c r="I303" s="17" t="s">
        <v>1688</v>
      </c>
      <c r="J303" s="18" t="s">
        <v>17</v>
      </c>
      <c r="K303" s="17" t="s">
        <v>1688</v>
      </c>
      <c r="L303" s="18" t="s">
        <v>3035</v>
      </c>
      <c r="M303" s="17" t="s">
        <v>1688</v>
      </c>
      <c r="N303" s="18" t="s">
        <v>468</v>
      </c>
      <c r="O303" s="17" t="s">
        <v>1688</v>
      </c>
      <c r="P303" s="18" t="s">
        <v>17</v>
      </c>
      <c r="Q303" s="17" t="s">
        <v>1688</v>
      </c>
      <c r="R303" s="17" t="s">
        <v>3036</v>
      </c>
      <c r="S303" s="17" t="s">
        <v>1688</v>
      </c>
      <c r="T303" s="17" t="s">
        <v>17</v>
      </c>
      <c r="U303" s="17" t="s">
        <v>1688</v>
      </c>
      <c r="V303" s="17" t="s">
        <v>3037</v>
      </c>
      <c r="W303" s="24"/>
    </row>
    <row r="304" spans="1:23" ht="409.6">
      <c r="A304" s="164" t="s">
        <v>1326</v>
      </c>
      <c r="B304" s="164" t="s">
        <v>2386</v>
      </c>
      <c r="C304" s="17" t="s">
        <v>1675</v>
      </c>
      <c r="D304" s="18" t="s">
        <v>3038</v>
      </c>
      <c r="E304" s="17" t="s">
        <v>1675</v>
      </c>
      <c r="F304" s="18" t="s">
        <v>3039</v>
      </c>
      <c r="G304" s="17" t="s">
        <v>1675</v>
      </c>
      <c r="H304" s="18" t="s">
        <v>29</v>
      </c>
      <c r="I304" s="17" t="s">
        <v>1675</v>
      </c>
      <c r="J304" s="18" t="s">
        <v>3040</v>
      </c>
      <c r="K304" s="17" t="s">
        <v>1675</v>
      </c>
      <c r="L304" s="18" t="s">
        <v>3041</v>
      </c>
      <c r="M304" s="17" t="s">
        <v>1675</v>
      </c>
      <c r="N304" s="18" t="s">
        <v>3042</v>
      </c>
      <c r="O304" s="17" t="s">
        <v>1675</v>
      </c>
      <c r="P304" s="18" t="s">
        <v>928</v>
      </c>
      <c r="Q304" s="17" t="s">
        <v>1675</v>
      </c>
      <c r="R304" s="17" t="s">
        <v>3043</v>
      </c>
      <c r="S304" s="17" t="s">
        <v>1675</v>
      </c>
      <c r="T304" s="17" t="s">
        <v>3044</v>
      </c>
      <c r="U304" s="17" t="s">
        <v>1675</v>
      </c>
      <c r="V304" s="17" t="s">
        <v>17</v>
      </c>
      <c r="W304" s="17"/>
    </row>
    <row r="305" spans="1:23" ht="409.6">
      <c r="A305" s="164"/>
      <c r="B305" s="164"/>
      <c r="C305" s="17" t="s">
        <v>1681</v>
      </c>
      <c r="D305" s="18" t="s">
        <v>3045</v>
      </c>
      <c r="E305" s="17" t="s">
        <v>1681</v>
      </c>
      <c r="F305" s="18" t="s">
        <v>3039</v>
      </c>
      <c r="G305" s="17" t="s">
        <v>1681</v>
      </c>
      <c r="H305" s="18" t="s">
        <v>29</v>
      </c>
      <c r="I305" s="17" t="s">
        <v>1681</v>
      </c>
      <c r="J305" s="18" t="s">
        <v>3046</v>
      </c>
      <c r="K305" s="17" t="s">
        <v>1681</v>
      </c>
      <c r="L305" s="18" t="s">
        <v>3047</v>
      </c>
      <c r="M305" s="17" t="s">
        <v>1681</v>
      </c>
      <c r="N305" s="18" t="s">
        <v>3048</v>
      </c>
      <c r="O305" s="17" t="s">
        <v>1681</v>
      </c>
      <c r="P305" s="18" t="s">
        <v>928</v>
      </c>
      <c r="Q305" s="17" t="s">
        <v>1681</v>
      </c>
      <c r="R305" s="17" t="s">
        <v>3049</v>
      </c>
      <c r="S305" s="17" t="s">
        <v>1681</v>
      </c>
      <c r="T305" s="17" t="s">
        <v>3050</v>
      </c>
      <c r="U305" s="17" t="s">
        <v>1681</v>
      </c>
      <c r="V305" s="17" t="s">
        <v>3051</v>
      </c>
      <c r="W305" s="17"/>
    </row>
    <row r="306" spans="1:23" ht="409.6">
      <c r="A306" s="164"/>
      <c r="B306" s="164"/>
      <c r="C306" s="17" t="s">
        <v>1685</v>
      </c>
      <c r="D306" s="18" t="s">
        <v>3052</v>
      </c>
      <c r="E306" s="17" t="s">
        <v>1685</v>
      </c>
      <c r="F306" s="18" t="s">
        <v>3053</v>
      </c>
      <c r="G306" s="17" t="s">
        <v>1685</v>
      </c>
      <c r="H306" s="18" t="s">
        <v>88</v>
      </c>
      <c r="I306" s="17" t="s">
        <v>1685</v>
      </c>
      <c r="J306" s="18" t="s">
        <v>3054</v>
      </c>
      <c r="K306" s="17" t="s">
        <v>1685</v>
      </c>
      <c r="L306" s="18" t="s">
        <v>3055</v>
      </c>
      <c r="M306" s="17" t="s">
        <v>1685</v>
      </c>
      <c r="N306" s="18" t="s">
        <v>3056</v>
      </c>
      <c r="O306" s="17" t="s">
        <v>1685</v>
      </c>
      <c r="P306" s="18" t="s">
        <v>928</v>
      </c>
      <c r="Q306" s="17" t="s">
        <v>1685</v>
      </c>
      <c r="R306" s="17" t="s">
        <v>3057</v>
      </c>
      <c r="S306" s="17" t="s">
        <v>1685</v>
      </c>
      <c r="T306" s="17" t="s">
        <v>17</v>
      </c>
      <c r="U306" s="17" t="s">
        <v>1685</v>
      </c>
      <c r="V306" s="17" t="s">
        <v>17</v>
      </c>
      <c r="W306" s="17"/>
    </row>
    <row r="307" spans="1:23" ht="409.6">
      <c r="A307" s="164"/>
      <c r="B307" s="164"/>
      <c r="C307" s="17" t="s">
        <v>1688</v>
      </c>
      <c r="D307" s="18" t="s">
        <v>3058</v>
      </c>
      <c r="E307" s="17" t="s">
        <v>1688</v>
      </c>
      <c r="F307" s="18" t="s">
        <v>3059</v>
      </c>
      <c r="G307" s="17" t="s">
        <v>1688</v>
      </c>
      <c r="H307" s="18" t="s">
        <v>88</v>
      </c>
      <c r="I307" s="17" t="s">
        <v>1688</v>
      </c>
      <c r="J307" s="18" t="s">
        <v>3060</v>
      </c>
      <c r="K307" s="17" t="s">
        <v>1688</v>
      </c>
      <c r="L307" s="18" t="s">
        <v>3061</v>
      </c>
      <c r="M307" s="17" t="s">
        <v>1688</v>
      </c>
      <c r="N307" s="18" t="s">
        <v>3062</v>
      </c>
      <c r="O307" s="17" t="s">
        <v>1688</v>
      </c>
      <c r="P307" s="18" t="s">
        <v>3063</v>
      </c>
      <c r="Q307" s="17" t="s">
        <v>1688</v>
      </c>
      <c r="R307" s="17" t="s">
        <v>3064</v>
      </c>
      <c r="S307" s="17" t="s">
        <v>1688</v>
      </c>
      <c r="T307" s="17" t="s">
        <v>17</v>
      </c>
      <c r="U307" s="17" t="s">
        <v>1688</v>
      </c>
      <c r="V307" s="17" t="s">
        <v>3065</v>
      </c>
      <c r="W307" s="17"/>
    </row>
    <row r="308" spans="1:23" ht="409.6">
      <c r="A308" s="164" t="s">
        <v>530</v>
      </c>
      <c r="B308" s="164" t="s">
        <v>390</v>
      </c>
      <c r="C308" s="17" t="s">
        <v>1675</v>
      </c>
      <c r="D308" s="18" t="s">
        <v>3066</v>
      </c>
      <c r="E308" s="17" t="s">
        <v>1675</v>
      </c>
      <c r="F308" s="18" t="s">
        <v>3067</v>
      </c>
      <c r="G308" s="17" t="s">
        <v>1675</v>
      </c>
      <c r="H308" s="18" t="s">
        <v>29</v>
      </c>
      <c r="I308" s="17" t="s">
        <v>1675</v>
      </c>
      <c r="J308" s="18" t="s">
        <v>3068</v>
      </c>
      <c r="K308" s="17" t="s">
        <v>1675</v>
      </c>
      <c r="L308" s="18" t="s">
        <v>3069</v>
      </c>
      <c r="M308" s="17" t="s">
        <v>1675</v>
      </c>
      <c r="N308" s="18" t="s">
        <v>3070</v>
      </c>
      <c r="O308" s="17" t="s">
        <v>1675</v>
      </c>
      <c r="P308" s="18" t="s">
        <v>3071</v>
      </c>
      <c r="Q308" s="17" t="s">
        <v>1675</v>
      </c>
      <c r="R308" s="17" t="s">
        <v>3072</v>
      </c>
      <c r="S308" s="17" t="s">
        <v>1675</v>
      </c>
      <c r="T308" s="17" t="s">
        <v>3073</v>
      </c>
      <c r="U308" s="17" t="s">
        <v>1675</v>
      </c>
      <c r="V308" s="17" t="s">
        <v>3074</v>
      </c>
      <c r="W308" s="17"/>
    </row>
    <row r="309" spans="1:23" ht="409.6">
      <c r="A309" s="164"/>
      <c r="B309" s="164"/>
      <c r="C309" s="17" t="s">
        <v>1681</v>
      </c>
      <c r="D309" s="18" t="s">
        <v>3075</v>
      </c>
      <c r="E309" s="17" t="s">
        <v>1681</v>
      </c>
      <c r="F309" s="18" t="s">
        <v>16</v>
      </c>
      <c r="G309" s="17" t="s">
        <v>1681</v>
      </c>
      <c r="H309" s="18" t="s">
        <v>29</v>
      </c>
      <c r="I309" s="17" t="s">
        <v>1681</v>
      </c>
      <c r="J309" s="18" t="s">
        <v>3076</v>
      </c>
      <c r="K309" s="17" t="s">
        <v>1681</v>
      </c>
      <c r="L309" s="18" t="s">
        <v>3077</v>
      </c>
      <c r="M309" s="17" t="s">
        <v>1681</v>
      </c>
      <c r="N309" s="18" t="s">
        <v>2005</v>
      </c>
      <c r="O309" s="17" t="s">
        <v>1681</v>
      </c>
      <c r="P309" s="18" t="s">
        <v>17</v>
      </c>
      <c r="Q309" s="17" t="s">
        <v>1681</v>
      </c>
      <c r="R309" s="17" t="s">
        <v>3078</v>
      </c>
      <c r="S309" s="17" t="s">
        <v>1681</v>
      </c>
      <c r="T309" s="17" t="s">
        <v>17</v>
      </c>
      <c r="U309" s="17" t="s">
        <v>1681</v>
      </c>
      <c r="V309" s="17" t="s">
        <v>3079</v>
      </c>
      <c r="W309" s="17"/>
    </row>
    <row r="310" spans="1:23" ht="409.6">
      <c r="A310" s="164"/>
      <c r="B310" s="164"/>
      <c r="C310" s="17" t="s">
        <v>1685</v>
      </c>
      <c r="D310" s="18" t="s">
        <v>3080</v>
      </c>
      <c r="E310" s="17" t="s">
        <v>1685</v>
      </c>
      <c r="F310" s="18" t="s">
        <v>3067</v>
      </c>
      <c r="G310" s="17" t="s">
        <v>1685</v>
      </c>
      <c r="H310" s="18" t="s">
        <v>88</v>
      </c>
      <c r="I310" s="17" t="s">
        <v>1685</v>
      </c>
      <c r="J310" s="18" t="s">
        <v>17</v>
      </c>
      <c r="K310" s="17" t="s">
        <v>1685</v>
      </c>
      <c r="L310" s="18" t="s">
        <v>3081</v>
      </c>
      <c r="M310" s="17" t="s">
        <v>1685</v>
      </c>
      <c r="N310" s="18" t="s">
        <v>3082</v>
      </c>
      <c r="O310" s="17" t="s">
        <v>1685</v>
      </c>
      <c r="P310" s="18" t="s">
        <v>756</v>
      </c>
      <c r="Q310" s="17" t="s">
        <v>1685</v>
      </c>
      <c r="R310" s="17" t="s">
        <v>3083</v>
      </c>
      <c r="S310" s="17" t="s">
        <v>1685</v>
      </c>
      <c r="T310" s="17" t="s">
        <v>17</v>
      </c>
      <c r="U310" s="17" t="s">
        <v>1685</v>
      </c>
      <c r="V310" s="17" t="s">
        <v>3084</v>
      </c>
      <c r="W310" s="17"/>
    </row>
    <row r="311" spans="1:23" ht="409.6">
      <c r="A311" s="164"/>
      <c r="B311" s="164"/>
      <c r="C311" s="17" t="s">
        <v>1688</v>
      </c>
      <c r="D311" s="18" t="s">
        <v>3085</v>
      </c>
      <c r="E311" s="17" t="s">
        <v>1688</v>
      </c>
      <c r="F311" s="57" t="s">
        <v>60</v>
      </c>
      <c r="G311" s="17" t="s">
        <v>1688</v>
      </c>
      <c r="H311" s="18" t="s">
        <v>29</v>
      </c>
      <c r="I311" s="17" t="s">
        <v>1688</v>
      </c>
      <c r="J311" s="18" t="s">
        <v>3086</v>
      </c>
      <c r="K311" s="17" t="s">
        <v>1688</v>
      </c>
      <c r="L311" s="18" t="s">
        <v>3087</v>
      </c>
      <c r="M311" s="17" t="s">
        <v>1688</v>
      </c>
      <c r="N311" s="18" t="s">
        <v>3088</v>
      </c>
      <c r="O311" s="17" t="s">
        <v>1688</v>
      </c>
      <c r="P311" s="58" t="s">
        <v>3089</v>
      </c>
      <c r="Q311" s="17" t="s">
        <v>1688</v>
      </c>
      <c r="R311" s="17" t="s">
        <v>3090</v>
      </c>
      <c r="S311" s="17" t="s">
        <v>1688</v>
      </c>
      <c r="T311" s="17" t="s">
        <v>17</v>
      </c>
      <c r="U311" s="17" t="s">
        <v>1688</v>
      </c>
      <c r="V311" s="17" t="s">
        <v>3091</v>
      </c>
      <c r="W311" s="17"/>
    </row>
    <row r="312" spans="1:23" ht="409.6">
      <c r="A312" s="164" t="s">
        <v>3092</v>
      </c>
      <c r="B312" s="164" t="s">
        <v>191</v>
      </c>
      <c r="C312" s="17" t="s">
        <v>1675</v>
      </c>
      <c r="D312" s="18" t="s">
        <v>36</v>
      </c>
      <c r="E312" s="17" t="s">
        <v>1675</v>
      </c>
      <c r="F312" s="18" t="s">
        <v>60</v>
      </c>
      <c r="G312" s="17" t="s">
        <v>1675</v>
      </c>
      <c r="H312" s="18" t="s">
        <v>29</v>
      </c>
      <c r="I312" s="17" t="s">
        <v>1675</v>
      </c>
      <c r="J312" s="18"/>
      <c r="K312" s="17" t="s">
        <v>1675</v>
      </c>
      <c r="L312" s="18" t="s">
        <v>3093</v>
      </c>
      <c r="M312" s="17" t="s">
        <v>1675</v>
      </c>
      <c r="N312" s="18" t="s">
        <v>3094</v>
      </c>
      <c r="O312" s="17" t="s">
        <v>1675</v>
      </c>
      <c r="P312" s="18" t="s">
        <v>314</v>
      </c>
      <c r="Q312" s="17" t="s">
        <v>1675</v>
      </c>
      <c r="R312" s="17" t="s">
        <v>3095</v>
      </c>
      <c r="S312" s="17" t="s">
        <v>1675</v>
      </c>
      <c r="T312" s="17" t="s">
        <v>3096</v>
      </c>
      <c r="U312" s="17" t="s">
        <v>1675</v>
      </c>
      <c r="V312" s="17" t="s">
        <v>3097</v>
      </c>
      <c r="W312" s="17"/>
    </row>
    <row r="313" spans="1:23" ht="409.6">
      <c r="A313" s="164"/>
      <c r="B313" s="164"/>
      <c r="C313" s="17" t="s">
        <v>1681</v>
      </c>
      <c r="D313" s="18" t="s">
        <v>36</v>
      </c>
      <c r="E313" s="17" t="s">
        <v>1681</v>
      </c>
      <c r="F313" s="18" t="s">
        <v>60</v>
      </c>
      <c r="G313" s="17" t="s">
        <v>1681</v>
      </c>
      <c r="H313" s="18" t="s">
        <v>29</v>
      </c>
      <c r="I313" s="17" t="s">
        <v>1681</v>
      </c>
      <c r="J313" s="18"/>
      <c r="K313" s="17" t="s">
        <v>1681</v>
      </c>
      <c r="L313" s="18" t="s">
        <v>3098</v>
      </c>
      <c r="M313" s="17" t="s">
        <v>1681</v>
      </c>
      <c r="N313" s="18" t="s">
        <v>3099</v>
      </c>
      <c r="O313" s="17" t="s">
        <v>1681</v>
      </c>
      <c r="P313" s="18" t="s">
        <v>402</v>
      </c>
      <c r="Q313" s="17" t="s">
        <v>1681</v>
      </c>
      <c r="R313" s="17" t="s">
        <v>3100</v>
      </c>
      <c r="S313" s="17" t="s">
        <v>1681</v>
      </c>
      <c r="T313" s="17" t="s">
        <v>3096</v>
      </c>
      <c r="U313" s="17" t="s">
        <v>1681</v>
      </c>
      <c r="V313" s="17" t="s">
        <v>3101</v>
      </c>
      <c r="W313" s="17"/>
    </row>
    <row r="314" spans="1:23" ht="409.6">
      <c r="A314" s="164"/>
      <c r="B314" s="164"/>
      <c r="C314" s="17" t="s">
        <v>1685</v>
      </c>
      <c r="D314" s="18" t="s">
        <v>3102</v>
      </c>
      <c r="E314" s="17" t="s">
        <v>1685</v>
      </c>
      <c r="F314" s="18" t="s">
        <v>60</v>
      </c>
      <c r="G314" s="17" t="s">
        <v>1685</v>
      </c>
      <c r="H314" s="18" t="s">
        <v>88</v>
      </c>
      <c r="I314" s="17" t="s">
        <v>1685</v>
      </c>
      <c r="J314" s="18" t="s">
        <v>3103</v>
      </c>
      <c r="K314" s="17" t="s">
        <v>1685</v>
      </c>
      <c r="L314" s="18" t="s">
        <v>3104</v>
      </c>
      <c r="M314" s="17" t="s">
        <v>1685</v>
      </c>
      <c r="N314" s="18" t="s">
        <v>17</v>
      </c>
      <c r="O314" s="17" t="s">
        <v>1685</v>
      </c>
      <c r="P314" s="18" t="s">
        <v>1164</v>
      </c>
      <c r="Q314" s="17" t="s">
        <v>1685</v>
      </c>
      <c r="R314" s="17" t="s">
        <v>3105</v>
      </c>
      <c r="S314" s="17" t="s">
        <v>1685</v>
      </c>
      <c r="T314" s="17" t="s">
        <v>17</v>
      </c>
      <c r="U314" s="17" t="s">
        <v>1685</v>
      </c>
      <c r="V314" s="17" t="s">
        <v>3106</v>
      </c>
      <c r="W314" s="17"/>
    </row>
    <row r="315" spans="1:23" ht="409.6">
      <c r="A315" s="164"/>
      <c r="B315" s="164"/>
      <c r="C315" s="17" t="s">
        <v>1688</v>
      </c>
      <c r="D315" s="18" t="s">
        <v>904</v>
      </c>
      <c r="E315" s="17" t="s">
        <v>1688</v>
      </c>
      <c r="F315" s="18" t="s">
        <v>60</v>
      </c>
      <c r="G315" s="17" t="s">
        <v>1688</v>
      </c>
      <c r="H315" s="18" t="s">
        <v>88</v>
      </c>
      <c r="I315" s="17" t="s">
        <v>1688</v>
      </c>
      <c r="J315" s="18" t="s">
        <v>3103</v>
      </c>
      <c r="K315" s="17" t="s">
        <v>1688</v>
      </c>
      <c r="L315" s="18" t="s">
        <v>3107</v>
      </c>
      <c r="M315" s="17" t="s">
        <v>1688</v>
      </c>
      <c r="N315" s="18" t="s">
        <v>368</v>
      </c>
      <c r="O315" s="17" t="s">
        <v>1688</v>
      </c>
      <c r="P315" s="18" t="s">
        <v>1164</v>
      </c>
      <c r="Q315" s="17" t="s">
        <v>1688</v>
      </c>
      <c r="R315" s="17" t="s">
        <v>3105</v>
      </c>
      <c r="S315" s="17" t="s">
        <v>1688</v>
      </c>
      <c r="T315" s="17" t="s">
        <v>17</v>
      </c>
      <c r="U315" s="17" t="s">
        <v>1688</v>
      </c>
      <c r="V315" s="17" t="s">
        <v>3108</v>
      </c>
      <c r="W315" s="17"/>
    </row>
    <row r="316" spans="1:23" ht="409.6">
      <c r="A316" s="164" t="s">
        <v>530</v>
      </c>
      <c r="B316" s="164" t="s">
        <v>1630</v>
      </c>
      <c r="C316" s="17" t="s">
        <v>1675</v>
      </c>
      <c r="D316" s="18" t="s">
        <v>3109</v>
      </c>
      <c r="E316" s="17" t="s">
        <v>1675</v>
      </c>
      <c r="F316" s="18" t="s">
        <v>60</v>
      </c>
      <c r="G316" s="17" t="s">
        <v>1675</v>
      </c>
      <c r="H316" s="18" t="s">
        <v>29</v>
      </c>
      <c r="I316" s="17" t="s">
        <v>1675</v>
      </c>
      <c r="J316" s="18" t="s">
        <v>3110</v>
      </c>
      <c r="K316" s="17" t="s">
        <v>1675</v>
      </c>
      <c r="L316" s="18" t="s">
        <v>3111</v>
      </c>
      <c r="M316" s="17" t="s">
        <v>1675</v>
      </c>
      <c r="N316" s="18" t="s">
        <v>3082</v>
      </c>
      <c r="O316" s="17" t="s">
        <v>1675</v>
      </c>
      <c r="P316" s="18" t="s">
        <v>3112</v>
      </c>
      <c r="Q316" s="17" t="s">
        <v>1675</v>
      </c>
      <c r="R316" s="17" t="s">
        <v>3113</v>
      </c>
      <c r="S316" s="17" t="s">
        <v>1675</v>
      </c>
      <c r="T316" s="17" t="s">
        <v>3114</v>
      </c>
      <c r="U316" s="17" t="s">
        <v>1675</v>
      </c>
      <c r="V316" s="17" t="s">
        <v>3115</v>
      </c>
      <c r="W316" s="17"/>
    </row>
    <row r="317" spans="1:23" ht="409.6">
      <c r="A317" s="164"/>
      <c r="B317" s="164"/>
      <c r="C317" s="17" t="s">
        <v>1681</v>
      </c>
      <c r="D317" s="18" t="s">
        <v>3116</v>
      </c>
      <c r="E317" s="17" t="s">
        <v>1681</v>
      </c>
      <c r="F317" s="18" t="s">
        <v>60</v>
      </c>
      <c r="G317" s="17" t="s">
        <v>1681</v>
      </c>
      <c r="H317" s="18" t="s">
        <v>29</v>
      </c>
      <c r="I317" s="17" t="s">
        <v>1681</v>
      </c>
      <c r="J317" s="18" t="s">
        <v>3117</v>
      </c>
      <c r="K317" s="17" t="s">
        <v>1681</v>
      </c>
      <c r="L317" s="18" t="s">
        <v>3118</v>
      </c>
      <c r="M317" s="17" t="s">
        <v>1681</v>
      </c>
      <c r="N317" s="18" t="s">
        <v>3119</v>
      </c>
      <c r="O317" s="17" t="s">
        <v>1681</v>
      </c>
      <c r="P317" s="18" t="s">
        <v>3120</v>
      </c>
      <c r="Q317" s="17" t="s">
        <v>1681</v>
      </c>
      <c r="R317" s="17" t="s">
        <v>3121</v>
      </c>
      <c r="S317" s="17" t="s">
        <v>1681</v>
      </c>
      <c r="T317" s="17" t="s">
        <v>3122</v>
      </c>
      <c r="U317" s="17" t="s">
        <v>1681</v>
      </c>
      <c r="V317" s="17" t="s">
        <v>3123</v>
      </c>
      <c r="W317" s="17"/>
    </row>
    <row r="318" spans="1:23" ht="409.6">
      <c r="A318" s="164"/>
      <c r="B318" s="164"/>
      <c r="C318" s="17" t="s">
        <v>1685</v>
      </c>
      <c r="D318" s="18" t="s">
        <v>3124</v>
      </c>
      <c r="E318" s="17" t="s">
        <v>1685</v>
      </c>
      <c r="F318" s="18" t="s">
        <v>60</v>
      </c>
      <c r="G318" s="17" t="s">
        <v>1685</v>
      </c>
      <c r="H318" s="18" t="s">
        <v>88</v>
      </c>
      <c r="I318" s="17" t="s">
        <v>1685</v>
      </c>
      <c r="J318" s="18" t="s">
        <v>3125</v>
      </c>
      <c r="K318" s="17" t="s">
        <v>1685</v>
      </c>
      <c r="L318" s="18" t="s">
        <v>3126</v>
      </c>
      <c r="M318" s="17" t="s">
        <v>1685</v>
      </c>
      <c r="N318" s="18" t="s">
        <v>3127</v>
      </c>
      <c r="O318" s="17" t="s">
        <v>1685</v>
      </c>
      <c r="P318" s="18" t="s">
        <v>756</v>
      </c>
      <c r="Q318" s="17" t="s">
        <v>1685</v>
      </c>
      <c r="R318" s="17" t="s">
        <v>3128</v>
      </c>
      <c r="S318" s="17" t="s">
        <v>1685</v>
      </c>
      <c r="T318" s="17" t="s">
        <v>17</v>
      </c>
      <c r="U318" s="17" t="s">
        <v>1685</v>
      </c>
      <c r="V318" s="17" t="s">
        <v>3129</v>
      </c>
      <c r="W318" s="17"/>
    </row>
    <row r="319" spans="1:23" ht="409.6">
      <c r="A319" s="164"/>
      <c r="B319" s="164"/>
      <c r="C319" s="17" t="s">
        <v>1688</v>
      </c>
      <c r="D319" s="18" t="s">
        <v>3130</v>
      </c>
      <c r="E319" s="17" t="s">
        <v>1688</v>
      </c>
      <c r="F319" s="59" t="s">
        <v>60</v>
      </c>
      <c r="G319" s="17" t="s">
        <v>1688</v>
      </c>
      <c r="H319" s="18" t="s">
        <v>88</v>
      </c>
      <c r="I319" s="17" t="s">
        <v>1688</v>
      </c>
      <c r="J319" s="18" t="s">
        <v>3131</v>
      </c>
      <c r="K319" s="17" t="s">
        <v>1688</v>
      </c>
      <c r="L319" s="18" t="s">
        <v>3132</v>
      </c>
      <c r="M319" s="17" t="s">
        <v>1688</v>
      </c>
      <c r="N319" s="18" t="s">
        <v>3133</v>
      </c>
      <c r="O319" s="17" t="s">
        <v>1688</v>
      </c>
      <c r="P319" s="18" t="s">
        <v>3134</v>
      </c>
      <c r="Q319" s="17" t="s">
        <v>1688</v>
      </c>
      <c r="R319" s="17" t="s">
        <v>3135</v>
      </c>
      <c r="S319" s="17" t="s">
        <v>1688</v>
      </c>
      <c r="T319" s="17" t="s">
        <v>17</v>
      </c>
      <c r="U319" s="17" t="s">
        <v>1688</v>
      </c>
      <c r="V319" s="17" t="s">
        <v>3136</v>
      </c>
      <c r="W319" s="17"/>
    </row>
    <row r="320" spans="1:23" ht="409.6">
      <c r="A320" s="164" t="s">
        <v>3137</v>
      </c>
      <c r="B320" s="164" t="s">
        <v>628</v>
      </c>
      <c r="C320" s="17" t="s">
        <v>1675</v>
      </c>
      <c r="D320" s="18" t="s">
        <v>17</v>
      </c>
      <c r="E320" s="17" t="s">
        <v>1675</v>
      </c>
      <c r="F320" s="18" t="s">
        <v>17</v>
      </c>
      <c r="G320" s="17" t="s">
        <v>1675</v>
      </c>
      <c r="H320" s="18" t="s">
        <v>29</v>
      </c>
      <c r="I320" s="17" t="s">
        <v>1675</v>
      </c>
      <c r="J320" s="18" t="s">
        <v>3138</v>
      </c>
      <c r="K320" s="17" t="s">
        <v>1675</v>
      </c>
      <c r="L320" s="18" t="s">
        <v>3139</v>
      </c>
      <c r="M320" s="17" t="s">
        <v>1675</v>
      </c>
      <c r="N320" s="18" t="s">
        <v>3140</v>
      </c>
      <c r="O320" s="17" t="s">
        <v>1675</v>
      </c>
      <c r="P320" s="18" t="s">
        <v>402</v>
      </c>
      <c r="Q320" s="17" t="s">
        <v>1675</v>
      </c>
      <c r="R320" s="17" t="s">
        <v>3141</v>
      </c>
      <c r="S320" s="17" t="s">
        <v>1675</v>
      </c>
      <c r="T320" s="17" t="s">
        <v>3142</v>
      </c>
      <c r="U320" s="17" t="s">
        <v>1675</v>
      </c>
      <c r="V320" s="17" t="s">
        <v>17</v>
      </c>
      <c r="W320" s="17"/>
    </row>
    <row r="321" spans="1:23" ht="409.6">
      <c r="A321" s="164"/>
      <c r="B321" s="164"/>
      <c r="C321" s="17" t="s">
        <v>1681</v>
      </c>
      <c r="D321" s="18" t="s">
        <v>17</v>
      </c>
      <c r="E321" s="17" t="s">
        <v>1681</v>
      </c>
      <c r="F321" s="18" t="s">
        <v>17</v>
      </c>
      <c r="G321" s="17" t="s">
        <v>1681</v>
      </c>
      <c r="H321" s="18" t="s">
        <v>29</v>
      </c>
      <c r="I321" s="17" t="s">
        <v>1681</v>
      </c>
      <c r="J321" s="18"/>
      <c r="K321" s="17" t="s">
        <v>1681</v>
      </c>
      <c r="L321" s="18" t="s">
        <v>3143</v>
      </c>
      <c r="M321" s="17" t="s">
        <v>1681</v>
      </c>
      <c r="N321" s="18" t="s">
        <v>3144</v>
      </c>
      <c r="O321" s="17" t="s">
        <v>1681</v>
      </c>
      <c r="P321" s="18" t="s">
        <v>402</v>
      </c>
      <c r="Q321" s="17" t="s">
        <v>1681</v>
      </c>
      <c r="R321" s="17" t="s">
        <v>3145</v>
      </c>
      <c r="S321" s="17" t="s">
        <v>1681</v>
      </c>
      <c r="T321" s="17" t="s">
        <v>3146</v>
      </c>
      <c r="U321" s="17" t="s">
        <v>1681</v>
      </c>
      <c r="V321" s="17" t="s">
        <v>17</v>
      </c>
      <c r="W321" s="17"/>
    </row>
    <row r="322" spans="1:23" ht="409.6">
      <c r="A322" s="164"/>
      <c r="B322" s="164"/>
      <c r="C322" s="17" t="s">
        <v>1685</v>
      </c>
      <c r="D322" s="18" t="s">
        <v>17</v>
      </c>
      <c r="E322" s="17" t="s">
        <v>1685</v>
      </c>
      <c r="F322" s="18" t="s">
        <v>17</v>
      </c>
      <c r="G322" s="17" t="s">
        <v>1685</v>
      </c>
      <c r="H322" s="18" t="s">
        <v>88</v>
      </c>
      <c r="I322" s="17" t="s">
        <v>1685</v>
      </c>
      <c r="J322" s="18" t="s">
        <v>17</v>
      </c>
      <c r="K322" s="17" t="s">
        <v>1685</v>
      </c>
      <c r="L322" s="18" t="s">
        <v>3147</v>
      </c>
      <c r="M322" s="17" t="s">
        <v>1685</v>
      </c>
      <c r="N322" s="18" t="s">
        <v>3144</v>
      </c>
      <c r="O322" s="17" t="s">
        <v>1685</v>
      </c>
      <c r="P322" s="18" t="s">
        <v>942</v>
      </c>
      <c r="Q322" s="17" t="s">
        <v>1685</v>
      </c>
      <c r="R322" s="17" t="s">
        <v>3148</v>
      </c>
      <c r="S322" s="17" t="s">
        <v>1685</v>
      </c>
      <c r="T322" s="17" t="s">
        <v>17</v>
      </c>
      <c r="U322" s="17" t="s">
        <v>1685</v>
      </c>
      <c r="V322" s="17" t="s">
        <v>17</v>
      </c>
      <c r="W322" s="17"/>
    </row>
    <row r="323" spans="1:23" ht="409.6">
      <c r="A323" s="164"/>
      <c r="B323" s="164"/>
      <c r="C323" s="17" t="s">
        <v>1688</v>
      </c>
      <c r="D323" s="18" t="s">
        <v>17</v>
      </c>
      <c r="E323" s="17" t="s">
        <v>1688</v>
      </c>
      <c r="F323" s="18" t="s">
        <v>17</v>
      </c>
      <c r="G323" s="17" t="s">
        <v>1688</v>
      </c>
      <c r="H323" s="18" t="s">
        <v>88</v>
      </c>
      <c r="I323" s="17" t="s">
        <v>1688</v>
      </c>
      <c r="J323" s="18" t="s">
        <v>3149</v>
      </c>
      <c r="K323" s="17" t="s">
        <v>1688</v>
      </c>
      <c r="L323" s="18" t="s">
        <v>3150</v>
      </c>
      <c r="M323" s="17" t="s">
        <v>1688</v>
      </c>
      <c r="N323" s="18" t="s">
        <v>3151</v>
      </c>
      <c r="O323" s="17" t="s">
        <v>1688</v>
      </c>
      <c r="P323" s="18" t="s">
        <v>3152</v>
      </c>
      <c r="Q323" s="17" t="s">
        <v>1688</v>
      </c>
      <c r="R323" s="17" t="s">
        <v>3153</v>
      </c>
      <c r="S323" s="17" t="s">
        <v>1688</v>
      </c>
      <c r="T323" s="17" t="s">
        <v>17</v>
      </c>
      <c r="U323" s="17" t="s">
        <v>1688</v>
      </c>
      <c r="V323" s="17" t="s">
        <v>17</v>
      </c>
      <c r="W323" s="17"/>
    </row>
    <row r="324" spans="1:23" ht="45">
      <c r="A324" s="164" t="s">
        <v>333</v>
      </c>
      <c r="B324" s="164" t="s">
        <v>856</v>
      </c>
      <c r="C324" s="17" t="s">
        <v>1675</v>
      </c>
      <c r="D324" s="18" t="s">
        <v>3154</v>
      </c>
      <c r="E324" s="17" t="s">
        <v>1675</v>
      </c>
      <c r="F324" s="18"/>
      <c r="G324" s="17" t="s">
        <v>1675</v>
      </c>
      <c r="H324" s="18"/>
      <c r="I324" s="17" t="s">
        <v>1675</v>
      </c>
      <c r="J324" s="18"/>
      <c r="K324" s="17" t="s">
        <v>1675</v>
      </c>
      <c r="L324" s="18"/>
      <c r="M324" s="17" t="s">
        <v>1675</v>
      </c>
      <c r="N324" s="18"/>
      <c r="O324" s="17" t="s">
        <v>1675</v>
      </c>
      <c r="P324" s="18"/>
      <c r="Q324" s="17" t="s">
        <v>1675</v>
      </c>
      <c r="R324" s="17"/>
      <c r="S324" s="17" t="s">
        <v>1675</v>
      </c>
      <c r="T324" s="17"/>
      <c r="U324" s="17" t="s">
        <v>1675</v>
      </c>
      <c r="V324" s="17"/>
      <c r="W324" s="17"/>
    </row>
    <row r="325" spans="1:23" ht="409.6">
      <c r="A325" s="164"/>
      <c r="B325" s="164"/>
      <c r="C325" s="17" t="s">
        <v>1681</v>
      </c>
      <c r="D325" s="18" t="s">
        <v>3155</v>
      </c>
      <c r="E325" s="17" t="s">
        <v>1681</v>
      </c>
      <c r="F325" s="18" t="s">
        <v>3156</v>
      </c>
      <c r="G325" s="17" t="s">
        <v>1681</v>
      </c>
      <c r="H325" s="18" t="s">
        <v>29</v>
      </c>
      <c r="I325" s="17" t="s">
        <v>1681</v>
      </c>
      <c r="J325" s="18" t="s">
        <v>3157</v>
      </c>
      <c r="K325" s="17" t="s">
        <v>1681</v>
      </c>
      <c r="L325" s="18" t="s">
        <v>3158</v>
      </c>
      <c r="M325" s="17" t="s">
        <v>1681</v>
      </c>
      <c r="N325" s="18" t="s">
        <v>3159</v>
      </c>
      <c r="O325" s="17" t="s">
        <v>1681</v>
      </c>
      <c r="P325" s="18" t="s">
        <v>323</v>
      </c>
      <c r="Q325" s="17" t="s">
        <v>1681</v>
      </c>
      <c r="R325" s="17" t="s">
        <v>3160</v>
      </c>
      <c r="S325" s="17" t="s">
        <v>1681</v>
      </c>
      <c r="T325" s="17" t="s">
        <v>3161</v>
      </c>
      <c r="U325" s="17" t="s">
        <v>1681</v>
      </c>
      <c r="V325" s="17" t="s">
        <v>17</v>
      </c>
      <c r="W325" s="17"/>
    </row>
    <row r="326" spans="1:23" ht="409.6">
      <c r="A326" s="164"/>
      <c r="B326" s="164"/>
      <c r="C326" s="17" t="s">
        <v>1685</v>
      </c>
      <c r="D326" s="18" t="s">
        <v>3162</v>
      </c>
      <c r="E326" s="17" t="s">
        <v>1685</v>
      </c>
      <c r="F326" s="18" t="s">
        <v>3163</v>
      </c>
      <c r="G326" s="17" t="s">
        <v>1685</v>
      </c>
      <c r="H326" s="18" t="s">
        <v>88</v>
      </c>
      <c r="I326" s="17" t="s">
        <v>1685</v>
      </c>
      <c r="J326" s="18" t="s">
        <v>3164</v>
      </c>
      <c r="K326" s="17" t="s">
        <v>1685</v>
      </c>
      <c r="L326" s="18" t="s">
        <v>3165</v>
      </c>
      <c r="M326" s="17" t="s">
        <v>1685</v>
      </c>
      <c r="N326" s="18" t="s">
        <v>3159</v>
      </c>
      <c r="O326" s="17" t="s">
        <v>1685</v>
      </c>
      <c r="P326" s="18"/>
      <c r="Q326" s="17" t="s">
        <v>1685</v>
      </c>
      <c r="R326" s="17" t="s">
        <v>3166</v>
      </c>
      <c r="S326" s="17" t="s">
        <v>1685</v>
      </c>
      <c r="T326" s="17" t="s">
        <v>3167</v>
      </c>
      <c r="U326" s="17" t="s">
        <v>1685</v>
      </c>
      <c r="V326" s="17" t="s">
        <v>3168</v>
      </c>
      <c r="W326" s="17"/>
    </row>
    <row r="327" spans="1:23" ht="409.6">
      <c r="A327" s="164"/>
      <c r="B327" s="164"/>
      <c r="C327" s="17" t="s">
        <v>1688</v>
      </c>
      <c r="D327" s="18" t="s">
        <v>3162</v>
      </c>
      <c r="E327" s="17" t="s">
        <v>1688</v>
      </c>
      <c r="F327" s="18" t="s">
        <v>3169</v>
      </c>
      <c r="G327" s="17" t="s">
        <v>1688</v>
      </c>
      <c r="H327" s="18" t="s">
        <v>88</v>
      </c>
      <c r="I327" s="17" t="s">
        <v>1688</v>
      </c>
      <c r="J327" s="18" t="s">
        <v>3170</v>
      </c>
      <c r="K327" s="17" t="s">
        <v>1688</v>
      </c>
      <c r="L327" s="18" t="s">
        <v>3171</v>
      </c>
      <c r="M327" s="17" t="s">
        <v>1688</v>
      </c>
      <c r="N327" s="18" t="s">
        <v>3172</v>
      </c>
      <c r="O327" s="17" t="s">
        <v>1688</v>
      </c>
      <c r="P327" s="18" t="s">
        <v>209</v>
      </c>
      <c r="Q327" s="17" t="s">
        <v>1688</v>
      </c>
      <c r="R327" s="17" t="s">
        <v>3173</v>
      </c>
      <c r="S327" s="17" t="s">
        <v>1688</v>
      </c>
      <c r="T327" s="17" t="s">
        <v>3174</v>
      </c>
      <c r="U327" s="17" t="s">
        <v>1688</v>
      </c>
      <c r="V327" s="17" t="s">
        <v>3175</v>
      </c>
      <c r="W327" s="17"/>
    </row>
    <row r="328" spans="1:23" ht="409.6">
      <c r="A328" s="165" t="s">
        <v>333</v>
      </c>
      <c r="B328" s="164" t="s">
        <v>191</v>
      </c>
      <c r="C328" s="17" t="s">
        <v>1675</v>
      </c>
      <c r="D328" s="18" t="s">
        <v>3176</v>
      </c>
      <c r="E328" s="17" t="s">
        <v>1675</v>
      </c>
      <c r="F328" s="18" t="s">
        <v>3177</v>
      </c>
      <c r="G328" s="17" t="s">
        <v>1675</v>
      </c>
      <c r="H328" s="18" t="s">
        <v>4081</v>
      </c>
      <c r="I328" s="17" t="s">
        <v>1675</v>
      </c>
      <c r="J328" s="18"/>
      <c r="K328" s="17" t="s">
        <v>1675</v>
      </c>
      <c r="L328" s="18" t="s">
        <v>3178</v>
      </c>
      <c r="M328" s="17" t="s">
        <v>1675</v>
      </c>
      <c r="N328" s="18" t="s">
        <v>3179</v>
      </c>
      <c r="O328" s="17" t="s">
        <v>1675</v>
      </c>
      <c r="P328" s="18" t="s">
        <v>17</v>
      </c>
      <c r="Q328" s="17" t="s">
        <v>1675</v>
      </c>
      <c r="R328" s="17" t="s">
        <v>3180</v>
      </c>
      <c r="S328" s="17" t="s">
        <v>1675</v>
      </c>
      <c r="T328" s="17" t="s">
        <v>3181</v>
      </c>
      <c r="U328" s="17" t="s">
        <v>1675</v>
      </c>
      <c r="V328" s="17" t="s">
        <v>17</v>
      </c>
      <c r="W328" s="17"/>
    </row>
    <row r="329" spans="1:23" ht="409.6">
      <c r="A329" s="153"/>
      <c r="B329" s="164"/>
      <c r="C329" s="17" t="s">
        <v>3182</v>
      </c>
      <c r="D329" s="18" t="s">
        <v>3183</v>
      </c>
      <c r="E329" s="17" t="s">
        <v>1681</v>
      </c>
      <c r="F329" s="18" t="s">
        <v>3163</v>
      </c>
      <c r="G329" s="17" t="s">
        <v>1681</v>
      </c>
      <c r="H329" s="18" t="s">
        <v>29</v>
      </c>
      <c r="I329" s="17" t="s">
        <v>1681</v>
      </c>
      <c r="J329" s="18"/>
      <c r="K329" s="17" t="s">
        <v>1681</v>
      </c>
      <c r="L329" s="18" t="s">
        <v>3184</v>
      </c>
      <c r="M329" s="17" t="s">
        <v>1681</v>
      </c>
      <c r="N329" s="18" t="s">
        <v>3185</v>
      </c>
      <c r="O329" s="17" t="s">
        <v>1681</v>
      </c>
      <c r="P329" s="18" t="s">
        <v>3186</v>
      </c>
      <c r="Q329" s="17" t="s">
        <v>1681</v>
      </c>
      <c r="R329" s="17" t="s">
        <v>3187</v>
      </c>
      <c r="S329" s="17" t="s">
        <v>1681</v>
      </c>
      <c r="T329" s="17" t="s">
        <v>3188</v>
      </c>
      <c r="U329" s="17" t="s">
        <v>1681</v>
      </c>
      <c r="V329" s="17" t="s">
        <v>17</v>
      </c>
      <c r="W329" s="17"/>
    </row>
    <row r="330" spans="1:23" ht="409.6">
      <c r="A330" s="153"/>
      <c r="B330" s="164"/>
      <c r="C330" s="17" t="s">
        <v>3189</v>
      </c>
      <c r="D330" s="18" t="s">
        <v>3190</v>
      </c>
      <c r="E330" s="17" t="s">
        <v>1685</v>
      </c>
      <c r="F330" s="18" t="s">
        <v>3163</v>
      </c>
      <c r="G330" s="17" t="s">
        <v>1685</v>
      </c>
      <c r="H330" s="18" t="s">
        <v>88</v>
      </c>
      <c r="I330" s="17" t="s">
        <v>1685</v>
      </c>
      <c r="J330" s="18"/>
      <c r="K330" s="17" t="s">
        <v>1685</v>
      </c>
      <c r="L330" s="18" t="s">
        <v>3191</v>
      </c>
      <c r="M330" s="17" t="s">
        <v>1685</v>
      </c>
      <c r="N330" s="18" t="s">
        <v>3192</v>
      </c>
      <c r="O330" s="17" t="s">
        <v>1685</v>
      </c>
      <c r="P330" s="18" t="s">
        <v>125</v>
      </c>
      <c r="Q330" s="17" t="s">
        <v>1685</v>
      </c>
      <c r="R330" s="17" t="s">
        <v>3187</v>
      </c>
      <c r="S330" s="17" t="s">
        <v>1685</v>
      </c>
      <c r="T330" s="17" t="s">
        <v>17</v>
      </c>
      <c r="U330" s="17" t="s">
        <v>1685</v>
      </c>
      <c r="V330" s="17" t="s">
        <v>17</v>
      </c>
      <c r="W330" s="17"/>
    </row>
    <row r="331" spans="1:23" ht="409.6">
      <c r="A331" s="153"/>
      <c r="B331" s="164"/>
      <c r="C331" s="17" t="s">
        <v>3193</v>
      </c>
      <c r="D331" s="18" t="s">
        <v>3194</v>
      </c>
      <c r="E331" s="17" t="s">
        <v>1685</v>
      </c>
      <c r="F331" s="18" t="s">
        <v>3195</v>
      </c>
      <c r="G331" s="17" t="s">
        <v>1685</v>
      </c>
      <c r="H331" s="18" t="s">
        <v>88</v>
      </c>
      <c r="I331" s="17" t="s">
        <v>1685</v>
      </c>
      <c r="J331" s="18" t="s">
        <v>3196</v>
      </c>
      <c r="K331" s="17" t="s">
        <v>1685</v>
      </c>
      <c r="L331" s="18" t="s">
        <v>3197</v>
      </c>
      <c r="M331" s="17" t="s">
        <v>1685</v>
      </c>
      <c r="N331" s="18" t="s">
        <v>2005</v>
      </c>
      <c r="O331" s="17" t="s">
        <v>1685</v>
      </c>
      <c r="P331" s="18" t="s">
        <v>3198</v>
      </c>
      <c r="Q331" s="17" t="s">
        <v>1685</v>
      </c>
      <c r="R331" s="17" t="s">
        <v>3199</v>
      </c>
      <c r="S331" s="17" t="s">
        <v>1685</v>
      </c>
      <c r="T331" s="17" t="s">
        <v>17</v>
      </c>
      <c r="U331" s="17" t="s">
        <v>1685</v>
      </c>
      <c r="V331" s="17" t="s">
        <v>17</v>
      </c>
      <c r="W331" s="17"/>
    </row>
    <row r="332" spans="1:23" ht="409.6">
      <c r="A332" s="154"/>
      <c r="B332" s="164"/>
      <c r="C332" s="17" t="s">
        <v>3200</v>
      </c>
      <c r="D332" s="18" t="s">
        <v>3201</v>
      </c>
      <c r="E332" s="17" t="s">
        <v>1688</v>
      </c>
      <c r="F332" s="18" t="s">
        <v>3202</v>
      </c>
      <c r="G332" s="17" t="s">
        <v>1688</v>
      </c>
      <c r="H332" s="18" t="s">
        <v>88</v>
      </c>
      <c r="I332" s="17" t="s">
        <v>1688</v>
      </c>
      <c r="J332" s="18"/>
      <c r="K332" s="17" t="s">
        <v>1688</v>
      </c>
      <c r="L332" s="18" t="s">
        <v>3203</v>
      </c>
      <c r="M332" s="17" t="s">
        <v>1688</v>
      </c>
      <c r="N332" s="18" t="s">
        <v>3204</v>
      </c>
      <c r="O332" s="17" t="s">
        <v>1688</v>
      </c>
      <c r="P332" s="18" t="s">
        <v>756</v>
      </c>
      <c r="Q332" s="17" t="s">
        <v>1688</v>
      </c>
      <c r="R332" s="17" t="s">
        <v>3205</v>
      </c>
      <c r="S332" s="17" t="s">
        <v>1688</v>
      </c>
      <c r="T332" s="17" t="s">
        <v>17</v>
      </c>
      <c r="U332" s="17" t="s">
        <v>1688</v>
      </c>
      <c r="V332" s="17" t="s">
        <v>17</v>
      </c>
      <c r="W332" s="17"/>
    </row>
    <row r="333" spans="1:23" ht="409.6">
      <c r="A333" s="165" t="s">
        <v>283</v>
      </c>
      <c r="B333" s="165" t="s">
        <v>3206</v>
      </c>
      <c r="C333" s="17" t="s">
        <v>3207</v>
      </c>
      <c r="D333" s="18" t="s">
        <v>52</v>
      </c>
      <c r="E333" s="17" t="s">
        <v>1685</v>
      </c>
      <c r="F333" s="18" t="s">
        <v>60</v>
      </c>
      <c r="G333" s="17" t="s">
        <v>1685</v>
      </c>
      <c r="H333" s="18" t="s">
        <v>1988</v>
      </c>
      <c r="I333" s="17" t="s">
        <v>1685</v>
      </c>
      <c r="J333" s="18" t="s">
        <v>17</v>
      </c>
      <c r="K333" s="17" t="s">
        <v>1685</v>
      </c>
      <c r="L333" s="18" t="s">
        <v>3208</v>
      </c>
      <c r="M333" s="17" t="s">
        <v>1685</v>
      </c>
      <c r="N333" s="18" t="s">
        <v>138</v>
      </c>
      <c r="O333" s="17" t="s">
        <v>1685</v>
      </c>
      <c r="P333" s="18" t="s">
        <v>17</v>
      </c>
      <c r="Q333" s="17" t="s">
        <v>1685</v>
      </c>
      <c r="R333" s="17" t="s">
        <v>3209</v>
      </c>
      <c r="S333" s="17" t="s">
        <v>1685</v>
      </c>
      <c r="T333" s="17" t="s">
        <v>17</v>
      </c>
      <c r="U333" s="17" t="s">
        <v>1685</v>
      </c>
      <c r="V333" s="17" t="s">
        <v>17</v>
      </c>
      <c r="W333" s="17"/>
    </row>
    <row r="334" spans="1:23" ht="409.6">
      <c r="A334" s="154"/>
      <c r="B334" s="154"/>
      <c r="C334" s="17" t="s">
        <v>1688</v>
      </c>
      <c r="D334" s="60" t="s">
        <v>52</v>
      </c>
      <c r="E334" s="17" t="s">
        <v>1688</v>
      </c>
      <c r="F334" s="18" t="s">
        <v>60</v>
      </c>
      <c r="G334" s="17" t="s">
        <v>1688</v>
      </c>
      <c r="H334" s="18" t="s">
        <v>3210</v>
      </c>
      <c r="I334" s="17" t="s">
        <v>1688</v>
      </c>
      <c r="J334" s="18" t="s">
        <v>17</v>
      </c>
      <c r="K334" s="17" t="s">
        <v>1688</v>
      </c>
      <c r="L334" s="18" t="s">
        <v>3211</v>
      </c>
      <c r="M334" s="17" t="s">
        <v>1688</v>
      </c>
      <c r="N334" s="18" t="s">
        <v>138</v>
      </c>
      <c r="O334" s="17" t="s">
        <v>1688</v>
      </c>
      <c r="P334" s="18" t="s">
        <v>17</v>
      </c>
      <c r="Q334" s="17" t="s">
        <v>1688</v>
      </c>
      <c r="R334" s="17" t="s">
        <v>3212</v>
      </c>
      <c r="S334" s="17" t="s">
        <v>1688</v>
      </c>
      <c r="T334" s="17" t="s">
        <v>17</v>
      </c>
      <c r="U334" s="17" t="s">
        <v>1688</v>
      </c>
      <c r="V334" s="17" t="s">
        <v>17</v>
      </c>
      <c r="W334" s="17"/>
    </row>
    <row r="335" spans="1:23" ht="409.6">
      <c r="A335" s="164" t="s">
        <v>50</v>
      </c>
      <c r="B335" s="164" t="s">
        <v>824</v>
      </c>
      <c r="C335" s="17" t="s">
        <v>1675</v>
      </c>
      <c r="D335" s="18" t="s">
        <v>3213</v>
      </c>
      <c r="E335" s="17" t="s">
        <v>1675</v>
      </c>
      <c r="F335" s="18" t="s">
        <v>3214</v>
      </c>
      <c r="G335" s="17" t="s">
        <v>1675</v>
      </c>
      <c r="H335" s="18" t="s">
        <v>29</v>
      </c>
      <c r="I335" s="17" t="s">
        <v>1675</v>
      </c>
      <c r="J335" s="18" t="s">
        <v>17</v>
      </c>
      <c r="K335" s="17" t="s">
        <v>1675</v>
      </c>
      <c r="L335" s="18" t="s">
        <v>3215</v>
      </c>
      <c r="M335" s="17" t="s">
        <v>1675</v>
      </c>
      <c r="N335" s="18" t="s">
        <v>3216</v>
      </c>
      <c r="O335" s="17" t="s">
        <v>1675</v>
      </c>
      <c r="P335" s="18" t="s">
        <v>3217</v>
      </c>
      <c r="Q335" s="17" t="s">
        <v>1675</v>
      </c>
      <c r="R335" s="17" t="s">
        <v>17</v>
      </c>
      <c r="S335" s="17" t="s">
        <v>1675</v>
      </c>
      <c r="T335" s="17" t="s">
        <v>3218</v>
      </c>
      <c r="U335" s="17" t="s">
        <v>1675</v>
      </c>
      <c r="V335" s="17" t="s">
        <v>17</v>
      </c>
      <c r="W335" s="17"/>
    </row>
    <row r="336" spans="1:23" ht="409.6">
      <c r="A336" s="164"/>
      <c r="B336" s="164"/>
      <c r="C336" s="17" t="s">
        <v>1681</v>
      </c>
      <c r="D336" s="18" t="s">
        <v>3219</v>
      </c>
      <c r="E336" s="17" t="s">
        <v>1681</v>
      </c>
      <c r="F336" s="18" t="s">
        <v>3220</v>
      </c>
      <c r="G336" s="17" t="s">
        <v>1681</v>
      </c>
      <c r="H336" s="18" t="s">
        <v>29</v>
      </c>
      <c r="I336" s="17" t="s">
        <v>1681</v>
      </c>
      <c r="J336" s="18" t="s">
        <v>17</v>
      </c>
      <c r="K336" s="17" t="s">
        <v>1681</v>
      </c>
      <c r="L336" s="18" t="s">
        <v>3221</v>
      </c>
      <c r="M336" s="17" t="s">
        <v>1681</v>
      </c>
      <c r="N336" s="18" t="s">
        <v>3222</v>
      </c>
      <c r="O336" s="17" t="s">
        <v>1681</v>
      </c>
      <c r="P336" s="18" t="s">
        <v>3223</v>
      </c>
      <c r="Q336" s="17" t="s">
        <v>1681</v>
      </c>
      <c r="R336" s="17" t="s">
        <v>17</v>
      </c>
      <c r="S336" s="17" t="s">
        <v>1681</v>
      </c>
      <c r="T336" s="17" t="s">
        <v>3218</v>
      </c>
      <c r="U336" s="17" t="s">
        <v>1681</v>
      </c>
      <c r="V336" s="17" t="s">
        <v>17</v>
      </c>
      <c r="W336" s="17"/>
    </row>
    <row r="337" spans="1:23" ht="409.6">
      <c r="A337" s="164"/>
      <c r="B337" s="164"/>
      <c r="C337" s="17" t="s">
        <v>1685</v>
      </c>
      <c r="D337" s="18" t="s">
        <v>3224</v>
      </c>
      <c r="E337" s="17" t="s">
        <v>1685</v>
      </c>
      <c r="F337" s="18" t="s">
        <v>3225</v>
      </c>
      <c r="G337" s="17" t="s">
        <v>1685</v>
      </c>
      <c r="H337" s="18" t="s">
        <v>29</v>
      </c>
      <c r="I337" s="17" t="s">
        <v>1685</v>
      </c>
      <c r="J337" s="18" t="s">
        <v>17</v>
      </c>
      <c r="K337" s="17" t="s">
        <v>1685</v>
      </c>
      <c r="L337" s="18" t="s">
        <v>3226</v>
      </c>
      <c r="M337" s="17" t="s">
        <v>1685</v>
      </c>
      <c r="N337" s="18" t="s">
        <v>3227</v>
      </c>
      <c r="O337" s="17" t="s">
        <v>1685</v>
      </c>
      <c r="P337" s="18" t="s">
        <v>3228</v>
      </c>
      <c r="Q337" s="17" t="s">
        <v>1685</v>
      </c>
      <c r="R337" s="17" t="s">
        <v>17</v>
      </c>
      <c r="S337" s="17" t="s">
        <v>1685</v>
      </c>
      <c r="T337" s="17" t="s">
        <v>17</v>
      </c>
      <c r="U337" s="17" t="s">
        <v>1685</v>
      </c>
      <c r="V337" s="17" t="s">
        <v>17</v>
      </c>
      <c r="W337" s="17"/>
    </row>
    <row r="338" spans="1:23" ht="409.6">
      <c r="A338" s="164"/>
      <c r="B338" s="164"/>
      <c r="C338" s="17" t="s">
        <v>1688</v>
      </c>
      <c r="D338" s="18" t="s">
        <v>3229</v>
      </c>
      <c r="E338" s="17" t="s">
        <v>1688</v>
      </c>
      <c r="F338" s="18" t="s">
        <v>1026</v>
      </c>
      <c r="G338" s="17" t="s">
        <v>1688</v>
      </c>
      <c r="H338" s="18" t="s">
        <v>88</v>
      </c>
      <c r="I338" s="17" t="s">
        <v>1688</v>
      </c>
      <c r="J338" s="18" t="s">
        <v>17</v>
      </c>
      <c r="K338" s="17" t="s">
        <v>1688</v>
      </c>
      <c r="L338" s="18" t="s">
        <v>3230</v>
      </c>
      <c r="M338" s="17" t="s">
        <v>1688</v>
      </c>
      <c r="N338" s="61" t="s">
        <v>257</v>
      </c>
      <c r="O338" s="17" t="s">
        <v>1688</v>
      </c>
      <c r="P338" s="18" t="s">
        <v>174</v>
      </c>
      <c r="Q338" s="17" t="s">
        <v>1688</v>
      </c>
      <c r="R338" s="17" t="s">
        <v>3231</v>
      </c>
      <c r="S338" s="17" t="s">
        <v>1688</v>
      </c>
      <c r="T338" s="17" t="s">
        <v>17</v>
      </c>
      <c r="U338" s="17" t="s">
        <v>1688</v>
      </c>
      <c r="V338" s="17" t="s">
        <v>17</v>
      </c>
      <c r="W338" s="17"/>
    </row>
    <row r="339" spans="1:23" ht="409.6">
      <c r="A339" s="164" t="s">
        <v>589</v>
      </c>
      <c r="B339" s="164" t="s">
        <v>191</v>
      </c>
      <c r="C339" s="17" t="s">
        <v>1675</v>
      </c>
      <c r="D339" s="18" t="s">
        <v>3232</v>
      </c>
      <c r="E339" s="17" t="s">
        <v>1675</v>
      </c>
      <c r="F339" s="18" t="s">
        <v>3233</v>
      </c>
      <c r="G339" s="17" t="s">
        <v>1675</v>
      </c>
      <c r="H339" s="18" t="s">
        <v>29</v>
      </c>
      <c r="I339" s="17" t="s">
        <v>1675</v>
      </c>
      <c r="J339" s="18" t="s">
        <v>3234</v>
      </c>
      <c r="K339" s="17" t="s">
        <v>1675</v>
      </c>
      <c r="L339" s="18" t="s">
        <v>3235</v>
      </c>
      <c r="M339" s="17" t="s">
        <v>1675</v>
      </c>
      <c r="N339" s="18" t="s">
        <v>17</v>
      </c>
      <c r="O339" s="17" t="s">
        <v>1675</v>
      </c>
      <c r="P339" s="18" t="s">
        <v>17</v>
      </c>
      <c r="Q339" s="17" t="s">
        <v>1675</v>
      </c>
      <c r="R339" s="17" t="s">
        <v>3236</v>
      </c>
      <c r="S339" s="17" t="s">
        <v>1675</v>
      </c>
      <c r="T339" s="17" t="s">
        <v>3237</v>
      </c>
      <c r="U339" s="17" t="s">
        <v>1675</v>
      </c>
      <c r="V339" s="17" t="s">
        <v>3238</v>
      </c>
      <c r="W339" s="17"/>
    </row>
    <row r="340" spans="1:23" ht="409.6">
      <c r="A340" s="164"/>
      <c r="B340" s="164"/>
      <c r="C340" s="17" t="s">
        <v>1681</v>
      </c>
      <c r="D340" s="18" t="s">
        <v>3239</v>
      </c>
      <c r="E340" s="17" t="s">
        <v>1681</v>
      </c>
      <c r="F340" s="18" t="s">
        <v>3240</v>
      </c>
      <c r="G340" s="17" t="s">
        <v>1681</v>
      </c>
      <c r="H340" s="18" t="s">
        <v>29</v>
      </c>
      <c r="I340" s="17" t="s">
        <v>1681</v>
      </c>
      <c r="J340" s="18" t="s">
        <v>3241</v>
      </c>
      <c r="K340" s="17" t="s">
        <v>1681</v>
      </c>
      <c r="L340" s="18" t="s">
        <v>3242</v>
      </c>
      <c r="M340" s="17" t="s">
        <v>1681</v>
      </c>
      <c r="N340" s="18" t="s">
        <v>3243</v>
      </c>
      <c r="O340" s="17" t="s">
        <v>1681</v>
      </c>
      <c r="P340" s="18" t="s">
        <v>17</v>
      </c>
      <c r="Q340" s="17" t="s">
        <v>1681</v>
      </c>
      <c r="R340" s="17" t="s">
        <v>3244</v>
      </c>
      <c r="S340" s="17" t="s">
        <v>1681</v>
      </c>
      <c r="T340" s="17" t="s">
        <v>3237</v>
      </c>
      <c r="U340" s="17" t="s">
        <v>1681</v>
      </c>
      <c r="V340" s="17" t="s">
        <v>3245</v>
      </c>
      <c r="W340" s="17"/>
    </row>
    <row r="341" spans="1:23" ht="409.6">
      <c r="A341" s="164"/>
      <c r="B341" s="164"/>
      <c r="C341" s="17" t="s">
        <v>1685</v>
      </c>
      <c r="D341" s="18" t="s">
        <v>3246</v>
      </c>
      <c r="E341" s="17" t="s">
        <v>1685</v>
      </c>
      <c r="F341" s="18" t="s">
        <v>3233</v>
      </c>
      <c r="G341" s="17" t="s">
        <v>1685</v>
      </c>
      <c r="H341" s="18" t="s">
        <v>3247</v>
      </c>
      <c r="I341" s="17" t="s">
        <v>1685</v>
      </c>
      <c r="J341" s="18" t="s">
        <v>17</v>
      </c>
      <c r="K341" s="17" t="s">
        <v>1685</v>
      </c>
      <c r="L341" s="18" t="s">
        <v>3248</v>
      </c>
      <c r="M341" s="17" t="s">
        <v>1685</v>
      </c>
      <c r="N341" s="18" t="s">
        <v>17</v>
      </c>
      <c r="O341" s="17" t="s">
        <v>1685</v>
      </c>
      <c r="P341" s="18" t="s">
        <v>17</v>
      </c>
      <c r="Q341" s="17" t="s">
        <v>1685</v>
      </c>
      <c r="R341" s="17" t="s">
        <v>3249</v>
      </c>
      <c r="S341" s="17" t="s">
        <v>1685</v>
      </c>
      <c r="T341" s="17" t="s">
        <v>17</v>
      </c>
      <c r="U341" s="17" t="s">
        <v>1685</v>
      </c>
      <c r="V341" s="17" t="s">
        <v>3250</v>
      </c>
      <c r="W341" s="17"/>
    </row>
    <row r="342" spans="1:23" ht="409.6">
      <c r="A342" s="164"/>
      <c r="B342" s="164"/>
      <c r="C342" s="17" t="s">
        <v>1688</v>
      </c>
      <c r="D342" s="18" t="s">
        <v>3251</v>
      </c>
      <c r="E342" s="17" t="s">
        <v>1688</v>
      </c>
      <c r="F342" s="18" t="s">
        <v>3233</v>
      </c>
      <c r="G342" s="17" t="s">
        <v>1688</v>
      </c>
      <c r="H342" s="18" t="s">
        <v>88</v>
      </c>
      <c r="I342" s="17" t="s">
        <v>1688</v>
      </c>
      <c r="J342" s="18" t="s">
        <v>17</v>
      </c>
      <c r="K342" s="17" t="s">
        <v>1688</v>
      </c>
      <c r="L342" s="18" t="s">
        <v>3252</v>
      </c>
      <c r="M342" s="17" t="s">
        <v>1688</v>
      </c>
      <c r="N342" s="18" t="s">
        <v>3253</v>
      </c>
      <c r="O342" s="17" t="s">
        <v>1688</v>
      </c>
      <c r="P342" s="18" t="s">
        <v>17</v>
      </c>
      <c r="Q342" s="17" t="s">
        <v>1688</v>
      </c>
      <c r="R342" s="17" t="s">
        <v>3254</v>
      </c>
      <c r="S342" s="17" t="s">
        <v>1688</v>
      </c>
      <c r="T342" s="17" t="s">
        <v>17</v>
      </c>
      <c r="U342" s="17" t="s">
        <v>1688</v>
      </c>
      <c r="V342" s="17" t="s">
        <v>3255</v>
      </c>
      <c r="W342" s="17"/>
    </row>
    <row r="343" spans="1:23" ht="409.6">
      <c r="A343" s="165" t="s">
        <v>371</v>
      </c>
      <c r="B343" s="165" t="s">
        <v>390</v>
      </c>
      <c r="C343" s="17" t="s">
        <v>3256</v>
      </c>
      <c r="D343" s="18" t="s">
        <v>3257</v>
      </c>
      <c r="E343" s="17" t="s">
        <v>1685</v>
      </c>
      <c r="F343" s="18" t="s">
        <v>3258</v>
      </c>
      <c r="G343" s="17" t="s">
        <v>1685</v>
      </c>
      <c r="H343" s="18" t="s">
        <v>88</v>
      </c>
      <c r="I343" s="17" t="s">
        <v>1685</v>
      </c>
      <c r="J343" s="18" t="s">
        <v>3259</v>
      </c>
      <c r="K343" s="17" t="s">
        <v>1685</v>
      </c>
      <c r="L343" s="18" t="s">
        <v>3260</v>
      </c>
      <c r="M343" s="17" t="s">
        <v>1685</v>
      </c>
      <c r="N343" s="18" t="s">
        <v>62</v>
      </c>
      <c r="O343" s="17" t="s">
        <v>1685</v>
      </c>
      <c r="P343" s="18" t="s">
        <v>17</v>
      </c>
      <c r="Q343" s="17" t="s">
        <v>1685</v>
      </c>
      <c r="R343" s="17" t="s">
        <v>3261</v>
      </c>
      <c r="S343" s="17" t="s">
        <v>1685</v>
      </c>
      <c r="T343" s="17" t="s">
        <v>17</v>
      </c>
      <c r="U343" s="17" t="s">
        <v>1685</v>
      </c>
      <c r="V343" s="17" t="s">
        <v>17</v>
      </c>
      <c r="W343" s="17"/>
    </row>
    <row r="344" spans="1:23" ht="409.6">
      <c r="A344" s="154"/>
      <c r="B344" s="154"/>
      <c r="C344" s="17" t="s">
        <v>1688</v>
      </c>
      <c r="D344" s="18" t="s">
        <v>3262</v>
      </c>
      <c r="E344" s="17" t="s">
        <v>1688</v>
      </c>
      <c r="F344" s="18" t="s">
        <v>3258</v>
      </c>
      <c r="G344" s="17" t="s">
        <v>1688</v>
      </c>
      <c r="H344" s="18" t="s">
        <v>88</v>
      </c>
      <c r="I344" s="17" t="s">
        <v>1688</v>
      </c>
      <c r="J344" s="18" t="s">
        <v>3263</v>
      </c>
      <c r="K344" s="17" t="s">
        <v>1688</v>
      </c>
      <c r="L344" s="62" t="s">
        <v>3264</v>
      </c>
      <c r="M344" s="17" t="s">
        <v>1688</v>
      </c>
      <c r="N344" s="62" t="s">
        <v>62</v>
      </c>
      <c r="O344" s="17" t="s">
        <v>1688</v>
      </c>
      <c r="P344" s="18" t="s">
        <v>17</v>
      </c>
      <c r="Q344" s="17" t="s">
        <v>1688</v>
      </c>
      <c r="R344" s="17" t="s">
        <v>3265</v>
      </c>
      <c r="S344" s="17" t="s">
        <v>1688</v>
      </c>
      <c r="T344" s="17" t="s">
        <v>17</v>
      </c>
      <c r="U344" s="17" t="s">
        <v>1688</v>
      </c>
      <c r="V344" s="17" t="s">
        <v>3266</v>
      </c>
      <c r="W344" s="17"/>
    </row>
    <row r="345" spans="1:23" ht="409.6">
      <c r="A345" s="156" t="s">
        <v>589</v>
      </c>
      <c r="B345" s="156" t="s">
        <v>1669</v>
      </c>
      <c r="C345" s="17" t="s">
        <v>1675</v>
      </c>
      <c r="D345" s="18" t="s">
        <v>3267</v>
      </c>
      <c r="E345" s="17" t="s">
        <v>1675</v>
      </c>
      <c r="F345" s="18" t="s">
        <v>3268</v>
      </c>
      <c r="G345" s="17" t="s">
        <v>1675</v>
      </c>
      <c r="H345" s="18" t="s">
        <v>29</v>
      </c>
      <c r="I345" s="17" t="s">
        <v>1675</v>
      </c>
      <c r="J345" s="18" t="s">
        <v>3269</v>
      </c>
      <c r="K345" s="17" t="s">
        <v>1675</v>
      </c>
      <c r="L345" s="18" t="s">
        <v>3270</v>
      </c>
      <c r="M345" s="17" t="s">
        <v>1675</v>
      </c>
      <c r="N345" s="18" t="s">
        <v>3271</v>
      </c>
      <c r="O345" s="17" t="s">
        <v>1675</v>
      </c>
      <c r="P345" s="18" t="s">
        <v>204</v>
      </c>
      <c r="Q345" s="17" t="s">
        <v>1675</v>
      </c>
      <c r="R345" s="17" t="s">
        <v>3272</v>
      </c>
      <c r="S345" s="17" t="s">
        <v>1675</v>
      </c>
      <c r="T345" s="17" t="s">
        <v>3273</v>
      </c>
      <c r="U345" s="17" t="s">
        <v>1675</v>
      </c>
      <c r="V345" s="17" t="s">
        <v>3274</v>
      </c>
      <c r="W345" s="17"/>
    </row>
    <row r="346" spans="1:23" ht="409.6">
      <c r="A346" s="156"/>
      <c r="B346" s="156"/>
      <c r="C346" s="17" t="s">
        <v>1681</v>
      </c>
      <c r="D346" s="18" t="s">
        <v>36</v>
      </c>
      <c r="E346" s="17" t="s">
        <v>1681</v>
      </c>
      <c r="F346" s="18" t="s">
        <v>60</v>
      </c>
      <c r="G346" s="17" t="s">
        <v>1681</v>
      </c>
      <c r="H346" s="18" t="s">
        <v>29</v>
      </c>
      <c r="I346" s="17" t="s">
        <v>1681</v>
      </c>
      <c r="J346" s="18" t="s">
        <v>3275</v>
      </c>
      <c r="K346" s="17" t="s">
        <v>1681</v>
      </c>
      <c r="L346" s="18" t="s">
        <v>3276</v>
      </c>
      <c r="M346" s="17" t="s">
        <v>1681</v>
      </c>
      <c r="N346" s="18" t="s">
        <v>3277</v>
      </c>
      <c r="O346" s="17" t="s">
        <v>1681</v>
      </c>
      <c r="P346" s="18" t="s">
        <v>17</v>
      </c>
      <c r="Q346" s="17" t="s">
        <v>1681</v>
      </c>
      <c r="R346" s="17" t="s">
        <v>3278</v>
      </c>
      <c r="S346" s="17" t="s">
        <v>1681</v>
      </c>
      <c r="T346" s="17" t="s">
        <v>17</v>
      </c>
      <c r="U346" s="17" t="s">
        <v>1681</v>
      </c>
      <c r="V346" s="17" t="s">
        <v>17</v>
      </c>
      <c r="W346" s="17"/>
    </row>
    <row r="347" spans="1:23" ht="409.6">
      <c r="A347" s="156"/>
      <c r="B347" s="156"/>
      <c r="C347" s="17" t="s">
        <v>1685</v>
      </c>
      <c r="D347" s="18" t="s">
        <v>36</v>
      </c>
      <c r="E347" s="17" t="s">
        <v>1685</v>
      </c>
      <c r="F347" s="18" t="s">
        <v>60</v>
      </c>
      <c r="G347" s="17" t="s">
        <v>1685</v>
      </c>
      <c r="H347" s="18" t="s">
        <v>3279</v>
      </c>
      <c r="I347" s="17" t="s">
        <v>1685</v>
      </c>
      <c r="J347" s="18" t="s">
        <v>3280</v>
      </c>
      <c r="K347" s="17" t="s">
        <v>1685</v>
      </c>
      <c r="L347" s="18" t="s">
        <v>3281</v>
      </c>
      <c r="M347" s="17" t="s">
        <v>1685</v>
      </c>
      <c r="N347" s="18" t="s">
        <v>3282</v>
      </c>
      <c r="O347" s="17" t="s">
        <v>1685</v>
      </c>
      <c r="P347" s="18" t="s">
        <v>3283</v>
      </c>
      <c r="Q347" s="17" t="s">
        <v>1685</v>
      </c>
      <c r="R347" s="17" t="s">
        <v>3284</v>
      </c>
      <c r="S347" s="17" t="s">
        <v>1685</v>
      </c>
      <c r="T347" s="17" t="s">
        <v>17</v>
      </c>
      <c r="U347" s="17" t="s">
        <v>1685</v>
      </c>
      <c r="V347" s="17" t="s">
        <v>17</v>
      </c>
      <c r="W347" s="17"/>
    </row>
    <row r="348" spans="1:23" ht="409.6">
      <c r="A348" s="156"/>
      <c r="B348" s="156"/>
      <c r="C348" s="17" t="s">
        <v>1688</v>
      </c>
      <c r="D348" s="18" t="s">
        <v>36</v>
      </c>
      <c r="E348" s="17" t="s">
        <v>1688</v>
      </c>
      <c r="F348" s="18" t="s">
        <v>60</v>
      </c>
      <c r="G348" s="17" t="s">
        <v>1688</v>
      </c>
      <c r="H348" s="18" t="s">
        <v>3285</v>
      </c>
      <c r="I348" s="17" t="s">
        <v>1688</v>
      </c>
      <c r="J348" s="18" t="s">
        <v>3286</v>
      </c>
      <c r="K348" s="17" t="s">
        <v>1688</v>
      </c>
      <c r="L348" s="18" t="s">
        <v>3287</v>
      </c>
      <c r="M348" s="17" t="s">
        <v>1688</v>
      </c>
      <c r="N348" s="18" t="s">
        <v>3288</v>
      </c>
      <c r="O348" s="17" t="s">
        <v>1688</v>
      </c>
      <c r="P348" s="18" t="s">
        <v>3289</v>
      </c>
      <c r="Q348" s="17" t="s">
        <v>1688</v>
      </c>
      <c r="R348" s="17" t="s">
        <v>3290</v>
      </c>
      <c r="S348" s="17" t="s">
        <v>1688</v>
      </c>
      <c r="T348" s="17" t="s">
        <v>17</v>
      </c>
      <c r="U348" s="17" t="s">
        <v>1688</v>
      </c>
      <c r="V348" s="17" t="s">
        <v>17</v>
      </c>
      <c r="W348" s="17"/>
    </row>
    <row r="349" spans="1:23" ht="30">
      <c r="A349" s="164" t="s">
        <v>589</v>
      </c>
      <c r="B349" s="164" t="s">
        <v>836</v>
      </c>
      <c r="C349" s="17" t="s">
        <v>1675</v>
      </c>
      <c r="D349" s="18" t="s">
        <v>2282</v>
      </c>
      <c r="E349" s="17"/>
      <c r="F349" s="18"/>
      <c r="G349" s="17"/>
      <c r="H349" s="18"/>
      <c r="I349" s="17"/>
      <c r="J349" s="18"/>
      <c r="K349" s="17"/>
      <c r="L349" s="18"/>
      <c r="M349" s="17"/>
      <c r="N349" s="18"/>
      <c r="O349" s="17"/>
      <c r="P349" s="18"/>
      <c r="Q349" s="17"/>
      <c r="R349" s="17"/>
      <c r="S349" s="17"/>
      <c r="T349" s="17"/>
      <c r="U349" s="17"/>
      <c r="V349" s="17"/>
      <c r="W349" s="17"/>
    </row>
    <row r="350" spans="1:23" ht="409.6">
      <c r="A350" s="164"/>
      <c r="B350" s="164"/>
      <c r="C350" s="17" t="s">
        <v>1681</v>
      </c>
      <c r="D350" s="18" t="s">
        <v>3267</v>
      </c>
      <c r="E350" s="17" t="s">
        <v>1681</v>
      </c>
      <c r="F350" s="18" t="s">
        <v>3291</v>
      </c>
      <c r="G350" s="17" t="s">
        <v>1681</v>
      </c>
      <c r="H350" s="18" t="s">
        <v>29</v>
      </c>
      <c r="I350" s="17" t="s">
        <v>1681</v>
      </c>
      <c r="J350" s="18" t="s">
        <v>3269</v>
      </c>
      <c r="K350" s="17" t="s">
        <v>1681</v>
      </c>
      <c r="L350" s="18" t="s">
        <v>3292</v>
      </c>
      <c r="M350" s="17" t="s">
        <v>1681</v>
      </c>
      <c r="N350" s="18" t="s">
        <v>3293</v>
      </c>
      <c r="O350" s="17" t="s">
        <v>1681</v>
      </c>
      <c r="P350" s="18" t="s">
        <v>3294</v>
      </c>
      <c r="Q350" s="17" t="s">
        <v>1681</v>
      </c>
      <c r="R350" s="17" t="s">
        <v>3295</v>
      </c>
      <c r="S350" s="17" t="s">
        <v>1681</v>
      </c>
      <c r="T350" s="17" t="s">
        <v>3296</v>
      </c>
      <c r="U350" s="17" t="s">
        <v>1681</v>
      </c>
      <c r="V350" s="17" t="s">
        <v>17</v>
      </c>
      <c r="W350" s="17"/>
    </row>
    <row r="351" spans="1:23" ht="409.6">
      <c r="A351" s="164"/>
      <c r="B351" s="164"/>
      <c r="C351" s="17" t="s">
        <v>1685</v>
      </c>
      <c r="D351" s="18" t="s">
        <v>3297</v>
      </c>
      <c r="E351" s="17" t="s">
        <v>1685</v>
      </c>
      <c r="F351" s="18" t="s">
        <v>3298</v>
      </c>
      <c r="G351" s="17" t="s">
        <v>1685</v>
      </c>
      <c r="H351" s="18" t="s">
        <v>88</v>
      </c>
      <c r="I351" s="17" t="s">
        <v>1685</v>
      </c>
      <c r="J351" s="18" t="s">
        <v>3299</v>
      </c>
      <c r="K351" s="17" t="s">
        <v>1685</v>
      </c>
      <c r="L351" s="18" t="s">
        <v>3300</v>
      </c>
      <c r="M351" s="17" t="s">
        <v>1685</v>
      </c>
      <c r="N351" s="18" t="s">
        <v>3301</v>
      </c>
      <c r="O351" s="17" t="s">
        <v>1685</v>
      </c>
      <c r="P351" s="18" t="s">
        <v>3302</v>
      </c>
      <c r="Q351" s="17" t="s">
        <v>1685</v>
      </c>
      <c r="R351" s="17" t="s">
        <v>3303</v>
      </c>
      <c r="S351" s="17" t="s">
        <v>1685</v>
      </c>
      <c r="T351" s="17" t="s">
        <v>17</v>
      </c>
      <c r="U351" s="17" t="s">
        <v>1685</v>
      </c>
      <c r="V351" s="17" t="s">
        <v>3304</v>
      </c>
      <c r="W351" s="17"/>
    </row>
    <row r="352" spans="1:23" ht="409.6">
      <c r="A352" s="164"/>
      <c r="B352" s="164"/>
      <c r="C352" s="17" t="s">
        <v>1688</v>
      </c>
      <c r="D352" s="18" t="s">
        <v>3297</v>
      </c>
      <c r="E352" s="17" t="s">
        <v>1688</v>
      </c>
      <c r="F352" s="18" t="s">
        <v>3305</v>
      </c>
      <c r="G352" s="17" t="s">
        <v>1688</v>
      </c>
      <c r="H352" s="18" t="s">
        <v>3306</v>
      </c>
      <c r="I352" s="17" t="s">
        <v>1688</v>
      </c>
      <c r="J352" s="18" t="s">
        <v>3307</v>
      </c>
      <c r="K352" s="17" t="s">
        <v>1688</v>
      </c>
      <c r="L352" s="18" t="s">
        <v>834</v>
      </c>
      <c r="M352" s="17" t="s">
        <v>1688</v>
      </c>
      <c r="N352" s="18" t="s">
        <v>3308</v>
      </c>
      <c r="O352" s="17" t="s">
        <v>1688</v>
      </c>
      <c r="P352" s="18" t="s">
        <v>3309</v>
      </c>
      <c r="Q352" s="17" t="s">
        <v>1688</v>
      </c>
      <c r="R352" s="17" t="s">
        <v>3310</v>
      </c>
      <c r="S352" s="17" t="s">
        <v>1688</v>
      </c>
      <c r="T352" s="17" t="s">
        <v>17</v>
      </c>
      <c r="U352" s="17" t="s">
        <v>1688</v>
      </c>
      <c r="V352" s="17" t="s">
        <v>17</v>
      </c>
      <c r="W352" s="17"/>
    </row>
    <row r="353" spans="1:23" ht="409.6">
      <c r="A353" s="164" t="s">
        <v>333</v>
      </c>
      <c r="B353" s="164" t="s">
        <v>3311</v>
      </c>
      <c r="C353" s="17" t="s">
        <v>1675</v>
      </c>
      <c r="D353" s="18" t="s">
        <v>3312</v>
      </c>
      <c r="E353" s="17" t="s">
        <v>1675</v>
      </c>
      <c r="F353" s="18" t="s">
        <v>3313</v>
      </c>
      <c r="G353" s="17" t="s">
        <v>1675</v>
      </c>
      <c r="H353" s="18" t="s">
        <v>29</v>
      </c>
      <c r="I353" s="17" t="s">
        <v>1675</v>
      </c>
      <c r="J353" s="18" t="s">
        <v>3314</v>
      </c>
      <c r="K353" s="17" t="s">
        <v>1675</v>
      </c>
      <c r="L353" s="18" t="s">
        <v>3315</v>
      </c>
      <c r="M353" s="17" t="s">
        <v>1675</v>
      </c>
      <c r="N353" s="18" t="s">
        <v>3316</v>
      </c>
      <c r="O353" s="17" t="s">
        <v>1675</v>
      </c>
      <c r="P353" s="18" t="s">
        <v>3317</v>
      </c>
      <c r="Q353" s="17" t="s">
        <v>1675</v>
      </c>
      <c r="R353" s="17" t="s">
        <v>3318</v>
      </c>
      <c r="S353" s="17" t="s">
        <v>1675</v>
      </c>
      <c r="T353" s="17" t="s">
        <v>3319</v>
      </c>
      <c r="U353" s="17" t="s">
        <v>1675</v>
      </c>
      <c r="V353" s="17" t="s">
        <v>17</v>
      </c>
      <c r="W353" s="17"/>
    </row>
    <row r="354" spans="1:23" ht="409.6">
      <c r="A354" s="164"/>
      <c r="B354" s="164"/>
      <c r="C354" s="17" t="s">
        <v>1681</v>
      </c>
      <c r="D354" s="18" t="s">
        <v>75</v>
      </c>
      <c r="E354" s="17" t="s">
        <v>1681</v>
      </c>
      <c r="F354" s="18" t="s">
        <v>430</v>
      </c>
      <c r="G354" s="17" t="s">
        <v>1681</v>
      </c>
      <c r="H354" s="18" t="s">
        <v>29</v>
      </c>
      <c r="I354" s="17" t="s">
        <v>1681</v>
      </c>
      <c r="J354" s="18" t="s">
        <v>3320</v>
      </c>
      <c r="K354" s="17" t="s">
        <v>1681</v>
      </c>
      <c r="L354" s="18" t="s">
        <v>3321</v>
      </c>
      <c r="M354" s="17" t="s">
        <v>1681</v>
      </c>
      <c r="N354" s="18" t="s">
        <v>17</v>
      </c>
      <c r="O354" s="17" t="s">
        <v>1681</v>
      </c>
      <c r="P354" s="18" t="s">
        <v>17</v>
      </c>
      <c r="Q354" s="17" t="s">
        <v>1681</v>
      </c>
      <c r="R354" s="17" t="s">
        <v>3322</v>
      </c>
      <c r="S354" s="17" t="s">
        <v>1681</v>
      </c>
      <c r="T354" s="17" t="s">
        <v>3014</v>
      </c>
      <c r="U354" s="17" t="s">
        <v>1681</v>
      </c>
      <c r="V354" s="17" t="s">
        <v>17</v>
      </c>
      <c r="W354" s="17"/>
    </row>
    <row r="355" spans="1:23" ht="409.6">
      <c r="A355" s="164"/>
      <c r="B355" s="164"/>
      <c r="C355" s="17" t="s">
        <v>1685</v>
      </c>
      <c r="D355" s="18" t="s">
        <v>3323</v>
      </c>
      <c r="E355" s="17" t="s">
        <v>1685</v>
      </c>
      <c r="F355" s="18" t="s">
        <v>3324</v>
      </c>
      <c r="G355" s="17" t="s">
        <v>1685</v>
      </c>
      <c r="H355" s="18" t="s">
        <v>88</v>
      </c>
      <c r="I355" s="17" t="s">
        <v>1685</v>
      </c>
      <c r="J355" s="18" t="s">
        <v>3325</v>
      </c>
      <c r="K355" s="17" t="s">
        <v>1685</v>
      </c>
      <c r="L355" s="18" t="s">
        <v>3326</v>
      </c>
      <c r="M355" s="17" t="s">
        <v>1685</v>
      </c>
      <c r="N355" s="18" t="s">
        <v>3327</v>
      </c>
      <c r="O355" s="17" t="s">
        <v>1685</v>
      </c>
      <c r="P355" s="18" t="s">
        <v>17</v>
      </c>
      <c r="Q355" s="17" t="s">
        <v>1685</v>
      </c>
      <c r="R355" s="17" t="s">
        <v>3328</v>
      </c>
      <c r="S355" s="17" t="s">
        <v>1685</v>
      </c>
      <c r="T355" s="17" t="s">
        <v>17</v>
      </c>
      <c r="U355" s="17" t="s">
        <v>1685</v>
      </c>
      <c r="V355" s="17" t="s">
        <v>17</v>
      </c>
      <c r="W355" s="17"/>
    </row>
    <row r="356" spans="1:23" ht="409.6">
      <c r="A356" s="164"/>
      <c r="B356" s="164"/>
      <c r="C356" s="17" t="s">
        <v>1688</v>
      </c>
      <c r="D356" s="18" t="s">
        <v>648</v>
      </c>
      <c r="E356" s="17" t="s">
        <v>1688</v>
      </c>
      <c r="F356" s="18" t="s">
        <v>17</v>
      </c>
      <c r="G356" s="17" t="s">
        <v>1688</v>
      </c>
      <c r="H356" s="18" t="s">
        <v>88</v>
      </c>
      <c r="I356" s="17" t="s">
        <v>1688</v>
      </c>
      <c r="J356" s="18"/>
      <c r="K356" s="17" t="s">
        <v>1688</v>
      </c>
      <c r="L356" s="18" t="s">
        <v>3329</v>
      </c>
      <c r="M356" s="17" t="s">
        <v>1688</v>
      </c>
      <c r="N356" s="18" t="s">
        <v>3330</v>
      </c>
      <c r="O356" s="17" t="s">
        <v>1688</v>
      </c>
      <c r="P356" s="18" t="s">
        <v>3331</v>
      </c>
      <c r="Q356" s="17" t="s">
        <v>1688</v>
      </c>
      <c r="R356" s="17" t="s">
        <v>3332</v>
      </c>
      <c r="S356" s="17" t="s">
        <v>1688</v>
      </c>
      <c r="T356" s="17" t="s">
        <v>17</v>
      </c>
      <c r="U356" s="17" t="s">
        <v>1688</v>
      </c>
      <c r="V356" s="17" t="s">
        <v>17</v>
      </c>
      <c r="W356" s="17"/>
    </row>
    <row r="357" spans="1:23" ht="330">
      <c r="A357" s="164" t="s">
        <v>1015</v>
      </c>
      <c r="B357" s="164" t="s">
        <v>1668</v>
      </c>
      <c r="C357" s="17" t="s">
        <v>1675</v>
      </c>
      <c r="D357" s="18" t="s">
        <v>3333</v>
      </c>
      <c r="E357" s="17" t="s">
        <v>1675</v>
      </c>
      <c r="F357" s="18" t="s">
        <v>3334</v>
      </c>
      <c r="G357" s="17" t="s">
        <v>1675</v>
      </c>
      <c r="H357" s="18" t="s">
        <v>29</v>
      </c>
      <c r="I357" s="17" t="s">
        <v>1675</v>
      </c>
      <c r="J357" s="18" t="s">
        <v>3335</v>
      </c>
      <c r="K357" s="17" t="s">
        <v>1675</v>
      </c>
      <c r="L357" s="18" t="s">
        <v>3336</v>
      </c>
      <c r="M357" s="17" t="s">
        <v>1675</v>
      </c>
      <c r="N357" s="18" t="s">
        <v>3337</v>
      </c>
      <c r="O357" s="17" t="s">
        <v>1675</v>
      </c>
      <c r="P357" s="18" t="s">
        <v>3338</v>
      </c>
      <c r="Q357" s="17" t="s">
        <v>1675</v>
      </c>
      <c r="R357" s="17" t="s">
        <v>3339</v>
      </c>
      <c r="S357" s="17" t="s">
        <v>1675</v>
      </c>
      <c r="T357" s="17" t="s">
        <v>3340</v>
      </c>
      <c r="U357" s="17" t="s">
        <v>1675</v>
      </c>
      <c r="V357" s="17" t="s">
        <v>3341</v>
      </c>
      <c r="W357" s="17"/>
    </row>
    <row r="358" spans="1:23" ht="409.6">
      <c r="A358" s="164"/>
      <c r="B358" s="164"/>
      <c r="C358" s="17" t="s">
        <v>1681</v>
      </c>
      <c r="D358" s="18" t="s">
        <v>3342</v>
      </c>
      <c r="E358" s="17" t="s">
        <v>1681</v>
      </c>
      <c r="F358" s="18" t="s">
        <v>3343</v>
      </c>
      <c r="G358" s="17" t="s">
        <v>1681</v>
      </c>
      <c r="H358" s="18" t="s">
        <v>29</v>
      </c>
      <c r="I358" s="17" t="s">
        <v>1681</v>
      </c>
      <c r="J358" s="18" t="s">
        <v>3344</v>
      </c>
      <c r="K358" s="17" t="s">
        <v>1681</v>
      </c>
      <c r="L358" s="18" t="s">
        <v>3345</v>
      </c>
      <c r="M358" s="17" t="s">
        <v>1681</v>
      </c>
      <c r="N358" s="18" t="s">
        <v>3346</v>
      </c>
      <c r="O358" s="17" t="s">
        <v>1681</v>
      </c>
      <c r="P358" s="18" t="s">
        <v>3347</v>
      </c>
      <c r="Q358" s="17" t="s">
        <v>1681</v>
      </c>
      <c r="R358" s="17" t="s">
        <v>3348</v>
      </c>
      <c r="S358" s="17" t="s">
        <v>1681</v>
      </c>
      <c r="T358" s="17" t="s">
        <v>3349</v>
      </c>
      <c r="U358" s="17" t="s">
        <v>1681</v>
      </c>
      <c r="V358" s="17" t="s">
        <v>3350</v>
      </c>
      <c r="W358" s="17"/>
    </row>
    <row r="359" spans="1:23" ht="409.6">
      <c r="A359" s="164"/>
      <c r="B359" s="164"/>
      <c r="C359" s="17" t="s">
        <v>1685</v>
      </c>
      <c r="D359" s="18" t="s">
        <v>3351</v>
      </c>
      <c r="E359" s="17" t="s">
        <v>1685</v>
      </c>
      <c r="F359" s="18" t="s">
        <v>3352</v>
      </c>
      <c r="G359" s="17" t="s">
        <v>1685</v>
      </c>
      <c r="H359" s="18" t="s">
        <v>88</v>
      </c>
      <c r="I359" s="17" t="s">
        <v>1685</v>
      </c>
      <c r="J359" s="18" t="s">
        <v>3353</v>
      </c>
      <c r="K359" s="17" t="s">
        <v>1685</v>
      </c>
      <c r="L359" s="18" t="s">
        <v>3354</v>
      </c>
      <c r="M359" s="17" t="s">
        <v>1685</v>
      </c>
      <c r="N359" s="18" t="s">
        <v>3355</v>
      </c>
      <c r="O359" s="17" t="s">
        <v>1685</v>
      </c>
      <c r="P359" s="18" t="s">
        <v>3356</v>
      </c>
      <c r="Q359" s="17" t="s">
        <v>1685</v>
      </c>
      <c r="R359" s="17" t="s">
        <v>3357</v>
      </c>
      <c r="S359" s="17" t="s">
        <v>1685</v>
      </c>
      <c r="T359" s="17" t="s">
        <v>3358</v>
      </c>
      <c r="U359" s="17" t="s">
        <v>1685</v>
      </c>
      <c r="V359" s="17" t="s">
        <v>3359</v>
      </c>
      <c r="W359" s="17"/>
    </row>
    <row r="360" spans="1:23" ht="409.6">
      <c r="A360" s="164"/>
      <c r="B360" s="164"/>
      <c r="C360" s="17" t="s">
        <v>3360</v>
      </c>
      <c r="D360" s="18" t="s">
        <v>3361</v>
      </c>
      <c r="E360" s="17" t="s">
        <v>1688</v>
      </c>
      <c r="F360" s="18" t="s">
        <v>3362</v>
      </c>
      <c r="G360" s="17" t="s">
        <v>1688</v>
      </c>
      <c r="H360" s="18" t="s">
        <v>1562</v>
      </c>
      <c r="I360" s="17" t="s">
        <v>1688</v>
      </c>
      <c r="J360" s="18" t="s">
        <v>3363</v>
      </c>
      <c r="K360" s="17" t="s">
        <v>1688</v>
      </c>
      <c r="L360" s="18" t="s">
        <v>3364</v>
      </c>
      <c r="M360" s="17" t="s">
        <v>1688</v>
      </c>
      <c r="N360" s="18" t="s">
        <v>3365</v>
      </c>
      <c r="O360" s="17" t="s">
        <v>1688</v>
      </c>
      <c r="P360" s="18" t="s">
        <v>3366</v>
      </c>
      <c r="Q360" s="17" t="s">
        <v>1688</v>
      </c>
      <c r="R360" s="17" t="s">
        <v>3367</v>
      </c>
      <c r="S360" s="17" t="s">
        <v>1688</v>
      </c>
      <c r="T360" s="17" t="s">
        <v>3368</v>
      </c>
      <c r="U360" s="17" t="s">
        <v>1688</v>
      </c>
      <c r="V360" s="17" t="s">
        <v>3369</v>
      </c>
      <c r="W360" s="17"/>
    </row>
    <row r="361" spans="1:23" ht="30">
      <c r="A361" s="164" t="s">
        <v>3370</v>
      </c>
      <c r="B361" s="164" t="s">
        <v>1413</v>
      </c>
      <c r="C361" s="17" t="s">
        <v>1675</v>
      </c>
      <c r="D361" s="18" t="s">
        <v>2282</v>
      </c>
      <c r="E361" s="17"/>
      <c r="F361" s="18"/>
      <c r="G361" s="17"/>
      <c r="H361" s="18"/>
      <c r="I361" s="17"/>
      <c r="J361" s="18"/>
      <c r="K361" s="17"/>
      <c r="L361" s="18"/>
      <c r="M361" s="17"/>
      <c r="N361" s="18"/>
      <c r="O361" s="17"/>
      <c r="P361" s="18"/>
      <c r="Q361" s="17"/>
      <c r="R361" s="17"/>
      <c r="S361" s="17"/>
      <c r="T361" s="17"/>
      <c r="U361" s="17"/>
      <c r="V361" s="17"/>
      <c r="W361" s="17"/>
    </row>
    <row r="362" spans="1:23" ht="30">
      <c r="A362" s="164"/>
      <c r="B362" s="164"/>
      <c r="C362" s="17" t="s">
        <v>1681</v>
      </c>
      <c r="D362" s="18" t="s">
        <v>2282</v>
      </c>
      <c r="E362" s="17"/>
      <c r="F362" s="18"/>
      <c r="G362" s="17"/>
      <c r="H362" s="18"/>
      <c r="I362" s="17"/>
      <c r="J362" s="18"/>
      <c r="K362" s="17"/>
      <c r="L362" s="18"/>
      <c r="M362" s="17"/>
      <c r="N362" s="18"/>
      <c r="O362" s="17"/>
      <c r="P362" s="18"/>
      <c r="Q362" s="17"/>
      <c r="R362" s="17"/>
      <c r="S362" s="17"/>
      <c r="T362" s="17"/>
      <c r="U362" s="17"/>
      <c r="V362" s="17"/>
      <c r="W362" s="17"/>
    </row>
    <row r="363" spans="1:23" ht="409.6">
      <c r="A363" s="164"/>
      <c r="B363" s="164"/>
      <c r="C363" s="17" t="s">
        <v>1685</v>
      </c>
      <c r="D363" s="18" t="s">
        <v>3371</v>
      </c>
      <c r="E363" s="17" t="s">
        <v>1685</v>
      </c>
      <c r="F363" s="18" t="s">
        <v>3372</v>
      </c>
      <c r="G363" s="17" t="s">
        <v>1685</v>
      </c>
      <c r="H363" s="18" t="s">
        <v>88</v>
      </c>
      <c r="I363" s="17" t="s">
        <v>1685</v>
      </c>
      <c r="J363" s="18" t="s">
        <v>17</v>
      </c>
      <c r="K363" s="17" t="s">
        <v>1685</v>
      </c>
      <c r="L363" s="18" t="s">
        <v>3373</v>
      </c>
      <c r="M363" s="17" t="s">
        <v>1685</v>
      </c>
      <c r="N363" s="18" t="s">
        <v>17</v>
      </c>
      <c r="O363" s="17" t="s">
        <v>1685</v>
      </c>
      <c r="P363" s="18" t="s">
        <v>3374</v>
      </c>
      <c r="Q363" s="17" t="s">
        <v>1685</v>
      </c>
      <c r="R363" s="17" t="s">
        <v>3375</v>
      </c>
      <c r="S363" s="17" t="s">
        <v>1685</v>
      </c>
      <c r="T363" s="17" t="s">
        <v>17</v>
      </c>
      <c r="U363" s="17" t="s">
        <v>1685</v>
      </c>
      <c r="V363" s="17" t="s">
        <v>17</v>
      </c>
      <c r="W363" s="17"/>
    </row>
    <row r="364" spans="1:23" ht="409.6">
      <c r="A364" s="164"/>
      <c r="B364" s="164"/>
      <c r="C364" s="17" t="s">
        <v>1688</v>
      </c>
      <c r="D364" s="18" t="s">
        <v>52</v>
      </c>
      <c r="E364" s="17" t="s">
        <v>1688</v>
      </c>
      <c r="F364" s="18" t="s">
        <v>1414</v>
      </c>
      <c r="G364" s="17" t="s">
        <v>1688</v>
      </c>
      <c r="H364" s="18" t="s">
        <v>17</v>
      </c>
      <c r="I364" s="17" t="s">
        <v>1688</v>
      </c>
      <c r="J364" s="18" t="s">
        <v>17</v>
      </c>
      <c r="K364" s="17" t="s">
        <v>1688</v>
      </c>
      <c r="L364" s="18" t="s">
        <v>3376</v>
      </c>
      <c r="M364" s="17" t="s">
        <v>1688</v>
      </c>
      <c r="N364" s="18" t="s">
        <v>17</v>
      </c>
      <c r="O364" s="17" t="s">
        <v>1688</v>
      </c>
      <c r="P364" s="18" t="s">
        <v>17</v>
      </c>
      <c r="Q364" s="17" t="s">
        <v>1688</v>
      </c>
      <c r="R364" s="17" t="s">
        <v>3377</v>
      </c>
      <c r="S364" s="17" t="s">
        <v>1688</v>
      </c>
      <c r="T364" s="17" t="s">
        <v>3378</v>
      </c>
      <c r="U364" s="17" t="s">
        <v>1688</v>
      </c>
      <c r="V364" s="17" t="s">
        <v>3379</v>
      </c>
      <c r="W364" s="17"/>
    </row>
    <row r="365" spans="1:23" ht="409.6">
      <c r="A365" s="164" t="s">
        <v>653</v>
      </c>
      <c r="B365" s="164" t="s">
        <v>654</v>
      </c>
      <c r="C365" s="17" t="s">
        <v>1675</v>
      </c>
      <c r="D365" s="18" t="s">
        <v>3380</v>
      </c>
      <c r="E365" s="17" t="s">
        <v>1675</v>
      </c>
      <c r="F365" s="18" t="s">
        <v>17</v>
      </c>
      <c r="G365" s="17" t="s">
        <v>1675</v>
      </c>
      <c r="H365" s="18" t="s">
        <v>29</v>
      </c>
      <c r="I365" s="17" t="s">
        <v>1675</v>
      </c>
      <c r="J365" s="18" t="s">
        <v>17</v>
      </c>
      <c r="K365" s="17" t="s">
        <v>1675</v>
      </c>
      <c r="L365" s="18" t="s">
        <v>3381</v>
      </c>
      <c r="M365" s="17" t="s">
        <v>1675</v>
      </c>
      <c r="N365" s="18" t="s">
        <v>17</v>
      </c>
      <c r="O365" s="17" t="s">
        <v>1675</v>
      </c>
      <c r="P365" s="18" t="s">
        <v>17</v>
      </c>
      <c r="Q365" s="17" t="s">
        <v>1675</v>
      </c>
      <c r="R365" s="17" t="s">
        <v>3382</v>
      </c>
      <c r="S365" s="17" t="s">
        <v>1675</v>
      </c>
      <c r="T365" s="17" t="s">
        <v>3383</v>
      </c>
      <c r="U365" s="17" t="s">
        <v>1675</v>
      </c>
      <c r="V365" s="17" t="s">
        <v>3384</v>
      </c>
      <c r="W365" s="17"/>
    </row>
    <row r="366" spans="1:23" ht="409.6">
      <c r="A366" s="164"/>
      <c r="B366" s="164"/>
      <c r="C366" s="17" t="s">
        <v>1681</v>
      </c>
      <c r="D366" s="18" t="s">
        <v>3385</v>
      </c>
      <c r="E366" s="17" t="s">
        <v>1681</v>
      </c>
      <c r="F366" s="18" t="s">
        <v>17</v>
      </c>
      <c r="G366" s="17" t="s">
        <v>1681</v>
      </c>
      <c r="H366" s="18" t="s">
        <v>29</v>
      </c>
      <c r="I366" s="17" t="s">
        <v>1681</v>
      </c>
      <c r="J366" s="18" t="s">
        <v>17</v>
      </c>
      <c r="K366" s="17" t="s">
        <v>1681</v>
      </c>
      <c r="L366" s="18" t="s">
        <v>3386</v>
      </c>
      <c r="M366" s="17" t="s">
        <v>1681</v>
      </c>
      <c r="N366" s="18" t="s">
        <v>17</v>
      </c>
      <c r="O366" s="17" t="s">
        <v>1681</v>
      </c>
      <c r="P366" s="18" t="s">
        <v>17</v>
      </c>
      <c r="Q366" s="17" t="s">
        <v>1681</v>
      </c>
      <c r="R366" s="17" t="s">
        <v>3387</v>
      </c>
      <c r="S366" s="17" t="s">
        <v>1681</v>
      </c>
      <c r="T366" s="17" t="s">
        <v>3388</v>
      </c>
      <c r="U366" s="17" t="s">
        <v>1681</v>
      </c>
      <c r="V366" s="17" t="s">
        <v>3389</v>
      </c>
      <c r="W366" s="17"/>
    </row>
    <row r="367" spans="1:23" ht="409.6">
      <c r="A367" s="164"/>
      <c r="B367" s="164"/>
      <c r="C367" s="17" t="s">
        <v>1685</v>
      </c>
      <c r="D367" s="18" t="s">
        <v>3390</v>
      </c>
      <c r="E367" s="17" t="s">
        <v>1685</v>
      </c>
      <c r="F367" s="18" t="s">
        <v>3391</v>
      </c>
      <c r="G367" s="17" t="s">
        <v>1685</v>
      </c>
      <c r="H367" s="18" t="s">
        <v>88</v>
      </c>
      <c r="I367" s="17" t="s">
        <v>1685</v>
      </c>
      <c r="J367" s="18" t="s">
        <v>3392</v>
      </c>
      <c r="K367" s="17" t="s">
        <v>1685</v>
      </c>
      <c r="L367" s="18" t="s">
        <v>3393</v>
      </c>
      <c r="M367" s="17" t="s">
        <v>1685</v>
      </c>
      <c r="N367" s="18" t="s">
        <v>3394</v>
      </c>
      <c r="O367" s="17" t="s">
        <v>1685</v>
      </c>
      <c r="P367" s="18" t="s">
        <v>17</v>
      </c>
      <c r="Q367" s="17" t="s">
        <v>1685</v>
      </c>
      <c r="R367" s="17" t="s">
        <v>3395</v>
      </c>
      <c r="S367" s="17" t="s">
        <v>1685</v>
      </c>
      <c r="T367" s="17" t="s">
        <v>17</v>
      </c>
      <c r="U367" s="17" t="s">
        <v>1685</v>
      </c>
      <c r="V367" s="17" t="s">
        <v>3396</v>
      </c>
      <c r="W367" s="17"/>
    </row>
    <row r="368" spans="1:23" ht="409.6">
      <c r="A368" s="164"/>
      <c r="B368" s="164"/>
      <c r="C368" s="17" t="s">
        <v>1688</v>
      </c>
      <c r="D368" s="18" t="s">
        <v>3390</v>
      </c>
      <c r="E368" s="17" t="s">
        <v>1688</v>
      </c>
      <c r="F368" s="18" t="s">
        <v>3391</v>
      </c>
      <c r="G368" s="17" t="s">
        <v>1688</v>
      </c>
      <c r="H368" s="18" t="s">
        <v>657</v>
      </c>
      <c r="I368" s="17" t="s">
        <v>1688</v>
      </c>
      <c r="J368" s="18" t="s">
        <v>658</v>
      </c>
      <c r="K368" s="17" t="s">
        <v>1688</v>
      </c>
      <c r="L368" s="18" t="s">
        <v>3397</v>
      </c>
      <c r="M368" s="17" t="s">
        <v>1688</v>
      </c>
      <c r="N368" s="18" t="s">
        <v>660</v>
      </c>
      <c r="O368" s="17" t="s">
        <v>1688</v>
      </c>
      <c r="P368" s="17" t="s">
        <v>17</v>
      </c>
      <c r="Q368" s="17" t="s">
        <v>1688</v>
      </c>
      <c r="R368" s="17" t="s">
        <v>3398</v>
      </c>
      <c r="S368" s="17" t="s">
        <v>1688</v>
      </c>
      <c r="T368" s="17" t="s">
        <v>17</v>
      </c>
      <c r="U368" s="17" t="s">
        <v>1688</v>
      </c>
      <c r="V368" s="17" t="s">
        <v>3399</v>
      </c>
      <c r="W368" s="17"/>
    </row>
    <row r="369" spans="1:23" ht="30">
      <c r="A369" s="164" t="s">
        <v>589</v>
      </c>
      <c r="B369" s="164" t="s">
        <v>952</v>
      </c>
      <c r="C369" s="17" t="s">
        <v>1675</v>
      </c>
      <c r="D369" s="18" t="s">
        <v>2282</v>
      </c>
      <c r="E369" s="17"/>
      <c r="F369" s="18"/>
      <c r="G369" s="17"/>
      <c r="H369" s="18"/>
      <c r="I369" s="17"/>
      <c r="J369" s="18"/>
      <c r="K369" s="17"/>
      <c r="L369" s="18"/>
      <c r="M369" s="17"/>
      <c r="N369" s="18"/>
      <c r="O369" s="17"/>
      <c r="P369" s="18"/>
      <c r="Q369" s="17"/>
      <c r="R369" s="17"/>
      <c r="S369" s="17"/>
      <c r="T369" s="17"/>
      <c r="U369" s="17"/>
      <c r="V369" s="17"/>
      <c r="W369" s="17"/>
    </row>
    <row r="370" spans="1:23" ht="30">
      <c r="A370" s="164"/>
      <c r="B370" s="164"/>
      <c r="C370" s="17" t="s">
        <v>1681</v>
      </c>
      <c r="D370" s="18" t="s">
        <v>2282</v>
      </c>
      <c r="E370" s="17"/>
      <c r="F370" s="18"/>
      <c r="G370" s="17"/>
      <c r="H370" s="18"/>
      <c r="I370" s="17"/>
      <c r="J370" s="18"/>
      <c r="K370" s="17"/>
      <c r="L370" s="18"/>
      <c r="M370" s="17"/>
      <c r="N370" s="18"/>
      <c r="O370" s="17"/>
      <c r="P370" s="18"/>
      <c r="Q370" s="17"/>
      <c r="R370" s="17"/>
      <c r="S370" s="17"/>
      <c r="T370" s="17"/>
      <c r="U370" s="17"/>
      <c r="V370" s="17"/>
      <c r="W370" s="17"/>
    </row>
    <row r="371" spans="1:23" ht="409.6">
      <c r="A371" s="164"/>
      <c r="B371" s="164"/>
      <c r="C371" s="17" t="s">
        <v>1685</v>
      </c>
      <c r="D371" s="18" t="s">
        <v>36</v>
      </c>
      <c r="E371" s="17" t="s">
        <v>1685</v>
      </c>
      <c r="F371" s="18" t="s">
        <v>60</v>
      </c>
      <c r="G371" s="17" t="s">
        <v>1685</v>
      </c>
      <c r="H371" s="18" t="s">
        <v>3400</v>
      </c>
      <c r="I371" s="17" t="s">
        <v>1685</v>
      </c>
      <c r="J371" s="18" t="s">
        <v>3401</v>
      </c>
      <c r="K371" s="17" t="s">
        <v>1685</v>
      </c>
      <c r="L371" s="18" t="s">
        <v>3402</v>
      </c>
      <c r="M371" s="17" t="s">
        <v>1685</v>
      </c>
      <c r="N371" s="18" t="s">
        <v>3282</v>
      </c>
      <c r="O371" s="17" t="s">
        <v>1685</v>
      </c>
      <c r="P371" s="18" t="s">
        <v>3403</v>
      </c>
      <c r="Q371" s="17" t="s">
        <v>1685</v>
      </c>
      <c r="R371" s="17" t="s">
        <v>3404</v>
      </c>
      <c r="S371" s="17" t="s">
        <v>1685</v>
      </c>
      <c r="T371" s="17" t="s">
        <v>3405</v>
      </c>
      <c r="U371" s="17" t="s">
        <v>1685</v>
      </c>
      <c r="V371" s="17" t="s">
        <v>17</v>
      </c>
      <c r="W371" s="17"/>
    </row>
    <row r="372" spans="1:23" ht="409.6">
      <c r="A372" s="164"/>
      <c r="B372" s="164"/>
      <c r="C372" s="17" t="s">
        <v>1688</v>
      </c>
      <c r="D372" s="18" t="s">
        <v>36</v>
      </c>
      <c r="E372" s="17" t="s">
        <v>1688</v>
      </c>
      <c r="F372" s="18" t="s">
        <v>60</v>
      </c>
      <c r="G372" s="17" t="s">
        <v>1688</v>
      </c>
      <c r="H372" s="18" t="s">
        <v>88</v>
      </c>
      <c r="I372" s="17" t="s">
        <v>1688</v>
      </c>
      <c r="J372" s="18" t="s">
        <v>17</v>
      </c>
      <c r="K372" s="17" t="s">
        <v>1688</v>
      </c>
      <c r="L372" s="18" t="s">
        <v>3406</v>
      </c>
      <c r="M372" s="17" t="s">
        <v>1688</v>
      </c>
      <c r="N372" s="18" t="s">
        <v>3407</v>
      </c>
      <c r="O372" s="17" t="s">
        <v>1688</v>
      </c>
      <c r="P372" s="18" t="s">
        <v>3408</v>
      </c>
      <c r="Q372" s="17" t="s">
        <v>1688</v>
      </c>
      <c r="R372" s="17" t="s">
        <v>3409</v>
      </c>
      <c r="S372" s="17" t="s">
        <v>1688</v>
      </c>
      <c r="T372" s="17" t="s">
        <v>3410</v>
      </c>
      <c r="U372" s="17" t="s">
        <v>1688</v>
      </c>
      <c r="V372" s="17" t="s">
        <v>17</v>
      </c>
      <c r="W372" s="17"/>
    </row>
    <row r="373" spans="1:23">
      <c r="A373" s="164" t="s">
        <v>589</v>
      </c>
      <c r="B373" s="164" t="s">
        <v>785</v>
      </c>
      <c r="C373" s="17" t="s">
        <v>1675</v>
      </c>
      <c r="D373" s="18" t="s">
        <v>1957</v>
      </c>
      <c r="E373" s="17"/>
      <c r="F373" s="18"/>
      <c r="G373" s="17"/>
      <c r="H373" s="18"/>
      <c r="I373" s="17"/>
      <c r="J373" s="18"/>
      <c r="K373" s="17"/>
      <c r="L373" s="18"/>
      <c r="M373" s="17"/>
      <c r="N373" s="18"/>
      <c r="O373" s="17"/>
      <c r="P373" s="18"/>
      <c r="Q373" s="17"/>
      <c r="R373" s="17"/>
      <c r="S373" s="17"/>
      <c r="T373" s="17"/>
      <c r="U373" s="17"/>
      <c r="V373" s="17"/>
      <c r="W373" s="17"/>
    </row>
    <row r="374" spans="1:23" ht="409.6">
      <c r="A374" s="164"/>
      <c r="B374" s="164"/>
      <c r="C374" s="17" t="s">
        <v>1681</v>
      </c>
      <c r="D374" s="18" t="s">
        <v>3411</v>
      </c>
      <c r="E374" s="17" t="s">
        <v>1681</v>
      </c>
      <c r="F374" s="18" t="s">
        <v>3412</v>
      </c>
      <c r="G374" s="17" t="s">
        <v>1681</v>
      </c>
      <c r="H374" s="18" t="s">
        <v>29</v>
      </c>
      <c r="I374" s="17" t="s">
        <v>1681</v>
      </c>
      <c r="J374" s="18" t="s">
        <v>3413</v>
      </c>
      <c r="K374" s="17" t="s">
        <v>1681</v>
      </c>
      <c r="L374" s="18" t="s">
        <v>3414</v>
      </c>
      <c r="M374" s="17" t="s">
        <v>1681</v>
      </c>
      <c r="N374" s="18" t="s">
        <v>3415</v>
      </c>
      <c r="O374" s="17" t="s">
        <v>1681</v>
      </c>
      <c r="P374" s="18" t="s">
        <v>17</v>
      </c>
      <c r="Q374" s="17" t="s">
        <v>1681</v>
      </c>
      <c r="R374" s="17" t="s">
        <v>3416</v>
      </c>
      <c r="S374" s="17" t="s">
        <v>1681</v>
      </c>
      <c r="T374" s="17" t="s">
        <v>3417</v>
      </c>
      <c r="U374" s="17" t="s">
        <v>1681</v>
      </c>
      <c r="V374" s="17" t="s">
        <v>17</v>
      </c>
      <c r="W374" s="17"/>
    </row>
    <row r="375" spans="1:23" ht="409.6">
      <c r="A375" s="164"/>
      <c r="B375" s="164"/>
      <c r="C375" s="17" t="s">
        <v>1685</v>
      </c>
      <c r="D375" s="18" t="s">
        <v>3411</v>
      </c>
      <c r="E375" s="17" t="s">
        <v>1685</v>
      </c>
      <c r="F375" s="18" t="s">
        <v>3412</v>
      </c>
      <c r="G375" s="17" t="s">
        <v>1685</v>
      </c>
      <c r="H375" s="18" t="s">
        <v>17</v>
      </c>
      <c r="I375" s="17" t="s">
        <v>1685</v>
      </c>
      <c r="J375" s="18" t="s">
        <v>3418</v>
      </c>
      <c r="K375" s="17" t="s">
        <v>1685</v>
      </c>
      <c r="L375" s="18" t="s">
        <v>3419</v>
      </c>
      <c r="M375" s="17" t="s">
        <v>1685</v>
      </c>
      <c r="N375" s="18" t="s">
        <v>3420</v>
      </c>
      <c r="O375" s="17" t="s">
        <v>1685</v>
      </c>
      <c r="P375" s="18" t="s">
        <v>3421</v>
      </c>
      <c r="Q375" s="17" t="s">
        <v>1685</v>
      </c>
      <c r="R375" s="17" t="s">
        <v>3422</v>
      </c>
      <c r="S375" s="17" t="s">
        <v>1685</v>
      </c>
      <c r="T375" s="17" t="s">
        <v>3410</v>
      </c>
      <c r="U375" s="17" t="s">
        <v>1685</v>
      </c>
      <c r="V375" s="17" t="s">
        <v>17</v>
      </c>
      <c r="W375" s="17"/>
    </row>
    <row r="376" spans="1:23" ht="409.6">
      <c r="A376" s="164"/>
      <c r="B376" s="164"/>
      <c r="C376" s="17" t="s">
        <v>1688</v>
      </c>
      <c r="D376" s="18" t="s">
        <v>36</v>
      </c>
      <c r="E376" s="17" t="s">
        <v>1688</v>
      </c>
      <c r="F376" s="18" t="s">
        <v>60</v>
      </c>
      <c r="G376" s="17" t="s">
        <v>1688</v>
      </c>
      <c r="H376" s="18" t="s">
        <v>88</v>
      </c>
      <c r="I376" s="17" t="s">
        <v>1688</v>
      </c>
      <c r="J376" s="18" t="s">
        <v>17</v>
      </c>
      <c r="K376" s="17" t="s">
        <v>1688</v>
      </c>
      <c r="L376" s="17" t="s">
        <v>787</v>
      </c>
      <c r="M376" s="17" t="s">
        <v>1688</v>
      </c>
      <c r="N376" s="18" t="s">
        <v>468</v>
      </c>
      <c r="O376" s="17" t="s">
        <v>1688</v>
      </c>
      <c r="P376" s="18" t="s">
        <v>17</v>
      </c>
      <c r="Q376" s="17" t="s">
        <v>1688</v>
      </c>
      <c r="R376" s="17" t="s">
        <v>3423</v>
      </c>
      <c r="S376" s="17" t="s">
        <v>1688</v>
      </c>
      <c r="T376" s="17" t="s">
        <v>17</v>
      </c>
      <c r="U376" s="17" t="s">
        <v>1688</v>
      </c>
      <c r="V376" s="17" t="s">
        <v>17</v>
      </c>
      <c r="W376" s="17"/>
    </row>
    <row r="377" spans="1:23" ht="60">
      <c r="A377" s="164" t="s">
        <v>50</v>
      </c>
      <c r="B377" s="164" t="s">
        <v>201</v>
      </c>
      <c r="C377" s="17" t="s">
        <v>1675</v>
      </c>
      <c r="D377" s="18" t="s">
        <v>3424</v>
      </c>
      <c r="E377" s="17" t="s">
        <v>1675</v>
      </c>
      <c r="F377" s="18" t="s">
        <v>3424</v>
      </c>
      <c r="G377" s="17" t="s">
        <v>1675</v>
      </c>
      <c r="H377" s="18" t="s">
        <v>3424</v>
      </c>
      <c r="I377" s="17" t="s">
        <v>1675</v>
      </c>
      <c r="J377" s="18" t="s">
        <v>3424</v>
      </c>
      <c r="K377" s="17" t="s">
        <v>1675</v>
      </c>
      <c r="L377" s="18" t="s">
        <v>3425</v>
      </c>
      <c r="M377" s="17" t="s">
        <v>1675</v>
      </c>
      <c r="N377" s="18" t="s">
        <v>3426</v>
      </c>
      <c r="O377" s="17" t="s">
        <v>1675</v>
      </c>
      <c r="P377" s="18" t="s">
        <v>3424</v>
      </c>
      <c r="Q377" s="17" t="s">
        <v>1675</v>
      </c>
      <c r="R377" s="17" t="s">
        <v>3424</v>
      </c>
      <c r="S377" s="17" t="s">
        <v>1675</v>
      </c>
      <c r="T377" s="17" t="s">
        <v>3424</v>
      </c>
      <c r="U377" s="17" t="s">
        <v>1675</v>
      </c>
      <c r="V377" s="17" t="s">
        <v>17</v>
      </c>
      <c r="W377" s="17"/>
    </row>
    <row r="378" spans="1:23" ht="409.6">
      <c r="A378" s="164"/>
      <c r="B378" s="164"/>
      <c r="C378" s="17" t="s">
        <v>1681</v>
      </c>
      <c r="D378" s="18" t="s">
        <v>271</v>
      </c>
      <c r="E378" s="17" t="s">
        <v>1681</v>
      </c>
      <c r="F378" s="18" t="s">
        <v>60</v>
      </c>
      <c r="G378" s="17" t="s">
        <v>1681</v>
      </c>
      <c r="H378" s="18" t="s">
        <v>29</v>
      </c>
      <c r="I378" s="17" t="s">
        <v>1681</v>
      </c>
      <c r="J378" s="18" t="s">
        <v>3427</v>
      </c>
      <c r="K378" s="17" t="s">
        <v>1681</v>
      </c>
      <c r="L378" s="18" t="s">
        <v>3428</v>
      </c>
      <c r="M378" s="17" t="s">
        <v>1681</v>
      </c>
      <c r="N378" s="18" t="s">
        <v>3429</v>
      </c>
      <c r="O378" s="17" t="s">
        <v>1681</v>
      </c>
      <c r="P378" s="18" t="s">
        <v>3430</v>
      </c>
      <c r="Q378" s="17" t="s">
        <v>1681</v>
      </c>
      <c r="R378" s="17" t="s">
        <v>3431</v>
      </c>
      <c r="S378" s="17" t="s">
        <v>1681</v>
      </c>
      <c r="T378" s="17" t="s">
        <v>3432</v>
      </c>
      <c r="U378" s="17" t="s">
        <v>1681</v>
      </c>
      <c r="V378" s="17" t="s">
        <v>17</v>
      </c>
      <c r="W378" s="17"/>
    </row>
    <row r="379" spans="1:23" ht="409.6">
      <c r="A379" s="164"/>
      <c r="B379" s="164"/>
      <c r="C379" s="17" t="s">
        <v>1688</v>
      </c>
      <c r="D379" s="18" t="s">
        <v>3433</v>
      </c>
      <c r="E379" s="17" t="s">
        <v>1688</v>
      </c>
      <c r="F379" s="18" t="s">
        <v>60</v>
      </c>
      <c r="G379" s="17" t="s">
        <v>1688</v>
      </c>
      <c r="H379" s="18" t="s">
        <v>88</v>
      </c>
      <c r="I379" s="17" t="s">
        <v>1688</v>
      </c>
      <c r="J379" s="18" t="s">
        <v>3434</v>
      </c>
      <c r="K379" s="17" t="s">
        <v>1688</v>
      </c>
      <c r="L379" s="18" t="s">
        <v>3435</v>
      </c>
      <c r="M379" s="17" t="s">
        <v>1688</v>
      </c>
      <c r="N379" s="18" t="s">
        <v>3436</v>
      </c>
      <c r="O379" s="17" t="s">
        <v>1688</v>
      </c>
      <c r="P379" s="18" t="s">
        <v>17</v>
      </c>
      <c r="Q379" s="17" t="s">
        <v>1688</v>
      </c>
      <c r="R379" s="17" t="s">
        <v>3437</v>
      </c>
      <c r="S379" s="17" t="s">
        <v>1688</v>
      </c>
      <c r="T379" s="17" t="s">
        <v>17</v>
      </c>
      <c r="U379" s="17" t="s">
        <v>1688</v>
      </c>
      <c r="V379" s="17" t="s">
        <v>17</v>
      </c>
      <c r="W379" s="17"/>
    </row>
    <row r="380" spans="1:23" ht="30">
      <c r="A380" s="164" t="s">
        <v>13</v>
      </c>
      <c r="B380" s="164" t="s">
        <v>804</v>
      </c>
      <c r="C380" s="17" t="s">
        <v>1675</v>
      </c>
      <c r="D380" s="18" t="s">
        <v>2282</v>
      </c>
      <c r="E380" s="17"/>
      <c r="F380" s="18"/>
      <c r="G380" s="17"/>
      <c r="H380" s="18"/>
      <c r="I380" s="17"/>
      <c r="J380" s="18"/>
      <c r="K380" s="17"/>
      <c r="L380" s="18"/>
      <c r="M380" s="17"/>
      <c r="N380" s="18"/>
      <c r="O380" s="17"/>
      <c r="P380" s="18"/>
      <c r="Q380" s="17"/>
      <c r="R380" s="17"/>
      <c r="S380" s="17"/>
      <c r="T380" s="17"/>
      <c r="U380" s="17"/>
      <c r="V380" s="17"/>
      <c r="W380" s="17"/>
    </row>
    <row r="381" spans="1:23" ht="409.6">
      <c r="A381" s="164"/>
      <c r="B381" s="164"/>
      <c r="C381" s="17" t="s">
        <v>1681</v>
      </c>
      <c r="D381" s="18" t="s">
        <v>3438</v>
      </c>
      <c r="E381" s="17" t="s">
        <v>1681</v>
      </c>
      <c r="F381" s="18" t="s">
        <v>60</v>
      </c>
      <c r="G381" s="17" t="s">
        <v>1681</v>
      </c>
      <c r="H381" s="18" t="s">
        <v>29</v>
      </c>
      <c r="I381" s="17" t="s">
        <v>1681</v>
      </c>
      <c r="J381" s="18" t="s">
        <v>3439</v>
      </c>
      <c r="K381" s="17" t="s">
        <v>1681</v>
      </c>
      <c r="L381" s="18" t="s">
        <v>3440</v>
      </c>
      <c r="M381" s="17" t="s">
        <v>1681</v>
      </c>
      <c r="N381" s="18" t="s">
        <v>3441</v>
      </c>
      <c r="O381" s="17" t="s">
        <v>1681</v>
      </c>
      <c r="P381" s="18" t="s">
        <v>3442</v>
      </c>
      <c r="Q381" s="17" t="s">
        <v>1681</v>
      </c>
      <c r="R381" s="17" t="s">
        <v>3443</v>
      </c>
      <c r="S381" s="17" t="s">
        <v>1681</v>
      </c>
      <c r="T381" s="17" t="s">
        <v>3444</v>
      </c>
      <c r="U381" s="17" t="s">
        <v>1681</v>
      </c>
      <c r="V381" s="17" t="s">
        <v>17</v>
      </c>
      <c r="W381" s="17"/>
    </row>
    <row r="382" spans="1:23" ht="409.6">
      <c r="A382" s="164"/>
      <c r="B382" s="164"/>
      <c r="C382" s="17" t="s">
        <v>1685</v>
      </c>
      <c r="D382" s="18" t="s">
        <v>3438</v>
      </c>
      <c r="E382" s="17" t="s">
        <v>1685</v>
      </c>
      <c r="F382" s="18" t="s">
        <v>60</v>
      </c>
      <c r="G382" s="17" t="s">
        <v>1685</v>
      </c>
      <c r="H382" s="18" t="s">
        <v>88</v>
      </c>
      <c r="I382" s="17" t="s">
        <v>1685</v>
      </c>
      <c r="J382" s="18" t="s">
        <v>3445</v>
      </c>
      <c r="K382" s="17" t="s">
        <v>1685</v>
      </c>
      <c r="L382" s="18" t="s">
        <v>3446</v>
      </c>
      <c r="M382" s="17" t="s">
        <v>1685</v>
      </c>
      <c r="N382" s="18" t="s">
        <v>17</v>
      </c>
      <c r="O382" s="17" t="s">
        <v>1685</v>
      </c>
      <c r="P382" s="18" t="s">
        <v>17</v>
      </c>
      <c r="Q382" s="17" t="s">
        <v>1685</v>
      </c>
      <c r="R382" s="17" t="s">
        <v>3447</v>
      </c>
      <c r="S382" s="17" t="s">
        <v>1685</v>
      </c>
      <c r="T382" s="17" t="s">
        <v>17</v>
      </c>
      <c r="U382" s="17" t="s">
        <v>1685</v>
      </c>
      <c r="V382" s="17" t="s">
        <v>17</v>
      </c>
      <c r="W382" s="17"/>
    </row>
    <row r="383" spans="1:23" ht="409.6">
      <c r="A383" s="164"/>
      <c r="B383" s="164"/>
      <c r="C383" s="17" t="s">
        <v>1688</v>
      </c>
      <c r="D383" s="18" t="s">
        <v>36</v>
      </c>
      <c r="E383" s="17" t="s">
        <v>1688</v>
      </c>
      <c r="F383" s="18" t="s">
        <v>60</v>
      </c>
      <c r="G383" s="17" t="s">
        <v>1688</v>
      </c>
      <c r="H383" s="18" t="s">
        <v>88</v>
      </c>
      <c r="I383" s="17" t="s">
        <v>1688</v>
      </c>
      <c r="J383" s="18" t="s">
        <v>805</v>
      </c>
      <c r="K383" s="17" t="s">
        <v>1688</v>
      </c>
      <c r="L383" s="18" t="s">
        <v>3448</v>
      </c>
      <c r="M383" s="17" t="s">
        <v>1688</v>
      </c>
      <c r="N383" s="18" t="s">
        <v>3449</v>
      </c>
      <c r="O383" s="17" t="s">
        <v>1688</v>
      </c>
      <c r="P383" s="18" t="s">
        <v>17</v>
      </c>
      <c r="Q383" s="17" t="s">
        <v>1688</v>
      </c>
      <c r="R383" s="17" t="s">
        <v>3450</v>
      </c>
      <c r="S383" s="17" t="s">
        <v>1688</v>
      </c>
      <c r="T383" s="18" t="s">
        <v>17</v>
      </c>
      <c r="U383" s="17" t="s">
        <v>1688</v>
      </c>
      <c r="V383" s="18" t="s">
        <v>17</v>
      </c>
      <c r="W383" s="17"/>
    </row>
    <row r="384" spans="1:23" ht="30">
      <c r="A384" s="164" t="s">
        <v>245</v>
      </c>
      <c r="B384" s="164" t="s">
        <v>116</v>
      </c>
      <c r="C384" s="17" t="s">
        <v>1675</v>
      </c>
      <c r="D384" s="18" t="s">
        <v>2282</v>
      </c>
      <c r="E384" s="17"/>
      <c r="F384" s="18"/>
      <c r="G384" s="17"/>
      <c r="H384" s="18"/>
      <c r="I384" s="17"/>
      <c r="J384" s="18"/>
      <c r="K384" s="17"/>
      <c r="L384" s="18"/>
      <c r="M384" s="17"/>
      <c r="N384" s="18"/>
      <c r="O384" s="17"/>
      <c r="P384" s="18"/>
      <c r="Q384" s="17"/>
      <c r="R384" s="17"/>
      <c r="S384" s="17"/>
      <c r="T384" s="17"/>
      <c r="U384" s="17"/>
      <c r="V384" s="17"/>
      <c r="W384" s="17"/>
    </row>
    <row r="385" spans="1:23" ht="409.6">
      <c r="A385" s="164"/>
      <c r="B385" s="164"/>
      <c r="C385" s="17" t="s">
        <v>1681</v>
      </c>
      <c r="D385" s="18" t="s">
        <v>271</v>
      </c>
      <c r="E385" s="17" t="s">
        <v>1681</v>
      </c>
      <c r="F385" s="18" t="s">
        <v>60</v>
      </c>
      <c r="G385" s="17" t="s">
        <v>1681</v>
      </c>
      <c r="H385" s="18" t="s">
        <v>29</v>
      </c>
      <c r="I385" s="17" t="s">
        <v>1681</v>
      </c>
      <c r="J385" s="18" t="s">
        <v>3451</v>
      </c>
      <c r="K385" s="17" t="s">
        <v>1681</v>
      </c>
      <c r="L385" s="18" t="s">
        <v>3452</v>
      </c>
      <c r="M385" s="17" t="s">
        <v>1681</v>
      </c>
      <c r="N385" s="18" t="s">
        <v>3453</v>
      </c>
      <c r="O385" s="17" t="s">
        <v>1681</v>
      </c>
      <c r="P385" s="18" t="s">
        <v>17</v>
      </c>
      <c r="Q385" s="17" t="s">
        <v>1681</v>
      </c>
      <c r="R385" s="17" t="s">
        <v>3454</v>
      </c>
      <c r="S385" s="17" t="s">
        <v>1681</v>
      </c>
      <c r="T385" s="17" t="s">
        <v>3455</v>
      </c>
      <c r="U385" s="17" t="s">
        <v>1681</v>
      </c>
      <c r="V385" s="17" t="s">
        <v>17</v>
      </c>
      <c r="W385" s="17"/>
    </row>
    <row r="386" spans="1:23" ht="409.6">
      <c r="A386" s="164"/>
      <c r="B386" s="164"/>
      <c r="C386" s="17" t="s">
        <v>1685</v>
      </c>
      <c r="D386" s="18" t="s">
        <v>271</v>
      </c>
      <c r="E386" s="17" t="s">
        <v>1685</v>
      </c>
      <c r="F386" s="18" t="s">
        <v>60</v>
      </c>
      <c r="G386" s="17" t="s">
        <v>1685</v>
      </c>
      <c r="H386" s="18" t="s">
        <v>3456</v>
      </c>
      <c r="I386" s="17" t="s">
        <v>1685</v>
      </c>
      <c r="J386" s="18" t="s">
        <v>3457</v>
      </c>
      <c r="K386" s="17" t="s">
        <v>1685</v>
      </c>
      <c r="L386" s="18" t="s">
        <v>3458</v>
      </c>
      <c r="M386" s="17" t="s">
        <v>1685</v>
      </c>
      <c r="N386" s="18" t="s">
        <v>3456</v>
      </c>
      <c r="O386" s="17" t="s">
        <v>1685</v>
      </c>
      <c r="P386" s="18" t="s">
        <v>17</v>
      </c>
      <c r="Q386" s="17" t="s">
        <v>1685</v>
      </c>
      <c r="R386" s="17" t="s">
        <v>3459</v>
      </c>
      <c r="S386" s="17" t="s">
        <v>1685</v>
      </c>
      <c r="T386" s="17" t="s">
        <v>3460</v>
      </c>
      <c r="U386" s="17" t="s">
        <v>1685</v>
      </c>
      <c r="V386" s="17" t="s">
        <v>17</v>
      </c>
      <c r="W386" s="17"/>
    </row>
    <row r="387" spans="1:23" ht="409.6">
      <c r="A387" s="164"/>
      <c r="B387" s="164"/>
      <c r="C387" s="17" t="s">
        <v>1688</v>
      </c>
      <c r="D387" s="18" t="s">
        <v>271</v>
      </c>
      <c r="E387" s="17" t="s">
        <v>1688</v>
      </c>
      <c r="F387" s="18" t="s">
        <v>246</v>
      </c>
      <c r="G387" s="17" t="s">
        <v>1688</v>
      </c>
      <c r="H387" s="18" t="s">
        <v>3461</v>
      </c>
      <c r="I387" s="17" t="s">
        <v>1688</v>
      </c>
      <c r="J387" s="18" t="s">
        <v>3457</v>
      </c>
      <c r="K387" s="17" t="s">
        <v>1688</v>
      </c>
      <c r="L387" s="18" t="s">
        <v>3462</v>
      </c>
      <c r="M387" s="17" t="s">
        <v>1688</v>
      </c>
      <c r="N387" s="18" t="s">
        <v>3456</v>
      </c>
      <c r="O387" s="17" t="s">
        <v>1688</v>
      </c>
      <c r="P387" s="18" t="s">
        <v>17</v>
      </c>
      <c r="Q387" s="17" t="s">
        <v>1688</v>
      </c>
      <c r="R387" s="17" t="s">
        <v>3463</v>
      </c>
      <c r="S387" s="17" t="s">
        <v>1688</v>
      </c>
      <c r="T387" s="17" t="s">
        <v>3464</v>
      </c>
      <c r="U387" s="17" t="s">
        <v>1688</v>
      </c>
      <c r="V387" s="17" t="s">
        <v>17</v>
      </c>
      <c r="W387" s="17"/>
    </row>
    <row r="388" spans="1:23" ht="30">
      <c r="A388" s="164" t="s">
        <v>309</v>
      </c>
      <c r="B388" s="164" t="s">
        <v>390</v>
      </c>
      <c r="C388" s="17" t="s">
        <v>1675</v>
      </c>
      <c r="D388" s="18" t="s">
        <v>2282</v>
      </c>
      <c r="E388" s="17"/>
      <c r="F388" s="18"/>
      <c r="G388" s="17"/>
      <c r="H388" s="18"/>
      <c r="I388" s="17"/>
      <c r="J388" s="18"/>
      <c r="K388" s="17"/>
      <c r="L388" s="18"/>
      <c r="M388" s="17"/>
      <c r="N388" s="18"/>
      <c r="O388" s="17"/>
      <c r="P388" s="18"/>
      <c r="Q388" s="17"/>
      <c r="R388" s="17"/>
      <c r="S388" s="17"/>
      <c r="T388" s="17"/>
      <c r="U388" s="17"/>
      <c r="V388" s="17"/>
      <c r="W388" s="17"/>
    </row>
    <row r="389" spans="1:23" ht="409.6">
      <c r="A389" s="164"/>
      <c r="B389" s="164"/>
      <c r="C389" s="17" t="s">
        <v>1681</v>
      </c>
      <c r="D389" s="18" t="s">
        <v>3465</v>
      </c>
      <c r="E389" s="17" t="s">
        <v>1681</v>
      </c>
      <c r="F389" s="18" t="s">
        <v>3465</v>
      </c>
      <c r="G389" s="17" t="s">
        <v>1681</v>
      </c>
      <c r="H389" s="18" t="s">
        <v>29</v>
      </c>
      <c r="I389" s="17" t="s">
        <v>1681</v>
      </c>
      <c r="J389" s="18" t="s">
        <v>3466</v>
      </c>
      <c r="K389" s="17" t="s">
        <v>1681</v>
      </c>
      <c r="L389" s="18" t="s">
        <v>3467</v>
      </c>
      <c r="M389" s="17" t="s">
        <v>1681</v>
      </c>
      <c r="N389" s="18" t="s">
        <v>3468</v>
      </c>
      <c r="O389" s="17" t="s">
        <v>1681</v>
      </c>
      <c r="P389" s="18" t="s">
        <v>17</v>
      </c>
      <c r="Q389" s="17" t="s">
        <v>1681</v>
      </c>
      <c r="R389" s="17" t="s">
        <v>3469</v>
      </c>
      <c r="S389" s="17" t="s">
        <v>1681</v>
      </c>
      <c r="T389" s="17" t="s">
        <v>3465</v>
      </c>
      <c r="U389" s="17" t="s">
        <v>1681</v>
      </c>
      <c r="V389" s="17" t="s">
        <v>3470</v>
      </c>
      <c r="W389" s="17"/>
    </row>
    <row r="390" spans="1:23" ht="409.6">
      <c r="A390" s="164"/>
      <c r="B390" s="164"/>
      <c r="C390" s="17" t="s">
        <v>1685</v>
      </c>
      <c r="D390" s="18" t="s">
        <v>3471</v>
      </c>
      <c r="E390" s="17" t="s">
        <v>1685</v>
      </c>
      <c r="F390" s="18" t="s">
        <v>1791</v>
      </c>
      <c r="G390" s="17" t="s">
        <v>1685</v>
      </c>
      <c r="H390" s="18" t="s">
        <v>88</v>
      </c>
      <c r="I390" s="17" t="s">
        <v>1685</v>
      </c>
      <c r="J390" s="18" t="s">
        <v>3472</v>
      </c>
      <c r="K390" s="17" t="s">
        <v>1685</v>
      </c>
      <c r="L390" s="18" t="s">
        <v>3473</v>
      </c>
      <c r="M390" s="17" t="s">
        <v>1685</v>
      </c>
      <c r="N390" s="18" t="s">
        <v>1801</v>
      </c>
      <c r="O390" s="17" t="s">
        <v>1685</v>
      </c>
      <c r="P390" s="18" t="s">
        <v>17</v>
      </c>
      <c r="Q390" s="17" t="s">
        <v>1685</v>
      </c>
      <c r="R390" s="17" t="s">
        <v>3474</v>
      </c>
      <c r="S390" s="17" t="s">
        <v>1685</v>
      </c>
      <c r="T390" s="17" t="s">
        <v>3475</v>
      </c>
      <c r="U390" s="17" t="s">
        <v>1685</v>
      </c>
      <c r="V390" s="20" t="s">
        <v>3476</v>
      </c>
      <c r="W390" s="17"/>
    </row>
    <row r="391" spans="1:23" ht="409.6">
      <c r="A391" s="164"/>
      <c r="B391" s="164"/>
      <c r="C391" s="17" t="s">
        <v>1688</v>
      </c>
      <c r="D391" s="43" t="s">
        <v>3477</v>
      </c>
      <c r="E391" s="17" t="s">
        <v>1688</v>
      </c>
      <c r="F391" s="18" t="s">
        <v>1791</v>
      </c>
      <c r="G391" s="17" t="s">
        <v>1688</v>
      </c>
      <c r="H391" s="18" t="s">
        <v>29</v>
      </c>
      <c r="I391" s="17" t="s">
        <v>1688</v>
      </c>
      <c r="J391" s="18" t="s">
        <v>3478</v>
      </c>
      <c r="K391" s="17" t="s">
        <v>1688</v>
      </c>
      <c r="L391" s="18" t="s">
        <v>3479</v>
      </c>
      <c r="M391" s="17" t="s">
        <v>1688</v>
      </c>
      <c r="N391" s="18" t="s">
        <v>1809</v>
      </c>
      <c r="O391" s="17" t="s">
        <v>1688</v>
      </c>
      <c r="P391" s="18" t="s">
        <v>17</v>
      </c>
      <c r="Q391" s="17" t="s">
        <v>1688</v>
      </c>
      <c r="R391" s="17" t="s">
        <v>3480</v>
      </c>
      <c r="S391" s="17" t="s">
        <v>1688</v>
      </c>
      <c r="T391" s="17" t="s">
        <v>3481</v>
      </c>
      <c r="U391" s="17" t="s">
        <v>1688</v>
      </c>
      <c r="V391" s="20" t="s">
        <v>3482</v>
      </c>
      <c r="W391" s="17"/>
    </row>
    <row r="392" spans="1:23" ht="30">
      <c r="A392" s="161" t="s">
        <v>2190</v>
      </c>
      <c r="B392" s="161" t="s">
        <v>345</v>
      </c>
      <c r="C392" s="63" t="s">
        <v>1675</v>
      </c>
      <c r="D392" s="64" t="s">
        <v>3483</v>
      </c>
      <c r="E392" s="63" t="s">
        <v>1675</v>
      </c>
      <c r="F392" s="64"/>
      <c r="G392" s="63" t="s">
        <v>1675</v>
      </c>
      <c r="H392" s="64"/>
      <c r="I392" s="63" t="s">
        <v>1675</v>
      </c>
      <c r="J392" s="64"/>
      <c r="K392" s="63" t="s">
        <v>1675</v>
      </c>
      <c r="L392" s="64"/>
      <c r="M392" s="63" t="s">
        <v>1675</v>
      </c>
      <c r="N392" s="64"/>
      <c r="O392" s="63" t="s">
        <v>1675</v>
      </c>
      <c r="P392" s="64"/>
      <c r="Q392" s="63" t="s">
        <v>1675</v>
      </c>
      <c r="R392" s="63"/>
      <c r="S392" s="63" t="s">
        <v>1675</v>
      </c>
      <c r="T392" s="63"/>
      <c r="U392" s="63" t="s">
        <v>1675</v>
      </c>
      <c r="V392" s="63"/>
      <c r="W392" s="17"/>
    </row>
    <row r="393" spans="1:23" ht="409.6">
      <c r="A393" s="162"/>
      <c r="B393" s="162"/>
      <c r="C393" s="63" t="s">
        <v>1681</v>
      </c>
      <c r="D393" s="64" t="s">
        <v>3484</v>
      </c>
      <c r="E393" s="63" t="s">
        <v>1681</v>
      </c>
      <c r="F393" s="64" t="s">
        <v>3485</v>
      </c>
      <c r="G393" s="63" t="s">
        <v>1681</v>
      </c>
      <c r="H393" s="64" t="s">
        <v>29</v>
      </c>
      <c r="I393" s="63" t="s">
        <v>1681</v>
      </c>
      <c r="J393" s="64" t="s">
        <v>3486</v>
      </c>
      <c r="K393" s="63" t="s">
        <v>1681</v>
      </c>
      <c r="L393" s="64" t="s">
        <v>3487</v>
      </c>
      <c r="M393" s="63" t="s">
        <v>1681</v>
      </c>
      <c r="N393" s="64" t="s">
        <v>3488</v>
      </c>
      <c r="O393" s="63" t="s">
        <v>1681</v>
      </c>
      <c r="P393" s="64" t="s">
        <v>17</v>
      </c>
      <c r="Q393" s="63" t="s">
        <v>1681</v>
      </c>
      <c r="R393" s="63" t="s">
        <v>3489</v>
      </c>
      <c r="S393" s="63" t="s">
        <v>1681</v>
      </c>
      <c r="T393" s="63" t="s">
        <v>3490</v>
      </c>
      <c r="U393" s="63" t="s">
        <v>1681</v>
      </c>
      <c r="V393" s="63" t="s">
        <v>17</v>
      </c>
      <c r="W393" s="17"/>
    </row>
    <row r="394" spans="1:23" ht="375">
      <c r="A394" s="162"/>
      <c r="B394" s="162"/>
      <c r="C394" s="63" t="s">
        <v>1685</v>
      </c>
      <c r="D394" s="64" t="s">
        <v>3491</v>
      </c>
      <c r="E394" s="63" t="s">
        <v>1685</v>
      </c>
      <c r="F394" s="64" t="s">
        <v>3492</v>
      </c>
      <c r="G394" s="63" t="s">
        <v>1685</v>
      </c>
      <c r="H394" s="64" t="s">
        <v>88</v>
      </c>
      <c r="I394" s="63" t="s">
        <v>1685</v>
      </c>
      <c r="J394" s="64" t="s">
        <v>3493</v>
      </c>
      <c r="K394" s="63" t="s">
        <v>1685</v>
      </c>
      <c r="L394" s="64" t="s">
        <v>3494</v>
      </c>
      <c r="M394" s="63" t="s">
        <v>1685</v>
      </c>
      <c r="N394" s="64" t="s">
        <v>17</v>
      </c>
      <c r="O394" s="63" t="s">
        <v>1685</v>
      </c>
      <c r="P394" s="64" t="s">
        <v>17</v>
      </c>
      <c r="Q394" s="63" t="s">
        <v>1685</v>
      </c>
      <c r="R394" s="63" t="s">
        <v>3495</v>
      </c>
      <c r="S394" s="63" t="s">
        <v>1685</v>
      </c>
      <c r="T394" s="63" t="s">
        <v>17</v>
      </c>
      <c r="U394" s="63" t="s">
        <v>1685</v>
      </c>
      <c r="V394" s="63" t="s">
        <v>3496</v>
      </c>
      <c r="W394" s="17"/>
    </row>
    <row r="395" spans="1:23" ht="409.6">
      <c r="A395" s="163"/>
      <c r="B395" s="163"/>
      <c r="C395" s="63" t="s">
        <v>1688</v>
      </c>
      <c r="D395" s="64" t="s">
        <v>3491</v>
      </c>
      <c r="E395" s="63" t="s">
        <v>1688</v>
      </c>
      <c r="F395" s="64" t="s">
        <v>3497</v>
      </c>
      <c r="G395" s="63" t="s">
        <v>1688</v>
      </c>
      <c r="H395" s="64" t="s">
        <v>3498</v>
      </c>
      <c r="I395" s="63" t="s">
        <v>1688</v>
      </c>
      <c r="J395" s="64" t="s">
        <v>17</v>
      </c>
      <c r="K395" s="63" t="s">
        <v>1688</v>
      </c>
      <c r="L395" s="64" t="s">
        <v>3499</v>
      </c>
      <c r="M395" s="63" t="s">
        <v>1688</v>
      </c>
      <c r="N395" s="65">
        <v>44378</v>
      </c>
      <c r="O395" s="63" t="s">
        <v>1688</v>
      </c>
      <c r="P395" s="64" t="s">
        <v>17</v>
      </c>
      <c r="Q395" s="63" t="s">
        <v>1688</v>
      </c>
      <c r="R395" s="63" t="s">
        <v>3500</v>
      </c>
      <c r="S395" s="63" t="s">
        <v>1688</v>
      </c>
      <c r="T395" s="63" t="s">
        <v>3501</v>
      </c>
      <c r="U395" s="63" t="s">
        <v>1688</v>
      </c>
      <c r="V395" s="63" t="s">
        <v>17</v>
      </c>
      <c r="W395" s="17"/>
    </row>
    <row r="396" spans="1:23" ht="30">
      <c r="A396" s="160" t="s">
        <v>309</v>
      </c>
      <c r="B396" s="160" t="s">
        <v>785</v>
      </c>
      <c r="C396" s="63" t="s">
        <v>1675</v>
      </c>
      <c r="D396" s="64" t="s">
        <v>3483</v>
      </c>
      <c r="E396" s="63" t="s">
        <v>1675</v>
      </c>
      <c r="F396" s="64"/>
      <c r="G396" s="63" t="s">
        <v>1675</v>
      </c>
      <c r="H396" s="64"/>
      <c r="I396" s="63" t="s">
        <v>1675</v>
      </c>
      <c r="J396" s="64"/>
      <c r="K396" s="63" t="s">
        <v>1675</v>
      </c>
      <c r="L396" s="64"/>
      <c r="M396" s="63" t="s">
        <v>1675</v>
      </c>
      <c r="N396" s="64"/>
      <c r="O396" s="63" t="s">
        <v>1675</v>
      </c>
      <c r="P396" s="64"/>
      <c r="Q396" s="63" t="s">
        <v>1675</v>
      </c>
      <c r="R396" s="63"/>
      <c r="S396" s="63" t="s">
        <v>1675</v>
      </c>
      <c r="T396" s="63"/>
      <c r="U396" s="63" t="s">
        <v>1675</v>
      </c>
      <c r="V396" s="63"/>
      <c r="W396" s="17"/>
    </row>
    <row r="397" spans="1:23" ht="409.6">
      <c r="A397" s="160"/>
      <c r="B397" s="160"/>
      <c r="C397" s="63" t="s">
        <v>1681</v>
      </c>
      <c r="D397" s="64" t="s">
        <v>3502</v>
      </c>
      <c r="E397" s="63" t="s">
        <v>1681</v>
      </c>
      <c r="F397" s="64" t="s">
        <v>491</v>
      </c>
      <c r="G397" s="63" t="s">
        <v>1681</v>
      </c>
      <c r="H397" s="64" t="s">
        <v>29</v>
      </c>
      <c r="I397" s="63" t="s">
        <v>1681</v>
      </c>
      <c r="J397" s="64" t="s">
        <v>3503</v>
      </c>
      <c r="K397" s="63" t="s">
        <v>1681</v>
      </c>
      <c r="L397" s="64" t="s">
        <v>3504</v>
      </c>
      <c r="M397" s="63" t="s">
        <v>1681</v>
      </c>
      <c r="N397" s="64" t="s">
        <v>3505</v>
      </c>
      <c r="O397" s="63" t="s">
        <v>1681</v>
      </c>
      <c r="P397" s="64" t="s">
        <v>493</v>
      </c>
      <c r="Q397" s="63" t="s">
        <v>1681</v>
      </c>
      <c r="R397" s="63" t="s">
        <v>3506</v>
      </c>
      <c r="S397" s="63" t="s">
        <v>1681</v>
      </c>
      <c r="T397" s="63" t="s">
        <v>3507</v>
      </c>
      <c r="U397" s="63" t="s">
        <v>1681</v>
      </c>
      <c r="V397" s="63" t="s">
        <v>3508</v>
      </c>
      <c r="W397" s="17"/>
    </row>
    <row r="398" spans="1:23" ht="270">
      <c r="A398" s="160"/>
      <c r="B398" s="160"/>
      <c r="C398" s="63" t="s">
        <v>1685</v>
      </c>
      <c r="D398" s="64" t="s">
        <v>3509</v>
      </c>
      <c r="E398" s="63" t="s">
        <v>1685</v>
      </c>
      <c r="F398" s="64" t="s">
        <v>947</v>
      </c>
      <c r="G398" s="63" t="s">
        <v>1685</v>
      </c>
      <c r="H398" s="64" t="s">
        <v>29</v>
      </c>
      <c r="I398" s="63" t="s">
        <v>1685</v>
      </c>
      <c r="J398" s="64" t="s">
        <v>3510</v>
      </c>
      <c r="K398" s="63" t="s">
        <v>1685</v>
      </c>
      <c r="L398" s="64" t="s">
        <v>3511</v>
      </c>
      <c r="M398" s="63" t="s">
        <v>1685</v>
      </c>
      <c r="N398" s="64" t="s">
        <v>3512</v>
      </c>
      <c r="O398" s="63" t="s">
        <v>1685</v>
      </c>
      <c r="P398" s="64" t="s">
        <v>493</v>
      </c>
      <c r="Q398" s="63" t="s">
        <v>1685</v>
      </c>
      <c r="R398" s="63" t="s">
        <v>17</v>
      </c>
      <c r="S398" s="63" t="s">
        <v>1685</v>
      </c>
      <c r="T398" s="63" t="s">
        <v>3513</v>
      </c>
      <c r="U398" s="63" t="s">
        <v>1685</v>
      </c>
      <c r="V398" s="63" t="s">
        <v>17</v>
      </c>
      <c r="W398" s="17"/>
    </row>
    <row r="399" spans="1:23" ht="409.6">
      <c r="A399" s="160"/>
      <c r="B399" s="160"/>
      <c r="C399" s="63" t="s">
        <v>1688</v>
      </c>
      <c r="D399" s="64" t="s">
        <v>3502</v>
      </c>
      <c r="E399" s="63" t="s">
        <v>1688</v>
      </c>
      <c r="F399" s="64" t="s">
        <v>491</v>
      </c>
      <c r="G399" s="63" t="s">
        <v>1688</v>
      </c>
      <c r="H399" s="64" t="s">
        <v>29</v>
      </c>
      <c r="I399" s="63" t="s">
        <v>1688</v>
      </c>
      <c r="J399" s="64" t="s">
        <v>3514</v>
      </c>
      <c r="K399" s="63" t="s">
        <v>1688</v>
      </c>
      <c r="L399" s="64" t="s">
        <v>3515</v>
      </c>
      <c r="M399" s="63" t="s">
        <v>1688</v>
      </c>
      <c r="N399" s="64" t="s">
        <v>3516</v>
      </c>
      <c r="O399" s="63" t="s">
        <v>1688</v>
      </c>
      <c r="P399" s="64" t="s">
        <v>493</v>
      </c>
      <c r="Q399" s="63" t="s">
        <v>1688</v>
      </c>
      <c r="R399" s="63" t="s">
        <v>3517</v>
      </c>
      <c r="S399" s="63" t="s">
        <v>1688</v>
      </c>
      <c r="T399" s="63" t="s">
        <v>3518</v>
      </c>
      <c r="U399" s="63" t="s">
        <v>1688</v>
      </c>
      <c r="V399" s="63" t="s">
        <v>17</v>
      </c>
      <c r="W399" s="17"/>
    </row>
    <row r="400" spans="1:23" ht="30">
      <c r="A400" s="160" t="s">
        <v>954</v>
      </c>
      <c r="B400" s="160" t="s">
        <v>74</v>
      </c>
      <c r="C400" s="63" t="s">
        <v>1675</v>
      </c>
      <c r="D400" s="64" t="s">
        <v>3483</v>
      </c>
      <c r="E400" s="63" t="s">
        <v>1675</v>
      </c>
      <c r="F400" s="64"/>
      <c r="G400" s="63" t="s">
        <v>1675</v>
      </c>
      <c r="H400" s="64"/>
      <c r="I400" s="63" t="s">
        <v>1675</v>
      </c>
      <c r="J400" s="64"/>
      <c r="K400" s="63" t="s">
        <v>1675</v>
      </c>
      <c r="L400" s="64"/>
      <c r="M400" s="63" t="s">
        <v>1675</v>
      </c>
      <c r="N400" s="64"/>
      <c r="O400" s="63" t="s">
        <v>1675</v>
      </c>
      <c r="P400" s="64"/>
      <c r="Q400" s="63" t="s">
        <v>1675</v>
      </c>
      <c r="R400" s="63"/>
      <c r="S400" s="63" t="s">
        <v>1675</v>
      </c>
      <c r="T400" s="63"/>
      <c r="U400" s="63" t="s">
        <v>1675</v>
      </c>
      <c r="V400" s="63"/>
      <c r="W400" s="17"/>
    </row>
    <row r="401" spans="1:23" ht="30">
      <c r="A401" s="160"/>
      <c r="B401" s="160"/>
      <c r="C401" s="63" t="s">
        <v>1681</v>
      </c>
      <c r="D401" s="64" t="s">
        <v>3483</v>
      </c>
      <c r="E401" s="63" t="s">
        <v>1681</v>
      </c>
      <c r="F401" s="64"/>
      <c r="G401" s="63" t="s">
        <v>1681</v>
      </c>
      <c r="H401" s="64"/>
      <c r="I401" s="63" t="s">
        <v>1681</v>
      </c>
      <c r="J401" s="64"/>
      <c r="K401" s="63" t="s">
        <v>1681</v>
      </c>
      <c r="L401" s="64"/>
      <c r="M401" s="63" t="s">
        <v>1681</v>
      </c>
      <c r="N401" s="64"/>
      <c r="O401" s="63" t="s">
        <v>1681</v>
      </c>
      <c r="P401" s="64"/>
      <c r="Q401" s="63" t="s">
        <v>1681</v>
      </c>
      <c r="R401" s="63"/>
      <c r="S401" s="63" t="s">
        <v>1681</v>
      </c>
      <c r="T401" s="63"/>
      <c r="U401" s="63" t="s">
        <v>1681</v>
      </c>
      <c r="V401" s="63"/>
      <c r="W401" s="17"/>
    </row>
    <row r="402" spans="1:23" ht="409.6">
      <c r="A402" s="160"/>
      <c r="B402" s="160"/>
      <c r="C402" s="63" t="s">
        <v>1685</v>
      </c>
      <c r="D402" s="64" t="s">
        <v>36</v>
      </c>
      <c r="E402" s="63" t="s">
        <v>1685</v>
      </c>
      <c r="F402" s="64" t="s">
        <v>60</v>
      </c>
      <c r="G402" s="63" t="s">
        <v>1685</v>
      </c>
      <c r="H402" s="64" t="s">
        <v>88</v>
      </c>
      <c r="I402" s="63" t="s">
        <v>1685</v>
      </c>
      <c r="J402" s="64" t="s">
        <v>3519</v>
      </c>
      <c r="K402" s="63" t="s">
        <v>1685</v>
      </c>
      <c r="L402" s="64" t="s">
        <v>3520</v>
      </c>
      <c r="M402" s="63" t="s">
        <v>1685</v>
      </c>
      <c r="N402" s="64" t="s">
        <v>3521</v>
      </c>
      <c r="O402" s="63" t="s">
        <v>1685</v>
      </c>
      <c r="P402" s="64" t="s">
        <v>17</v>
      </c>
      <c r="Q402" s="63" t="s">
        <v>1685</v>
      </c>
      <c r="R402" s="63" t="s">
        <v>3522</v>
      </c>
      <c r="S402" s="63" t="s">
        <v>1685</v>
      </c>
      <c r="T402" s="63" t="s">
        <v>17</v>
      </c>
      <c r="U402" s="63" t="s">
        <v>1685</v>
      </c>
      <c r="V402" s="63" t="s">
        <v>17</v>
      </c>
      <c r="W402" s="17"/>
    </row>
    <row r="403" spans="1:23" ht="409.6">
      <c r="A403" s="160"/>
      <c r="B403" s="160"/>
      <c r="C403" s="63" t="s">
        <v>1688</v>
      </c>
      <c r="D403" s="64" t="s">
        <v>36</v>
      </c>
      <c r="E403" s="63" t="s">
        <v>1688</v>
      </c>
      <c r="F403" s="64" t="s">
        <v>60</v>
      </c>
      <c r="G403" s="63" t="s">
        <v>1688</v>
      </c>
      <c r="H403" s="64" t="s">
        <v>88</v>
      </c>
      <c r="I403" s="63" t="s">
        <v>1688</v>
      </c>
      <c r="J403" s="64" t="s">
        <v>3523</v>
      </c>
      <c r="K403" s="63" t="s">
        <v>1688</v>
      </c>
      <c r="L403" s="64" t="s">
        <v>3524</v>
      </c>
      <c r="M403" s="63" t="s">
        <v>1688</v>
      </c>
      <c r="N403" s="64" t="s">
        <v>3525</v>
      </c>
      <c r="O403" s="63" t="s">
        <v>1688</v>
      </c>
      <c r="P403" s="64" t="s">
        <v>17</v>
      </c>
      <c r="Q403" s="63" t="s">
        <v>1688</v>
      </c>
      <c r="R403" s="63" t="s">
        <v>3526</v>
      </c>
      <c r="S403" s="63" t="s">
        <v>1688</v>
      </c>
      <c r="T403" s="63" t="s">
        <v>17</v>
      </c>
      <c r="U403" s="63" t="s">
        <v>1688</v>
      </c>
      <c r="V403" s="63" t="s">
        <v>17</v>
      </c>
      <c r="W403" s="17"/>
    </row>
    <row r="404" spans="1:23" ht="30">
      <c r="A404" s="160" t="s">
        <v>3527</v>
      </c>
      <c r="B404" s="160" t="s">
        <v>74</v>
      </c>
      <c r="C404" s="63" t="s">
        <v>1675</v>
      </c>
      <c r="D404" s="64" t="s">
        <v>3483</v>
      </c>
      <c r="E404" s="63" t="s">
        <v>1675</v>
      </c>
      <c r="F404" s="64"/>
      <c r="G404" s="63" t="s">
        <v>1675</v>
      </c>
      <c r="H404" s="64"/>
      <c r="I404" s="63" t="s">
        <v>1675</v>
      </c>
      <c r="J404" s="64"/>
      <c r="K404" s="63" t="s">
        <v>1675</v>
      </c>
      <c r="L404" s="64"/>
      <c r="M404" s="63" t="s">
        <v>1675</v>
      </c>
      <c r="N404" s="64"/>
      <c r="O404" s="63" t="s">
        <v>1675</v>
      </c>
      <c r="P404" s="64"/>
      <c r="Q404" s="63" t="s">
        <v>1675</v>
      </c>
      <c r="R404" s="63"/>
      <c r="S404" s="63" t="s">
        <v>1675</v>
      </c>
      <c r="T404" s="63"/>
      <c r="U404" s="63" t="s">
        <v>1675</v>
      </c>
      <c r="V404" s="63"/>
      <c r="W404" s="17"/>
    </row>
    <row r="405" spans="1:23" ht="409.6">
      <c r="A405" s="160"/>
      <c r="B405" s="160"/>
      <c r="C405" s="63" t="s">
        <v>1681</v>
      </c>
      <c r="D405" s="64" t="s">
        <v>3528</v>
      </c>
      <c r="E405" s="63" t="s">
        <v>1681</v>
      </c>
      <c r="F405" s="64" t="s">
        <v>3529</v>
      </c>
      <c r="G405" s="63" t="s">
        <v>1681</v>
      </c>
      <c r="H405" s="64" t="s">
        <v>29</v>
      </c>
      <c r="I405" s="63" t="s">
        <v>1681</v>
      </c>
      <c r="J405" s="64" t="s">
        <v>3530</v>
      </c>
      <c r="K405" s="63" t="s">
        <v>1681</v>
      </c>
      <c r="L405" s="64" t="s">
        <v>3531</v>
      </c>
      <c r="M405" s="63" t="s">
        <v>1681</v>
      </c>
      <c r="N405" s="64" t="s">
        <v>3532</v>
      </c>
      <c r="O405" s="63" t="s">
        <v>1681</v>
      </c>
      <c r="P405" s="64">
        <v>20</v>
      </c>
      <c r="Q405" s="63" t="s">
        <v>1681</v>
      </c>
      <c r="R405" s="63" t="s">
        <v>3533</v>
      </c>
      <c r="S405" s="63" t="s">
        <v>1681</v>
      </c>
      <c r="T405" s="63" t="s">
        <v>3534</v>
      </c>
      <c r="U405" s="63" t="s">
        <v>1681</v>
      </c>
      <c r="V405" s="63" t="s">
        <v>17</v>
      </c>
      <c r="W405" s="17"/>
    </row>
    <row r="406" spans="1:23" ht="409.6">
      <c r="A406" s="160"/>
      <c r="B406" s="160"/>
      <c r="C406" s="63" t="s">
        <v>1685</v>
      </c>
      <c r="D406" s="64" t="s">
        <v>3535</v>
      </c>
      <c r="E406" s="63" t="s">
        <v>1685</v>
      </c>
      <c r="F406" s="64" t="s">
        <v>3536</v>
      </c>
      <c r="G406" s="63" t="s">
        <v>1685</v>
      </c>
      <c r="H406" s="64" t="s">
        <v>88</v>
      </c>
      <c r="I406" s="63" t="s">
        <v>1685</v>
      </c>
      <c r="J406" s="64" t="s">
        <v>3537</v>
      </c>
      <c r="K406" s="63" t="s">
        <v>1685</v>
      </c>
      <c r="L406" s="64" t="s">
        <v>3538</v>
      </c>
      <c r="M406" s="63" t="s">
        <v>1685</v>
      </c>
      <c r="N406" s="64" t="s">
        <v>2681</v>
      </c>
      <c r="O406" s="63" t="s">
        <v>1685</v>
      </c>
      <c r="P406" s="64">
        <v>20</v>
      </c>
      <c r="Q406" s="63" t="s">
        <v>1685</v>
      </c>
      <c r="R406" s="63" t="s">
        <v>3539</v>
      </c>
      <c r="S406" s="63" t="s">
        <v>1685</v>
      </c>
      <c r="T406" s="63" t="s">
        <v>17</v>
      </c>
      <c r="U406" s="63" t="s">
        <v>1685</v>
      </c>
      <c r="V406" s="63" t="s">
        <v>3540</v>
      </c>
      <c r="W406" s="17"/>
    </row>
    <row r="407" spans="1:23">
      <c r="A407" s="160"/>
      <c r="B407" s="160"/>
      <c r="C407" s="63" t="s">
        <v>1688</v>
      </c>
      <c r="D407" s="64" t="s">
        <v>1957</v>
      </c>
      <c r="E407" s="63"/>
      <c r="F407" s="64"/>
      <c r="G407" s="63"/>
      <c r="H407" s="64"/>
      <c r="I407" s="63"/>
      <c r="J407" s="64"/>
      <c r="K407" s="63"/>
      <c r="L407" s="64"/>
      <c r="M407" s="63"/>
      <c r="N407" s="64"/>
      <c r="O407" s="63"/>
      <c r="P407" s="64"/>
      <c r="Q407" s="63"/>
      <c r="R407" s="63"/>
      <c r="S407" s="63"/>
      <c r="T407" s="63"/>
      <c r="U407" s="63"/>
      <c r="V407" s="63"/>
      <c r="W407" s="17"/>
    </row>
    <row r="408" spans="1:23" ht="409.6">
      <c r="A408" s="160" t="s">
        <v>961</v>
      </c>
      <c r="B408" s="160" t="s">
        <v>59</v>
      </c>
      <c r="C408" s="63" t="s">
        <v>1675</v>
      </c>
      <c r="D408" s="64" t="s">
        <v>3541</v>
      </c>
      <c r="E408" s="63" t="s">
        <v>1675</v>
      </c>
      <c r="F408" s="64" t="s">
        <v>970</v>
      </c>
      <c r="G408" s="63" t="s">
        <v>1675</v>
      </c>
      <c r="H408" s="64" t="s">
        <v>29</v>
      </c>
      <c r="I408" s="63" t="s">
        <v>1675</v>
      </c>
      <c r="J408" s="64" t="s">
        <v>3542</v>
      </c>
      <c r="K408" s="63" t="s">
        <v>1675</v>
      </c>
      <c r="L408" s="64" t="s">
        <v>3543</v>
      </c>
      <c r="M408" s="63" t="s">
        <v>1675</v>
      </c>
      <c r="N408" s="64" t="s">
        <v>3544</v>
      </c>
      <c r="O408" s="63" t="s">
        <v>1675</v>
      </c>
      <c r="P408" s="64">
        <v>50</v>
      </c>
      <c r="Q408" s="63" t="s">
        <v>1675</v>
      </c>
      <c r="R408" s="63" t="s">
        <v>3545</v>
      </c>
      <c r="S408" s="63" t="s">
        <v>1675</v>
      </c>
      <c r="T408" s="63" t="s">
        <v>3546</v>
      </c>
      <c r="U408" s="63" t="s">
        <v>1675</v>
      </c>
      <c r="V408" s="63" t="s">
        <v>3547</v>
      </c>
      <c r="W408" s="17"/>
    </row>
    <row r="409" spans="1:23" ht="409.6">
      <c r="A409" s="160"/>
      <c r="B409" s="160"/>
      <c r="C409" s="63" t="s">
        <v>1681</v>
      </c>
      <c r="D409" s="64" t="s">
        <v>3548</v>
      </c>
      <c r="E409" s="63" t="s">
        <v>1681</v>
      </c>
      <c r="F409" s="64" t="s">
        <v>3549</v>
      </c>
      <c r="G409" s="63" t="s">
        <v>1681</v>
      </c>
      <c r="H409" s="64" t="s">
        <v>29</v>
      </c>
      <c r="I409" s="63" t="s">
        <v>1681</v>
      </c>
      <c r="J409" s="64" t="s">
        <v>3542</v>
      </c>
      <c r="K409" s="63" t="s">
        <v>1681</v>
      </c>
      <c r="L409" s="64" t="s">
        <v>3550</v>
      </c>
      <c r="M409" s="63" t="s">
        <v>1681</v>
      </c>
      <c r="N409" s="64" t="s">
        <v>3551</v>
      </c>
      <c r="O409" s="63" t="s">
        <v>1681</v>
      </c>
      <c r="P409" s="64" t="s">
        <v>3552</v>
      </c>
      <c r="Q409" s="63" t="s">
        <v>1681</v>
      </c>
      <c r="R409" s="63" t="s">
        <v>3553</v>
      </c>
      <c r="S409" s="63" t="s">
        <v>1681</v>
      </c>
      <c r="T409" s="63" t="s">
        <v>3546</v>
      </c>
      <c r="U409" s="63" t="s">
        <v>1681</v>
      </c>
      <c r="V409" s="63" t="s">
        <v>3554</v>
      </c>
      <c r="W409" s="17"/>
    </row>
    <row r="410" spans="1:23" ht="409.6">
      <c r="A410" s="160"/>
      <c r="B410" s="160"/>
      <c r="C410" s="63" t="s">
        <v>1685</v>
      </c>
      <c r="D410" s="64" t="s">
        <v>3555</v>
      </c>
      <c r="E410" s="63" t="s">
        <v>1685</v>
      </c>
      <c r="F410" s="64" t="s">
        <v>978</v>
      </c>
      <c r="G410" s="63" t="s">
        <v>1685</v>
      </c>
      <c r="H410" s="64" t="s">
        <v>88</v>
      </c>
      <c r="I410" s="63" t="s">
        <v>1685</v>
      </c>
      <c r="J410" s="64" t="s">
        <v>3556</v>
      </c>
      <c r="K410" s="63" t="s">
        <v>1685</v>
      </c>
      <c r="L410" s="64" t="s">
        <v>3557</v>
      </c>
      <c r="M410" s="63" t="s">
        <v>1685</v>
      </c>
      <c r="N410" s="64" t="s">
        <v>3558</v>
      </c>
      <c r="O410" s="63" t="s">
        <v>1685</v>
      </c>
      <c r="P410" s="64" t="s">
        <v>3552</v>
      </c>
      <c r="Q410" s="63" t="s">
        <v>1685</v>
      </c>
      <c r="R410" s="63" t="s">
        <v>3559</v>
      </c>
      <c r="S410" s="63" t="s">
        <v>1685</v>
      </c>
      <c r="T410" s="63" t="s">
        <v>3552</v>
      </c>
      <c r="U410" s="63" t="s">
        <v>1685</v>
      </c>
      <c r="V410" s="63" t="s">
        <v>3560</v>
      </c>
      <c r="W410" s="17"/>
    </row>
    <row r="411" spans="1:23" ht="409.6">
      <c r="A411" s="160"/>
      <c r="B411" s="160"/>
      <c r="C411" s="63" t="s">
        <v>1688</v>
      </c>
      <c r="D411" s="64" t="s">
        <v>3561</v>
      </c>
      <c r="E411" s="63" t="s">
        <v>1688</v>
      </c>
      <c r="F411" s="64" t="s">
        <v>978</v>
      </c>
      <c r="G411" s="63" t="s">
        <v>1688</v>
      </c>
      <c r="H411" s="64" t="s">
        <v>88</v>
      </c>
      <c r="I411" s="63" t="s">
        <v>1688</v>
      </c>
      <c r="J411" s="64" t="s">
        <v>3562</v>
      </c>
      <c r="K411" s="63" t="s">
        <v>1688</v>
      </c>
      <c r="L411" s="64" t="s">
        <v>3563</v>
      </c>
      <c r="M411" s="63" t="s">
        <v>1688</v>
      </c>
      <c r="N411" s="64" t="s">
        <v>3564</v>
      </c>
      <c r="O411" s="63" t="s">
        <v>1688</v>
      </c>
      <c r="P411" s="64" t="s">
        <v>3565</v>
      </c>
      <c r="Q411" s="63" t="s">
        <v>1688</v>
      </c>
      <c r="R411" s="63" t="s">
        <v>3566</v>
      </c>
      <c r="S411" s="63" t="s">
        <v>1688</v>
      </c>
      <c r="T411" s="63" t="s">
        <v>3552</v>
      </c>
      <c r="U411" s="63" t="s">
        <v>1688</v>
      </c>
      <c r="V411" s="63" t="s">
        <v>3567</v>
      </c>
      <c r="W411" s="17"/>
    </row>
    <row r="412" spans="1:23" ht="409.6">
      <c r="A412" s="160" t="s">
        <v>961</v>
      </c>
      <c r="B412" s="160" t="s">
        <v>785</v>
      </c>
      <c r="C412" s="63" t="s">
        <v>1675</v>
      </c>
      <c r="D412" s="64" t="s">
        <v>3568</v>
      </c>
      <c r="E412" s="63" t="s">
        <v>1675</v>
      </c>
      <c r="F412" s="64" t="s">
        <v>970</v>
      </c>
      <c r="G412" s="63" t="s">
        <v>1675</v>
      </c>
      <c r="H412" s="64" t="s">
        <v>29</v>
      </c>
      <c r="I412" s="63" t="s">
        <v>1675</v>
      </c>
      <c r="J412" s="64" t="s">
        <v>3569</v>
      </c>
      <c r="K412" s="63" t="s">
        <v>1675</v>
      </c>
      <c r="L412" s="64" t="s">
        <v>3570</v>
      </c>
      <c r="M412" s="63" t="s">
        <v>1675</v>
      </c>
      <c r="N412" s="64" t="s">
        <v>3571</v>
      </c>
      <c r="O412" s="63" t="s">
        <v>1675</v>
      </c>
      <c r="P412" s="64">
        <v>40</v>
      </c>
      <c r="Q412" s="63" t="s">
        <v>1675</v>
      </c>
      <c r="R412" s="63" t="s">
        <v>3572</v>
      </c>
      <c r="S412" s="63" t="s">
        <v>1675</v>
      </c>
      <c r="T412" s="63" t="s">
        <v>3573</v>
      </c>
      <c r="U412" s="63" t="s">
        <v>1675</v>
      </c>
      <c r="V412" s="63" t="s">
        <v>3574</v>
      </c>
      <c r="W412" s="17"/>
    </row>
    <row r="413" spans="1:23" ht="409.6">
      <c r="A413" s="160"/>
      <c r="B413" s="160"/>
      <c r="C413" s="63" t="s">
        <v>1681</v>
      </c>
      <c r="D413" s="64" t="s">
        <v>3575</v>
      </c>
      <c r="E413" s="63" t="s">
        <v>1681</v>
      </c>
      <c r="F413" s="64" t="s">
        <v>3576</v>
      </c>
      <c r="G413" s="63" t="s">
        <v>1681</v>
      </c>
      <c r="H413" s="64" t="s">
        <v>29</v>
      </c>
      <c r="I413" s="63" t="s">
        <v>1681</v>
      </c>
      <c r="J413" s="64" t="s">
        <v>3577</v>
      </c>
      <c r="K413" s="63" t="s">
        <v>1681</v>
      </c>
      <c r="L413" s="64" t="s">
        <v>3578</v>
      </c>
      <c r="M413" s="63" t="s">
        <v>1681</v>
      </c>
      <c r="N413" s="64" t="s">
        <v>3579</v>
      </c>
      <c r="O413" s="63" t="s">
        <v>1681</v>
      </c>
      <c r="P413" s="64" t="s">
        <v>3552</v>
      </c>
      <c r="Q413" s="63" t="s">
        <v>1681</v>
      </c>
      <c r="R413" s="63" t="s">
        <v>3580</v>
      </c>
      <c r="S413" s="63" t="s">
        <v>1681</v>
      </c>
      <c r="T413" s="63" t="s">
        <v>3581</v>
      </c>
      <c r="U413" s="63" t="s">
        <v>1681</v>
      </c>
      <c r="V413" s="63" t="s">
        <v>3560</v>
      </c>
      <c r="W413" s="17"/>
    </row>
    <row r="414" spans="1:23" ht="409.6">
      <c r="A414" s="160"/>
      <c r="B414" s="160"/>
      <c r="C414" s="63" t="s">
        <v>1685</v>
      </c>
      <c r="D414" s="64" t="s">
        <v>3555</v>
      </c>
      <c r="E414" s="63" t="s">
        <v>1685</v>
      </c>
      <c r="F414" s="64" t="s">
        <v>970</v>
      </c>
      <c r="G414" s="63" t="s">
        <v>1685</v>
      </c>
      <c r="H414" s="64" t="s">
        <v>88</v>
      </c>
      <c r="I414" s="63" t="s">
        <v>1685</v>
      </c>
      <c r="J414" s="64" t="s">
        <v>3582</v>
      </c>
      <c r="K414" s="63" t="s">
        <v>1685</v>
      </c>
      <c r="L414" s="64" t="s">
        <v>3583</v>
      </c>
      <c r="M414" s="63" t="s">
        <v>1685</v>
      </c>
      <c r="N414" s="64" t="s">
        <v>3584</v>
      </c>
      <c r="O414" s="63" t="s">
        <v>1685</v>
      </c>
      <c r="P414" s="64" t="s">
        <v>3552</v>
      </c>
      <c r="Q414" s="63" t="s">
        <v>1685</v>
      </c>
      <c r="R414" s="63" t="s">
        <v>3585</v>
      </c>
      <c r="S414" s="63" t="s">
        <v>1685</v>
      </c>
      <c r="T414" s="63" t="s">
        <v>3552</v>
      </c>
      <c r="U414" s="63" t="s">
        <v>1685</v>
      </c>
      <c r="V414" s="63" t="s">
        <v>3586</v>
      </c>
      <c r="W414" s="17"/>
    </row>
    <row r="415" spans="1:23" ht="409.6">
      <c r="A415" s="160"/>
      <c r="B415" s="160"/>
      <c r="C415" s="63" t="s">
        <v>1688</v>
      </c>
      <c r="D415" s="64" t="s">
        <v>3561</v>
      </c>
      <c r="E415" s="63" t="s">
        <v>1688</v>
      </c>
      <c r="F415" s="64" t="s">
        <v>970</v>
      </c>
      <c r="G415" s="63" t="s">
        <v>1688</v>
      </c>
      <c r="H415" s="64" t="s">
        <v>88</v>
      </c>
      <c r="I415" s="63" t="s">
        <v>1688</v>
      </c>
      <c r="J415" s="64" t="s">
        <v>3587</v>
      </c>
      <c r="K415" s="63" t="s">
        <v>1688</v>
      </c>
      <c r="L415" s="64" t="s">
        <v>3588</v>
      </c>
      <c r="M415" s="63" t="s">
        <v>1688</v>
      </c>
      <c r="N415" s="64" t="s">
        <v>3589</v>
      </c>
      <c r="O415" s="63" t="s">
        <v>1688</v>
      </c>
      <c r="P415" s="64" t="s">
        <v>3552</v>
      </c>
      <c r="Q415" s="63" t="s">
        <v>1688</v>
      </c>
      <c r="R415" s="63" t="s">
        <v>3590</v>
      </c>
      <c r="S415" s="63" t="s">
        <v>1688</v>
      </c>
      <c r="T415" s="63" t="s">
        <v>3552</v>
      </c>
      <c r="U415" s="63" t="s">
        <v>1685</v>
      </c>
      <c r="V415" s="63" t="s">
        <v>3591</v>
      </c>
      <c r="W415" s="17"/>
    </row>
    <row r="416" spans="1:23" ht="409.6">
      <c r="A416" s="160" t="s">
        <v>961</v>
      </c>
      <c r="B416" s="160" t="s">
        <v>478</v>
      </c>
      <c r="C416" s="63" t="s">
        <v>1675</v>
      </c>
      <c r="D416" s="64" t="s">
        <v>3592</v>
      </c>
      <c r="E416" s="63" t="s">
        <v>1675</v>
      </c>
      <c r="F416" s="64" t="s">
        <v>970</v>
      </c>
      <c r="G416" s="63" t="s">
        <v>1675</v>
      </c>
      <c r="H416" s="64" t="s">
        <v>29</v>
      </c>
      <c r="I416" s="63" t="s">
        <v>1675</v>
      </c>
      <c r="J416" s="64" t="s">
        <v>3593</v>
      </c>
      <c r="K416" s="63" t="s">
        <v>1675</v>
      </c>
      <c r="L416" s="64" t="s">
        <v>3594</v>
      </c>
      <c r="M416" s="63" t="s">
        <v>1675</v>
      </c>
      <c r="N416" s="64" t="s">
        <v>3595</v>
      </c>
      <c r="O416" s="63" t="s">
        <v>1675</v>
      </c>
      <c r="P416" s="64" t="s">
        <v>3552</v>
      </c>
      <c r="Q416" s="63" t="s">
        <v>1675</v>
      </c>
      <c r="R416" s="63" t="s">
        <v>3596</v>
      </c>
      <c r="S416" s="63" t="s">
        <v>1675</v>
      </c>
      <c r="T416" s="63" t="s">
        <v>3597</v>
      </c>
      <c r="U416" s="63" t="s">
        <v>1675</v>
      </c>
      <c r="V416" s="63" t="s">
        <v>3586</v>
      </c>
      <c r="W416" s="17"/>
    </row>
    <row r="417" spans="1:23" ht="409.6">
      <c r="A417" s="160"/>
      <c r="B417" s="160"/>
      <c r="C417" s="63" t="s">
        <v>1681</v>
      </c>
      <c r="D417" s="64" t="s">
        <v>3592</v>
      </c>
      <c r="E417" s="63" t="s">
        <v>1681</v>
      </c>
      <c r="F417" s="64" t="s">
        <v>970</v>
      </c>
      <c r="G417" s="63" t="s">
        <v>1681</v>
      </c>
      <c r="H417" s="64" t="s">
        <v>29</v>
      </c>
      <c r="I417" s="63" t="s">
        <v>1681</v>
      </c>
      <c r="J417" s="64" t="s">
        <v>3598</v>
      </c>
      <c r="K417" s="63" t="s">
        <v>1681</v>
      </c>
      <c r="L417" s="64" t="s">
        <v>3599</v>
      </c>
      <c r="M417" s="63" t="s">
        <v>1681</v>
      </c>
      <c r="N417" s="64" t="s">
        <v>3600</v>
      </c>
      <c r="O417" s="63" t="s">
        <v>1681</v>
      </c>
      <c r="P417" s="64" t="s">
        <v>3552</v>
      </c>
      <c r="Q417" s="63" t="s">
        <v>1681</v>
      </c>
      <c r="R417" s="63" t="s">
        <v>3601</v>
      </c>
      <c r="S417" s="63" t="s">
        <v>1681</v>
      </c>
      <c r="T417" s="63" t="s">
        <v>3597</v>
      </c>
      <c r="U417" s="63" t="s">
        <v>1681</v>
      </c>
      <c r="V417" s="63" t="s">
        <v>3586</v>
      </c>
      <c r="W417" s="17"/>
    </row>
    <row r="418" spans="1:23" ht="409.6">
      <c r="A418" s="160"/>
      <c r="B418" s="160"/>
      <c r="C418" s="63" t="s">
        <v>1685</v>
      </c>
      <c r="D418" s="64" t="s">
        <v>3592</v>
      </c>
      <c r="E418" s="63" t="s">
        <v>1685</v>
      </c>
      <c r="F418" s="64" t="s">
        <v>970</v>
      </c>
      <c r="G418" s="63" t="s">
        <v>1685</v>
      </c>
      <c r="H418" s="64" t="s">
        <v>88</v>
      </c>
      <c r="I418" s="63" t="s">
        <v>1685</v>
      </c>
      <c r="J418" s="64" t="s">
        <v>3602</v>
      </c>
      <c r="K418" s="63" t="s">
        <v>1685</v>
      </c>
      <c r="L418" s="64" t="s">
        <v>3603</v>
      </c>
      <c r="M418" s="63" t="s">
        <v>1685</v>
      </c>
      <c r="N418" s="64" t="s">
        <v>3604</v>
      </c>
      <c r="O418" s="63" t="s">
        <v>1685</v>
      </c>
      <c r="P418" s="64" t="s">
        <v>3552</v>
      </c>
      <c r="Q418" s="63" t="s">
        <v>1685</v>
      </c>
      <c r="R418" s="63" t="s">
        <v>3605</v>
      </c>
      <c r="S418" s="63" t="s">
        <v>1685</v>
      </c>
      <c r="T418" s="63" t="s">
        <v>3552</v>
      </c>
      <c r="U418" s="63" t="s">
        <v>1685</v>
      </c>
      <c r="V418" s="63" t="s">
        <v>3586</v>
      </c>
      <c r="W418" s="17"/>
    </row>
    <row r="419" spans="1:23" ht="409.6">
      <c r="A419" s="160"/>
      <c r="B419" s="160"/>
      <c r="C419" s="63" t="s">
        <v>1688</v>
      </c>
      <c r="D419" s="64" t="s">
        <v>3592</v>
      </c>
      <c r="E419" s="63" t="s">
        <v>1688</v>
      </c>
      <c r="F419" s="64" t="s">
        <v>978</v>
      </c>
      <c r="G419" s="63" t="s">
        <v>1688</v>
      </c>
      <c r="H419" s="64" t="s">
        <v>88</v>
      </c>
      <c r="I419" s="63" t="s">
        <v>1688</v>
      </c>
      <c r="J419" s="64" t="s">
        <v>3606</v>
      </c>
      <c r="K419" s="63" t="s">
        <v>1688</v>
      </c>
      <c r="L419" s="64" t="s">
        <v>3607</v>
      </c>
      <c r="M419" s="63" t="s">
        <v>1688</v>
      </c>
      <c r="N419" s="64" t="s">
        <v>3608</v>
      </c>
      <c r="O419" s="63" t="s">
        <v>1688</v>
      </c>
      <c r="P419" s="64" t="s">
        <v>3552</v>
      </c>
      <c r="Q419" s="63" t="s">
        <v>1688</v>
      </c>
      <c r="R419" s="63" t="s">
        <v>3609</v>
      </c>
      <c r="S419" s="63" t="s">
        <v>1688</v>
      </c>
      <c r="T419" s="63" t="s">
        <v>3552</v>
      </c>
      <c r="U419" s="63" t="s">
        <v>1688</v>
      </c>
      <c r="V419" s="63" t="s">
        <v>3610</v>
      </c>
      <c r="W419" s="17"/>
    </row>
    <row r="420" spans="1:23" ht="409.6">
      <c r="A420" s="160" t="s">
        <v>961</v>
      </c>
      <c r="B420" s="160" t="s">
        <v>390</v>
      </c>
      <c r="C420" s="63" t="s">
        <v>1675</v>
      </c>
      <c r="D420" s="64" t="s">
        <v>3611</v>
      </c>
      <c r="E420" s="63" t="s">
        <v>1675</v>
      </c>
      <c r="F420" s="64" t="s">
        <v>970</v>
      </c>
      <c r="G420" s="63" t="s">
        <v>1675</v>
      </c>
      <c r="H420" s="64" t="s">
        <v>29</v>
      </c>
      <c r="I420" s="63" t="s">
        <v>1675</v>
      </c>
      <c r="J420" s="64" t="s">
        <v>3612</v>
      </c>
      <c r="K420" s="63" t="s">
        <v>1675</v>
      </c>
      <c r="L420" s="64" t="s">
        <v>3613</v>
      </c>
      <c r="M420" s="63" t="s">
        <v>1675</v>
      </c>
      <c r="N420" s="64" t="s">
        <v>3614</v>
      </c>
      <c r="O420" s="63" t="s">
        <v>1675</v>
      </c>
      <c r="P420" s="64" t="s">
        <v>3552</v>
      </c>
      <c r="Q420" s="63" t="s">
        <v>1675</v>
      </c>
      <c r="R420" s="63" t="s">
        <v>3615</v>
      </c>
      <c r="S420" s="63" t="s">
        <v>1675</v>
      </c>
      <c r="T420" s="63" t="s">
        <v>3616</v>
      </c>
      <c r="U420" s="63" t="s">
        <v>1675</v>
      </c>
      <c r="V420" s="63" t="s">
        <v>3617</v>
      </c>
      <c r="W420" s="17"/>
    </row>
    <row r="421" spans="1:23" ht="409.6">
      <c r="A421" s="160"/>
      <c r="B421" s="160"/>
      <c r="C421" s="63" t="s">
        <v>1681</v>
      </c>
      <c r="D421" s="64" t="s">
        <v>3611</v>
      </c>
      <c r="E421" s="63" t="s">
        <v>1681</v>
      </c>
      <c r="F421" s="64" t="s">
        <v>970</v>
      </c>
      <c r="G421" s="63" t="s">
        <v>1681</v>
      </c>
      <c r="H421" s="64" t="s">
        <v>29</v>
      </c>
      <c r="I421" s="63" t="s">
        <v>1681</v>
      </c>
      <c r="J421" s="64" t="s">
        <v>3618</v>
      </c>
      <c r="K421" s="63" t="s">
        <v>1681</v>
      </c>
      <c r="L421" s="64" t="s">
        <v>3619</v>
      </c>
      <c r="M421" s="63" t="s">
        <v>1681</v>
      </c>
      <c r="N421" s="64" t="s">
        <v>3620</v>
      </c>
      <c r="O421" s="63" t="s">
        <v>1681</v>
      </c>
      <c r="P421" s="64" t="s">
        <v>3552</v>
      </c>
      <c r="Q421" s="63" t="s">
        <v>1681</v>
      </c>
      <c r="R421" s="63" t="s">
        <v>3621</v>
      </c>
      <c r="S421" s="63" t="s">
        <v>1681</v>
      </c>
      <c r="T421" s="63" t="s">
        <v>3616</v>
      </c>
      <c r="U421" s="63" t="s">
        <v>1681</v>
      </c>
      <c r="V421" s="63" t="s">
        <v>3617</v>
      </c>
      <c r="W421" s="17"/>
    </row>
    <row r="422" spans="1:23" ht="409.6">
      <c r="A422" s="160"/>
      <c r="B422" s="160"/>
      <c r="C422" s="63" t="s">
        <v>1685</v>
      </c>
      <c r="D422" s="64" t="s">
        <v>3611</v>
      </c>
      <c r="E422" s="63" t="s">
        <v>1685</v>
      </c>
      <c r="F422" s="64" t="s">
        <v>970</v>
      </c>
      <c r="G422" s="63" t="s">
        <v>1685</v>
      </c>
      <c r="H422" s="64" t="s">
        <v>88</v>
      </c>
      <c r="I422" s="63" t="s">
        <v>1685</v>
      </c>
      <c r="J422" s="64" t="s">
        <v>3622</v>
      </c>
      <c r="K422" s="63" t="s">
        <v>1685</v>
      </c>
      <c r="L422" s="64" t="s">
        <v>3623</v>
      </c>
      <c r="M422" s="63" t="s">
        <v>1685</v>
      </c>
      <c r="N422" s="64" t="s">
        <v>3624</v>
      </c>
      <c r="O422" s="63" t="s">
        <v>1685</v>
      </c>
      <c r="P422" s="64" t="s">
        <v>3552</v>
      </c>
      <c r="Q422" s="63" t="s">
        <v>1685</v>
      </c>
      <c r="R422" s="63" t="s">
        <v>3625</v>
      </c>
      <c r="S422" s="63" t="s">
        <v>1685</v>
      </c>
      <c r="T422" s="63" t="s">
        <v>3552</v>
      </c>
      <c r="U422" s="63" t="s">
        <v>1685</v>
      </c>
      <c r="V422" s="63" t="s">
        <v>3626</v>
      </c>
      <c r="W422" s="17"/>
    </row>
    <row r="423" spans="1:23" ht="409.6">
      <c r="A423" s="160"/>
      <c r="B423" s="160"/>
      <c r="C423" s="63" t="s">
        <v>1688</v>
      </c>
      <c r="D423" s="64" t="s">
        <v>3611</v>
      </c>
      <c r="E423" s="63" t="s">
        <v>1688</v>
      </c>
      <c r="F423" s="64" t="s">
        <v>970</v>
      </c>
      <c r="G423" s="63" t="s">
        <v>1688</v>
      </c>
      <c r="H423" s="64" t="s">
        <v>88</v>
      </c>
      <c r="I423" s="63" t="s">
        <v>1688</v>
      </c>
      <c r="J423" s="64" t="s">
        <v>3627</v>
      </c>
      <c r="K423" s="63" t="s">
        <v>1688</v>
      </c>
      <c r="L423" s="64" t="s">
        <v>3628</v>
      </c>
      <c r="M423" s="63" t="s">
        <v>1688</v>
      </c>
      <c r="N423" s="64" t="s">
        <v>3620</v>
      </c>
      <c r="O423" s="63" t="s">
        <v>1688</v>
      </c>
      <c r="P423" s="64" t="s">
        <v>3552</v>
      </c>
      <c r="Q423" s="63" t="s">
        <v>1688</v>
      </c>
      <c r="R423" s="63" t="s">
        <v>3629</v>
      </c>
      <c r="S423" s="63" t="s">
        <v>1688</v>
      </c>
      <c r="T423" s="63" t="s">
        <v>3552</v>
      </c>
      <c r="U423" s="63" t="s">
        <v>1688</v>
      </c>
      <c r="V423" s="63" t="s">
        <v>3630</v>
      </c>
      <c r="W423" s="17"/>
    </row>
    <row r="424" spans="1:23" ht="30">
      <c r="A424" s="160" t="s">
        <v>961</v>
      </c>
      <c r="B424" s="160" t="s">
        <v>1204</v>
      </c>
      <c r="C424" s="63" t="s">
        <v>1675</v>
      </c>
      <c r="D424" s="64" t="s">
        <v>3483</v>
      </c>
      <c r="E424" s="63" t="s">
        <v>1675</v>
      </c>
      <c r="F424" s="64"/>
      <c r="G424" s="63" t="s">
        <v>1675</v>
      </c>
      <c r="H424" s="64"/>
      <c r="I424" s="63" t="s">
        <v>1675</v>
      </c>
      <c r="J424" s="64"/>
      <c r="K424" s="63" t="s">
        <v>1675</v>
      </c>
      <c r="L424" s="64"/>
      <c r="M424" s="63" t="s">
        <v>1675</v>
      </c>
      <c r="N424" s="64"/>
      <c r="O424" s="63" t="s">
        <v>1675</v>
      </c>
      <c r="P424" s="64"/>
      <c r="Q424" s="63" t="s">
        <v>1675</v>
      </c>
      <c r="R424" s="63"/>
      <c r="S424" s="63" t="s">
        <v>1675</v>
      </c>
      <c r="T424" s="63"/>
      <c r="U424" s="63" t="s">
        <v>1675</v>
      </c>
      <c r="V424" s="63"/>
      <c r="W424" s="17"/>
    </row>
    <row r="425" spans="1:23" ht="409.6">
      <c r="A425" s="160"/>
      <c r="B425" s="160"/>
      <c r="C425" s="63" t="s">
        <v>1681</v>
      </c>
      <c r="D425" s="64" t="s">
        <v>3611</v>
      </c>
      <c r="E425" s="63" t="s">
        <v>1681</v>
      </c>
      <c r="F425" s="64" t="s">
        <v>970</v>
      </c>
      <c r="G425" s="63" t="s">
        <v>1681</v>
      </c>
      <c r="H425" s="64" t="s">
        <v>29</v>
      </c>
      <c r="I425" s="63" t="s">
        <v>1681</v>
      </c>
      <c r="J425" s="64" t="s">
        <v>3631</v>
      </c>
      <c r="K425" s="63" t="s">
        <v>1681</v>
      </c>
      <c r="L425" s="64" t="s">
        <v>3632</v>
      </c>
      <c r="M425" s="63" t="s">
        <v>1681</v>
      </c>
      <c r="N425" s="64" t="s">
        <v>3633</v>
      </c>
      <c r="O425" s="63" t="s">
        <v>1681</v>
      </c>
      <c r="P425" s="64" t="s">
        <v>3552</v>
      </c>
      <c r="Q425" s="63" t="s">
        <v>1681</v>
      </c>
      <c r="R425" s="63" t="s">
        <v>3634</v>
      </c>
      <c r="S425" s="63" t="s">
        <v>1681</v>
      </c>
      <c r="T425" s="63" t="s">
        <v>3635</v>
      </c>
      <c r="U425" s="63" t="s">
        <v>1681</v>
      </c>
      <c r="V425" s="63" t="s">
        <v>3636</v>
      </c>
      <c r="W425" s="17"/>
    </row>
    <row r="426" spans="1:23" ht="409.6">
      <c r="A426" s="160"/>
      <c r="B426" s="160"/>
      <c r="C426" s="63" t="s">
        <v>1685</v>
      </c>
      <c r="D426" s="64" t="s">
        <v>3611</v>
      </c>
      <c r="E426" s="63" t="s">
        <v>1685</v>
      </c>
      <c r="F426" s="64" t="s">
        <v>970</v>
      </c>
      <c r="G426" s="63" t="s">
        <v>1685</v>
      </c>
      <c r="H426" s="64" t="s">
        <v>88</v>
      </c>
      <c r="I426" s="63" t="s">
        <v>1685</v>
      </c>
      <c r="J426" s="64" t="s">
        <v>3637</v>
      </c>
      <c r="K426" s="63" t="s">
        <v>1685</v>
      </c>
      <c r="L426" s="64" t="s">
        <v>3638</v>
      </c>
      <c r="M426" s="63" t="s">
        <v>1685</v>
      </c>
      <c r="N426" s="64" t="s">
        <v>3639</v>
      </c>
      <c r="O426" s="63" t="s">
        <v>1685</v>
      </c>
      <c r="P426" s="64" t="s">
        <v>3552</v>
      </c>
      <c r="Q426" s="63" t="s">
        <v>1685</v>
      </c>
      <c r="R426" s="63" t="s">
        <v>3640</v>
      </c>
      <c r="S426" s="63" t="s">
        <v>1685</v>
      </c>
      <c r="T426" s="63" t="s">
        <v>3552</v>
      </c>
      <c r="U426" s="63" t="s">
        <v>1685</v>
      </c>
      <c r="V426" s="63" t="s">
        <v>3641</v>
      </c>
      <c r="W426" s="17"/>
    </row>
    <row r="427" spans="1:23" ht="409.6">
      <c r="A427" s="160"/>
      <c r="B427" s="160"/>
      <c r="C427" s="63" t="s">
        <v>1688</v>
      </c>
      <c r="D427" s="64" t="s">
        <v>3611</v>
      </c>
      <c r="E427" s="63" t="s">
        <v>1688</v>
      </c>
      <c r="F427" s="64" t="s">
        <v>970</v>
      </c>
      <c r="G427" s="63" t="s">
        <v>1688</v>
      </c>
      <c r="H427" s="64" t="s">
        <v>88</v>
      </c>
      <c r="I427" s="63" t="s">
        <v>1688</v>
      </c>
      <c r="J427" s="64" t="s">
        <v>3642</v>
      </c>
      <c r="K427" s="63" t="s">
        <v>1688</v>
      </c>
      <c r="L427" s="64" t="s">
        <v>3643</v>
      </c>
      <c r="M427" s="63" t="s">
        <v>1688</v>
      </c>
      <c r="N427" s="64" t="s">
        <v>3644</v>
      </c>
      <c r="O427" s="63" t="s">
        <v>1688</v>
      </c>
      <c r="P427" s="64" t="s">
        <v>3552</v>
      </c>
      <c r="Q427" s="63" t="s">
        <v>1688</v>
      </c>
      <c r="R427" s="63" t="s">
        <v>3645</v>
      </c>
      <c r="S427" s="63" t="s">
        <v>1688</v>
      </c>
      <c r="T427" s="63" t="s">
        <v>3552</v>
      </c>
      <c r="U427" s="63" t="s">
        <v>1688</v>
      </c>
      <c r="V427" s="63" t="s">
        <v>3646</v>
      </c>
      <c r="W427" s="17"/>
    </row>
    <row r="428" spans="1:23" ht="409.6">
      <c r="A428" s="160" t="s">
        <v>961</v>
      </c>
      <c r="B428" s="160" t="s">
        <v>824</v>
      </c>
      <c r="C428" s="63" t="s">
        <v>1675</v>
      </c>
      <c r="D428" s="64" t="s">
        <v>3647</v>
      </c>
      <c r="E428" s="63" t="s">
        <v>1675</v>
      </c>
      <c r="F428" s="64" t="s">
        <v>3648</v>
      </c>
      <c r="G428" s="63" t="s">
        <v>1675</v>
      </c>
      <c r="H428" s="64" t="s">
        <v>29</v>
      </c>
      <c r="I428" s="63" t="s">
        <v>1675</v>
      </c>
      <c r="J428" s="64" t="s">
        <v>3649</v>
      </c>
      <c r="K428" s="63" t="s">
        <v>1675</v>
      </c>
      <c r="L428" s="64" t="s">
        <v>3650</v>
      </c>
      <c r="M428" s="63" t="s">
        <v>1675</v>
      </c>
      <c r="N428" s="64" t="s">
        <v>3651</v>
      </c>
      <c r="O428" s="63" t="s">
        <v>1675</v>
      </c>
      <c r="P428" s="64" t="s">
        <v>3552</v>
      </c>
      <c r="Q428" s="63" t="s">
        <v>1675</v>
      </c>
      <c r="R428" s="63" t="s">
        <v>3652</v>
      </c>
      <c r="S428" s="63" t="s">
        <v>1675</v>
      </c>
      <c r="T428" s="63" t="s">
        <v>3653</v>
      </c>
      <c r="U428" s="63" t="s">
        <v>1675</v>
      </c>
      <c r="V428" s="63" t="s">
        <v>3654</v>
      </c>
      <c r="W428" s="17"/>
    </row>
    <row r="429" spans="1:23" ht="409.6">
      <c r="A429" s="160"/>
      <c r="B429" s="160"/>
      <c r="C429" s="63" t="s">
        <v>1681</v>
      </c>
      <c r="D429" s="64" t="s">
        <v>3655</v>
      </c>
      <c r="E429" s="63" t="s">
        <v>1681</v>
      </c>
      <c r="F429" s="64" t="s">
        <v>3648</v>
      </c>
      <c r="G429" s="63" t="s">
        <v>1681</v>
      </c>
      <c r="H429" s="64" t="s">
        <v>29</v>
      </c>
      <c r="I429" s="63" t="s">
        <v>1681</v>
      </c>
      <c r="J429" s="64" t="s">
        <v>3656</v>
      </c>
      <c r="K429" s="63" t="s">
        <v>1681</v>
      </c>
      <c r="L429" s="64" t="s">
        <v>3552</v>
      </c>
      <c r="M429" s="63" t="s">
        <v>1681</v>
      </c>
      <c r="N429" s="64" t="s">
        <v>3657</v>
      </c>
      <c r="O429" s="63" t="s">
        <v>1681</v>
      </c>
      <c r="P429" s="64" t="s">
        <v>3552</v>
      </c>
      <c r="Q429" s="63" t="s">
        <v>1681</v>
      </c>
      <c r="R429" s="63" t="s">
        <v>3658</v>
      </c>
      <c r="S429" s="63" t="s">
        <v>1681</v>
      </c>
      <c r="T429" s="63" t="s">
        <v>3653</v>
      </c>
      <c r="U429" s="63" t="s">
        <v>1681</v>
      </c>
      <c r="V429" s="63" t="s">
        <v>3659</v>
      </c>
      <c r="W429" s="17"/>
    </row>
    <row r="430" spans="1:23" ht="409.6">
      <c r="A430" s="160"/>
      <c r="B430" s="160"/>
      <c r="C430" s="63" t="s">
        <v>1685</v>
      </c>
      <c r="D430" s="64" t="s">
        <v>3660</v>
      </c>
      <c r="E430" s="63" t="s">
        <v>1685</v>
      </c>
      <c r="F430" s="64" t="s">
        <v>3648</v>
      </c>
      <c r="G430" s="63" t="s">
        <v>1685</v>
      </c>
      <c r="H430" s="64" t="s">
        <v>88</v>
      </c>
      <c r="I430" s="63" t="s">
        <v>1685</v>
      </c>
      <c r="J430" s="64" t="s">
        <v>3661</v>
      </c>
      <c r="K430" s="63" t="s">
        <v>1685</v>
      </c>
      <c r="L430" s="64" t="s">
        <v>3662</v>
      </c>
      <c r="M430" s="63" t="s">
        <v>1685</v>
      </c>
      <c r="N430" s="64" t="s">
        <v>3624</v>
      </c>
      <c r="O430" s="63" t="s">
        <v>1685</v>
      </c>
      <c r="P430" s="64" t="s">
        <v>3552</v>
      </c>
      <c r="Q430" s="63" t="s">
        <v>1685</v>
      </c>
      <c r="R430" s="63" t="s">
        <v>3663</v>
      </c>
      <c r="S430" s="63" t="s">
        <v>1685</v>
      </c>
      <c r="T430" s="63" t="s">
        <v>3552</v>
      </c>
      <c r="U430" s="63" t="s">
        <v>1685</v>
      </c>
      <c r="V430" s="63" t="s">
        <v>3552</v>
      </c>
      <c r="W430" s="17"/>
    </row>
    <row r="431" spans="1:23" ht="409.6">
      <c r="A431" s="160"/>
      <c r="B431" s="160"/>
      <c r="C431" s="63" t="s">
        <v>1688</v>
      </c>
      <c r="D431" s="64" t="s">
        <v>3664</v>
      </c>
      <c r="E431" s="63" t="s">
        <v>1688</v>
      </c>
      <c r="F431" s="64" t="s">
        <v>3648</v>
      </c>
      <c r="G431" s="63" t="s">
        <v>1688</v>
      </c>
      <c r="H431" s="64" t="s">
        <v>88</v>
      </c>
      <c r="I431" s="63" t="s">
        <v>1688</v>
      </c>
      <c r="J431" s="64" t="s">
        <v>3665</v>
      </c>
      <c r="K431" s="63" t="s">
        <v>1688</v>
      </c>
      <c r="L431" s="64" t="s">
        <v>3666</v>
      </c>
      <c r="M431" s="63" t="s">
        <v>1688</v>
      </c>
      <c r="N431" s="64" t="s">
        <v>3620</v>
      </c>
      <c r="O431" s="63" t="s">
        <v>1688</v>
      </c>
      <c r="P431" s="64" t="s">
        <v>3552</v>
      </c>
      <c r="Q431" s="63" t="s">
        <v>1688</v>
      </c>
      <c r="R431" s="63" t="s">
        <v>3667</v>
      </c>
      <c r="S431" s="63" t="s">
        <v>1688</v>
      </c>
      <c r="T431" s="63" t="s">
        <v>3552</v>
      </c>
      <c r="U431" s="63" t="s">
        <v>1688</v>
      </c>
      <c r="V431" s="63" t="s">
        <v>3552</v>
      </c>
      <c r="W431" s="17"/>
    </row>
    <row r="432" spans="1:23" ht="409.6">
      <c r="A432" s="160" t="s">
        <v>961</v>
      </c>
      <c r="B432" s="160" t="s">
        <v>3668</v>
      </c>
      <c r="C432" s="63" t="s">
        <v>1675</v>
      </c>
      <c r="D432" s="64" t="s">
        <v>3541</v>
      </c>
      <c r="E432" s="63" t="s">
        <v>1675</v>
      </c>
      <c r="F432" s="64" t="s">
        <v>3669</v>
      </c>
      <c r="G432" s="63" t="s">
        <v>1675</v>
      </c>
      <c r="H432" s="64" t="s">
        <v>29</v>
      </c>
      <c r="I432" s="63" t="s">
        <v>1675</v>
      </c>
      <c r="J432" s="64" t="s">
        <v>3670</v>
      </c>
      <c r="K432" s="63" t="s">
        <v>1675</v>
      </c>
      <c r="L432" s="64" t="s">
        <v>3671</v>
      </c>
      <c r="M432" s="63" t="s">
        <v>1675</v>
      </c>
      <c r="N432" s="64" t="s">
        <v>3672</v>
      </c>
      <c r="O432" s="63" t="s">
        <v>1675</v>
      </c>
      <c r="P432" s="64" t="s">
        <v>3552</v>
      </c>
      <c r="Q432" s="63" t="s">
        <v>1675</v>
      </c>
      <c r="R432" s="63" t="s">
        <v>3673</v>
      </c>
      <c r="S432" s="63" t="s">
        <v>1675</v>
      </c>
      <c r="T432" s="63" t="s">
        <v>3674</v>
      </c>
      <c r="U432" s="63" t="s">
        <v>1675</v>
      </c>
      <c r="V432" s="63" t="s">
        <v>3675</v>
      </c>
      <c r="W432" s="17"/>
    </row>
    <row r="433" spans="1:23" ht="409.6">
      <c r="A433" s="160"/>
      <c r="B433" s="160"/>
      <c r="C433" s="63" t="s">
        <v>1681</v>
      </c>
      <c r="D433" s="64" t="s">
        <v>3541</v>
      </c>
      <c r="E433" s="63" t="s">
        <v>1681</v>
      </c>
      <c r="F433" s="64" t="s">
        <v>3669</v>
      </c>
      <c r="G433" s="63" t="s">
        <v>1681</v>
      </c>
      <c r="H433" s="64" t="s">
        <v>29</v>
      </c>
      <c r="I433" s="63" t="s">
        <v>1681</v>
      </c>
      <c r="J433" s="64" t="s">
        <v>3676</v>
      </c>
      <c r="K433" s="63" t="s">
        <v>1681</v>
      </c>
      <c r="L433" s="64" t="s">
        <v>3677</v>
      </c>
      <c r="M433" s="63" t="s">
        <v>1681</v>
      </c>
      <c r="N433" s="64" t="s">
        <v>3678</v>
      </c>
      <c r="O433" s="63" t="s">
        <v>1681</v>
      </c>
      <c r="P433" s="64" t="s">
        <v>3552</v>
      </c>
      <c r="Q433" s="63" t="s">
        <v>1681</v>
      </c>
      <c r="R433" s="63" t="s">
        <v>3679</v>
      </c>
      <c r="S433" s="63" t="s">
        <v>1681</v>
      </c>
      <c r="T433" s="63" t="s">
        <v>3680</v>
      </c>
      <c r="U433" s="63" t="s">
        <v>1681</v>
      </c>
      <c r="V433" s="63" t="s">
        <v>3675</v>
      </c>
      <c r="W433" s="17"/>
    </row>
    <row r="434" spans="1:23" ht="409.6">
      <c r="A434" s="160"/>
      <c r="B434" s="160"/>
      <c r="C434" s="63" t="s">
        <v>1685</v>
      </c>
      <c r="D434" s="64" t="s">
        <v>3541</v>
      </c>
      <c r="E434" s="63" t="s">
        <v>1685</v>
      </c>
      <c r="F434" s="64" t="s">
        <v>3669</v>
      </c>
      <c r="G434" s="63" t="s">
        <v>1685</v>
      </c>
      <c r="H434" s="64" t="s">
        <v>88</v>
      </c>
      <c r="I434" s="63" t="s">
        <v>1685</v>
      </c>
      <c r="J434" s="64" t="s">
        <v>3681</v>
      </c>
      <c r="K434" s="63" t="s">
        <v>1685</v>
      </c>
      <c r="L434" s="64" t="s">
        <v>3682</v>
      </c>
      <c r="M434" s="63" t="s">
        <v>1685</v>
      </c>
      <c r="N434" s="64" t="s">
        <v>3683</v>
      </c>
      <c r="O434" s="63" t="s">
        <v>1685</v>
      </c>
      <c r="P434" s="64" t="s">
        <v>3552</v>
      </c>
      <c r="Q434" s="63" t="s">
        <v>1685</v>
      </c>
      <c r="R434" s="63" t="s">
        <v>3684</v>
      </c>
      <c r="S434" s="63" t="s">
        <v>1685</v>
      </c>
      <c r="T434" s="63" t="s">
        <v>3552</v>
      </c>
      <c r="U434" s="63" t="s">
        <v>1685</v>
      </c>
      <c r="V434" s="63" t="s">
        <v>3675</v>
      </c>
      <c r="W434" s="17"/>
    </row>
    <row r="435" spans="1:23" ht="409.6">
      <c r="A435" s="160"/>
      <c r="B435" s="160"/>
      <c r="C435" s="63" t="s">
        <v>1688</v>
      </c>
      <c r="D435" s="64" t="s">
        <v>3541</v>
      </c>
      <c r="E435" s="63" t="s">
        <v>1688</v>
      </c>
      <c r="F435" s="64" t="s">
        <v>3669</v>
      </c>
      <c r="G435" s="63" t="s">
        <v>1688</v>
      </c>
      <c r="H435" s="64" t="s">
        <v>88</v>
      </c>
      <c r="I435" s="63" t="s">
        <v>1688</v>
      </c>
      <c r="J435" s="64" t="s">
        <v>3685</v>
      </c>
      <c r="K435" s="63" t="s">
        <v>1688</v>
      </c>
      <c r="L435" s="64" t="s">
        <v>3686</v>
      </c>
      <c r="M435" s="63" t="s">
        <v>1688</v>
      </c>
      <c r="N435" s="64" t="s">
        <v>3687</v>
      </c>
      <c r="O435" s="63" t="s">
        <v>1688</v>
      </c>
      <c r="P435" s="64" t="s">
        <v>3552</v>
      </c>
      <c r="Q435" s="63" t="s">
        <v>1688</v>
      </c>
      <c r="R435" s="63" t="s">
        <v>3688</v>
      </c>
      <c r="S435" s="63" t="s">
        <v>1688</v>
      </c>
      <c r="T435" s="63" t="s">
        <v>3552</v>
      </c>
      <c r="U435" s="63" t="s">
        <v>1688</v>
      </c>
      <c r="V435" s="63" t="s">
        <v>3689</v>
      </c>
      <c r="W435" s="17"/>
    </row>
    <row r="436" spans="1:23" ht="195">
      <c r="A436" s="160" t="s">
        <v>50</v>
      </c>
      <c r="B436" s="160" t="s">
        <v>864</v>
      </c>
      <c r="C436" s="63" t="s">
        <v>1675</v>
      </c>
      <c r="D436" s="64" t="s">
        <v>3690</v>
      </c>
      <c r="E436" s="63" t="s">
        <v>1675</v>
      </c>
      <c r="F436" s="64" t="s">
        <v>60</v>
      </c>
      <c r="G436" s="63" t="s">
        <v>1675</v>
      </c>
      <c r="H436" s="64" t="s">
        <v>29</v>
      </c>
      <c r="I436" s="63" t="s">
        <v>1675</v>
      </c>
      <c r="J436" s="64" t="s">
        <v>3552</v>
      </c>
      <c r="K436" s="63" t="s">
        <v>1675</v>
      </c>
      <c r="L436" s="64" t="s">
        <v>575</v>
      </c>
      <c r="M436" s="63" t="s">
        <v>1675</v>
      </c>
      <c r="N436" s="64" t="s">
        <v>3691</v>
      </c>
      <c r="O436" s="63" t="s">
        <v>1675</v>
      </c>
      <c r="P436" s="64">
        <v>20</v>
      </c>
      <c r="Q436" s="63" t="s">
        <v>1675</v>
      </c>
      <c r="R436" s="63" t="s">
        <v>3692</v>
      </c>
      <c r="S436" s="63" t="s">
        <v>1675</v>
      </c>
      <c r="T436" s="63" t="s">
        <v>3693</v>
      </c>
      <c r="U436" s="63" t="s">
        <v>1675</v>
      </c>
      <c r="V436" s="63" t="s">
        <v>3552</v>
      </c>
      <c r="W436" s="17"/>
    </row>
    <row r="437" spans="1:23" ht="210">
      <c r="A437" s="160"/>
      <c r="B437" s="160"/>
      <c r="C437" s="63" t="s">
        <v>1681</v>
      </c>
      <c r="D437" s="64" t="s">
        <v>3690</v>
      </c>
      <c r="E437" s="63" t="s">
        <v>1681</v>
      </c>
      <c r="F437" s="64" t="s">
        <v>60</v>
      </c>
      <c r="G437" s="63" t="s">
        <v>1681</v>
      </c>
      <c r="H437" s="64" t="s">
        <v>29</v>
      </c>
      <c r="I437" s="63" t="s">
        <v>1681</v>
      </c>
      <c r="J437" s="64" t="s">
        <v>3552</v>
      </c>
      <c r="K437" s="63" t="s">
        <v>1681</v>
      </c>
      <c r="L437" s="64" t="s">
        <v>3694</v>
      </c>
      <c r="M437" s="63" t="s">
        <v>1681</v>
      </c>
      <c r="N437" s="64" t="s">
        <v>3695</v>
      </c>
      <c r="O437" s="63" t="s">
        <v>1681</v>
      </c>
      <c r="P437" s="64">
        <v>25</v>
      </c>
      <c r="Q437" s="63" t="s">
        <v>1681</v>
      </c>
      <c r="R437" s="63" t="s">
        <v>3696</v>
      </c>
      <c r="S437" s="63" t="s">
        <v>1681</v>
      </c>
      <c r="T437" s="63" t="s">
        <v>3693</v>
      </c>
      <c r="U437" s="63" t="s">
        <v>1681</v>
      </c>
      <c r="V437" s="63" t="s">
        <v>3552</v>
      </c>
      <c r="W437" s="17"/>
    </row>
    <row r="438" spans="1:23" ht="409.6">
      <c r="A438" s="160"/>
      <c r="B438" s="160"/>
      <c r="C438" s="63" t="s">
        <v>1685</v>
      </c>
      <c r="D438" s="64" t="s">
        <v>3690</v>
      </c>
      <c r="E438" s="63" t="s">
        <v>1685</v>
      </c>
      <c r="F438" s="64" t="s">
        <v>60</v>
      </c>
      <c r="G438" s="63" t="s">
        <v>1685</v>
      </c>
      <c r="H438" s="64" t="s">
        <v>88</v>
      </c>
      <c r="I438" s="63" t="s">
        <v>1685</v>
      </c>
      <c r="J438" s="64" t="s">
        <v>3552</v>
      </c>
      <c r="K438" s="63" t="s">
        <v>1685</v>
      </c>
      <c r="L438" s="64" t="s">
        <v>3697</v>
      </c>
      <c r="M438" s="63" t="s">
        <v>1685</v>
      </c>
      <c r="N438" s="64" t="s">
        <v>3698</v>
      </c>
      <c r="O438" s="63" t="s">
        <v>1685</v>
      </c>
      <c r="P438" s="64" t="s">
        <v>3552</v>
      </c>
      <c r="Q438" s="63" t="s">
        <v>1685</v>
      </c>
      <c r="R438" s="63" t="s">
        <v>3699</v>
      </c>
      <c r="S438" s="63" t="s">
        <v>1685</v>
      </c>
      <c r="T438" s="63" t="s">
        <v>3552</v>
      </c>
      <c r="U438" s="63" t="s">
        <v>1685</v>
      </c>
      <c r="V438" s="63" t="s">
        <v>3700</v>
      </c>
      <c r="W438" s="17"/>
    </row>
    <row r="439" spans="1:23" ht="60">
      <c r="A439" s="160"/>
      <c r="B439" s="160"/>
      <c r="C439" s="63" t="s">
        <v>1688</v>
      </c>
      <c r="D439" s="64" t="s">
        <v>865</v>
      </c>
      <c r="E439" s="63" t="s">
        <v>1688</v>
      </c>
      <c r="F439" s="64" t="s">
        <v>60</v>
      </c>
      <c r="G439" s="63" t="s">
        <v>1688</v>
      </c>
      <c r="H439" s="64" t="s">
        <v>88</v>
      </c>
      <c r="I439" s="63" t="s">
        <v>1688</v>
      </c>
      <c r="J439" s="64" t="s">
        <v>3552</v>
      </c>
      <c r="K439" s="63" t="s">
        <v>1688</v>
      </c>
      <c r="L439" s="66">
        <v>44377</v>
      </c>
      <c r="M439" s="63" t="s">
        <v>1688</v>
      </c>
      <c r="N439" s="64" t="s">
        <v>3698</v>
      </c>
      <c r="O439" s="63" t="s">
        <v>1688</v>
      </c>
      <c r="P439" s="64" t="s">
        <v>3552</v>
      </c>
      <c r="Q439" s="63" t="s">
        <v>1688</v>
      </c>
      <c r="R439" s="63" t="s">
        <v>3701</v>
      </c>
      <c r="S439" s="63" t="s">
        <v>1688</v>
      </c>
      <c r="T439" s="63" t="s">
        <v>3552</v>
      </c>
      <c r="U439" s="63" t="s">
        <v>1685</v>
      </c>
      <c r="V439" s="63" t="s">
        <v>3552</v>
      </c>
      <c r="W439" s="17"/>
    </row>
    <row r="440" spans="1:23" ht="409.6">
      <c r="A440" s="160" t="s">
        <v>961</v>
      </c>
      <c r="B440" s="160" t="s">
        <v>3702</v>
      </c>
      <c r="C440" s="63" t="s">
        <v>1675</v>
      </c>
      <c r="D440" s="64" t="s">
        <v>3703</v>
      </c>
      <c r="E440" s="63" t="s">
        <v>1675</v>
      </c>
      <c r="F440" s="64" t="s">
        <v>970</v>
      </c>
      <c r="G440" s="63" t="s">
        <v>1675</v>
      </c>
      <c r="H440" s="64" t="s">
        <v>29</v>
      </c>
      <c r="I440" s="63" t="s">
        <v>1675</v>
      </c>
      <c r="J440" s="64" t="s">
        <v>3704</v>
      </c>
      <c r="K440" s="63" t="s">
        <v>1675</v>
      </c>
      <c r="L440" s="64" t="s">
        <v>3705</v>
      </c>
      <c r="M440" s="63" t="s">
        <v>1675</v>
      </c>
      <c r="N440" s="64" t="s">
        <v>3706</v>
      </c>
      <c r="O440" s="63" t="s">
        <v>1675</v>
      </c>
      <c r="P440" s="64" t="s">
        <v>3552</v>
      </c>
      <c r="Q440" s="63" t="s">
        <v>1675</v>
      </c>
      <c r="R440" s="63" t="s">
        <v>3707</v>
      </c>
      <c r="S440" s="63" t="s">
        <v>1675</v>
      </c>
      <c r="T440" s="63" t="s">
        <v>3708</v>
      </c>
      <c r="U440" s="63" t="s">
        <v>1675</v>
      </c>
      <c r="V440" s="63" t="s">
        <v>3709</v>
      </c>
      <c r="W440" s="17"/>
    </row>
    <row r="441" spans="1:23" ht="409.6">
      <c r="A441" s="160"/>
      <c r="B441" s="160"/>
      <c r="C441" s="63" t="s">
        <v>1681</v>
      </c>
      <c r="D441" s="64" t="s">
        <v>3710</v>
      </c>
      <c r="E441" s="63" t="s">
        <v>1681</v>
      </c>
      <c r="F441" s="64" t="s">
        <v>3711</v>
      </c>
      <c r="G441" s="63" t="s">
        <v>1681</v>
      </c>
      <c r="H441" s="64" t="s">
        <v>29</v>
      </c>
      <c r="I441" s="63" t="s">
        <v>1681</v>
      </c>
      <c r="J441" s="64" t="s">
        <v>3712</v>
      </c>
      <c r="K441" s="63" t="s">
        <v>1681</v>
      </c>
      <c r="L441" s="64" t="s">
        <v>3713</v>
      </c>
      <c r="M441" s="63" t="s">
        <v>1681</v>
      </c>
      <c r="N441" s="64" t="s">
        <v>3714</v>
      </c>
      <c r="O441" s="63" t="s">
        <v>1681</v>
      </c>
      <c r="P441" s="64" t="s">
        <v>3552</v>
      </c>
      <c r="Q441" s="63" t="s">
        <v>1681</v>
      </c>
      <c r="R441" s="63" t="s">
        <v>3715</v>
      </c>
      <c r="S441" s="63" t="s">
        <v>1681</v>
      </c>
      <c r="T441" s="63" t="s">
        <v>3716</v>
      </c>
      <c r="U441" s="63" t="s">
        <v>1681</v>
      </c>
      <c r="V441" s="63" t="s">
        <v>3709</v>
      </c>
      <c r="W441" s="17"/>
    </row>
    <row r="442" spans="1:23" ht="409.6">
      <c r="A442" s="160"/>
      <c r="B442" s="160"/>
      <c r="C442" s="63" t="s">
        <v>1685</v>
      </c>
      <c r="D442" s="64" t="s">
        <v>3710</v>
      </c>
      <c r="E442" s="63" t="s">
        <v>1685</v>
      </c>
      <c r="F442" s="64" t="s">
        <v>3711</v>
      </c>
      <c r="G442" s="63" t="s">
        <v>1685</v>
      </c>
      <c r="H442" s="64" t="s">
        <v>88</v>
      </c>
      <c r="I442" s="63" t="s">
        <v>1685</v>
      </c>
      <c r="J442" s="64" t="s">
        <v>3717</v>
      </c>
      <c r="K442" s="63" t="s">
        <v>1685</v>
      </c>
      <c r="L442" s="64" t="s">
        <v>3718</v>
      </c>
      <c r="M442" s="63" t="s">
        <v>1685</v>
      </c>
      <c r="N442" s="64" t="s">
        <v>3719</v>
      </c>
      <c r="O442" s="63" t="s">
        <v>1685</v>
      </c>
      <c r="P442" s="64" t="s">
        <v>3552</v>
      </c>
      <c r="Q442" s="63" t="s">
        <v>1685</v>
      </c>
      <c r="R442" s="63" t="s">
        <v>3720</v>
      </c>
      <c r="S442" s="63" t="s">
        <v>1685</v>
      </c>
      <c r="T442" s="63" t="s">
        <v>3552</v>
      </c>
      <c r="U442" s="63" t="s">
        <v>1685</v>
      </c>
      <c r="V442" s="63" t="s">
        <v>3709</v>
      </c>
      <c r="W442" s="17"/>
    </row>
    <row r="443" spans="1:23" ht="409.6">
      <c r="A443" s="160"/>
      <c r="B443" s="160"/>
      <c r="C443" s="63" t="s">
        <v>1688</v>
      </c>
      <c r="D443" s="64" t="s">
        <v>3710</v>
      </c>
      <c r="E443" s="63" t="s">
        <v>1688</v>
      </c>
      <c r="F443" s="64" t="s">
        <v>3711</v>
      </c>
      <c r="G443" s="63" t="s">
        <v>1688</v>
      </c>
      <c r="H443" s="64" t="s">
        <v>88</v>
      </c>
      <c r="I443" s="63" t="s">
        <v>1688</v>
      </c>
      <c r="J443" s="64" t="s">
        <v>3721</v>
      </c>
      <c r="K443" s="63" t="s">
        <v>1688</v>
      </c>
      <c r="L443" s="64" t="s">
        <v>3722</v>
      </c>
      <c r="M443" s="63">
        <v>20201</v>
      </c>
      <c r="N443" s="64" t="s">
        <v>2635</v>
      </c>
      <c r="O443" s="63" t="s">
        <v>1688</v>
      </c>
      <c r="P443" s="64" t="s">
        <v>3552</v>
      </c>
      <c r="Q443" s="63" t="s">
        <v>1688</v>
      </c>
      <c r="R443" s="63" t="s">
        <v>3723</v>
      </c>
      <c r="S443" s="63" t="s">
        <v>1688</v>
      </c>
      <c r="T443" s="63" t="s">
        <v>3552</v>
      </c>
      <c r="U443" s="63" t="s">
        <v>1688</v>
      </c>
      <c r="V443" s="63" t="s">
        <v>3724</v>
      </c>
      <c r="W443" s="17"/>
    </row>
    <row r="444" spans="1:23" ht="409.6">
      <c r="A444" s="155" t="s">
        <v>961</v>
      </c>
      <c r="B444" s="155" t="s">
        <v>191</v>
      </c>
      <c r="C444" s="67" t="s">
        <v>1675</v>
      </c>
      <c r="D444" s="67" t="s">
        <v>3725</v>
      </c>
      <c r="E444" s="67" t="s">
        <v>1675</v>
      </c>
      <c r="F444" s="67" t="s">
        <v>3726</v>
      </c>
      <c r="G444" s="67" t="s">
        <v>1675</v>
      </c>
      <c r="H444" s="67" t="s">
        <v>29</v>
      </c>
      <c r="I444" s="67" t="s">
        <v>1675</v>
      </c>
      <c r="J444" s="67" t="s">
        <v>3016</v>
      </c>
      <c r="K444" s="67" t="s">
        <v>1675</v>
      </c>
      <c r="L444" s="67" t="s">
        <v>3727</v>
      </c>
      <c r="M444" s="67" t="s">
        <v>1675</v>
      </c>
      <c r="N444" s="67" t="s">
        <v>3728</v>
      </c>
      <c r="O444" s="67" t="s">
        <v>1675</v>
      </c>
      <c r="P444" s="67" t="s">
        <v>314</v>
      </c>
      <c r="Q444" s="67" t="s">
        <v>1675</v>
      </c>
      <c r="R444" s="67" t="s">
        <v>3729</v>
      </c>
      <c r="S444" s="67" t="s">
        <v>1675</v>
      </c>
      <c r="T444" s="67" t="s">
        <v>3730</v>
      </c>
      <c r="U444" s="67" t="s">
        <v>1675</v>
      </c>
      <c r="V444" s="67" t="s">
        <v>3731</v>
      </c>
      <c r="W444" s="17"/>
    </row>
    <row r="445" spans="1:23" ht="409.6">
      <c r="A445" s="155"/>
      <c r="B445" s="155"/>
      <c r="C445" s="67" t="s">
        <v>1681</v>
      </c>
      <c r="D445" s="67" t="s">
        <v>3725</v>
      </c>
      <c r="E445" s="67" t="s">
        <v>1681</v>
      </c>
      <c r="F445" s="67" t="s">
        <v>3726</v>
      </c>
      <c r="G445" s="67" t="s">
        <v>1681</v>
      </c>
      <c r="H445" s="67" t="s">
        <v>29</v>
      </c>
      <c r="I445" s="67" t="s">
        <v>1681</v>
      </c>
      <c r="J445" s="67" t="s">
        <v>3016</v>
      </c>
      <c r="K445" s="67" t="s">
        <v>1681</v>
      </c>
      <c r="L445" s="67" t="s">
        <v>3732</v>
      </c>
      <c r="M445" s="67" t="s">
        <v>1681</v>
      </c>
      <c r="N445" s="67" t="s">
        <v>3733</v>
      </c>
      <c r="O445" s="67" t="s">
        <v>1681</v>
      </c>
      <c r="P445" s="67" t="s">
        <v>3734</v>
      </c>
      <c r="Q445" s="67" t="s">
        <v>1681</v>
      </c>
      <c r="R445" s="67" t="s">
        <v>3735</v>
      </c>
      <c r="S445" s="67" t="s">
        <v>1681</v>
      </c>
      <c r="T445" s="67" t="s">
        <v>3730</v>
      </c>
      <c r="U445" s="67" t="s">
        <v>1681</v>
      </c>
      <c r="V445" s="67" t="s">
        <v>3736</v>
      </c>
      <c r="W445" s="17"/>
    </row>
    <row r="446" spans="1:23" ht="409.6">
      <c r="A446" s="155"/>
      <c r="B446" s="155"/>
      <c r="C446" s="67" t="s">
        <v>1685</v>
      </c>
      <c r="D446" s="67" t="s">
        <v>3725</v>
      </c>
      <c r="E446" s="67" t="s">
        <v>1685</v>
      </c>
      <c r="F446" s="67" t="s">
        <v>978</v>
      </c>
      <c r="G446" s="67" t="s">
        <v>1685</v>
      </c>
      <c r="H446" s="67" t="s">
        <v>3737</v>
      </c>
      <c r="I446" s="67" t="s">
        <v>1685</v>
      </c>
      <c r="J446" s="67" t="s">
        <v>3738</v>
      </c>
      <c r="K446" s="67" t="s">
        <v>1685</v>
      </c>
      <c r="L446" s="67" t="s">
        <v>3739</v>
      </c>
      <c r="M446" s="67" t="s">
        <v>1685</v>
      </c>
      <c r="N446" s="67" t="s">
        <v>3740</v>
      </c>
      <c r="O446" s="67" t="s">
        <v>1685</v>
      </c>
      <c r="P446" s="67" t="s">
        <v>402</v>
      </c>
      <c r="Q446" s="67" t="s">
        <v>1685</v>
      </c>
      <c r="R446" s="67" t="s">
        <v>3741</v>
      </c>
      <c r="S446" s="67" t="s">
        <v>1685</v>
      </c>
      <c r="T446" s="67" t="s">
        <v>17</v>
      </c>
      <c r="U446" s="67" t="s">
        <v>1685</v>
      </c>
      <c r="V446" s="67" t="s">
        <v>3736</v>
      </c>
      <c r="W446" s="17"/>
    </row>
    <row r="447" spans="1:23" ht="409.6">
      <c r="A447" s="155"/>
      <c r="B447" s="155"/>
      <c r="C447" s="67" t="s">
        <v>1688</v>
      </c>
      <c r="D447" s="67" t="s">
        <v>3742</v>
      </c>
      <c r="E447" s="67" t="s">
        <v>1688</v>
      </c>
      <c r="F447" s="67" t="s">
        <v>978</v>
      </c>
      <c r="G447" s="67" t="s">
        <v>1688</v>
      </c>
      <c r="H447" s="67" t="s">
        <v>3737</v>
      </c>
      <c r="I447" s="67" t="s">
        <v>1688</v>
      </c>
      <c r="J447" s="67" t="s">
        <v>3743</v>
      </c>
      <c r="K447" s="67" t="s">
        <v>1688</v>
      </c>
      <c r="L447" s="67" t="s">
        <v>3744</v>
      </c>
      <c r="M447" s="67" t="s">
        <v>1688</v>
      </c>
      <c r="N447" s="67" t="s">
        <v>3745</v>
      </c>
      <c r="O447" s="67" t="s">
        <v>1688</v>
      </c>
      <c r="P447" s="67" t="s">
        <v>402</v>
      </c>
      <c r="Q447" s="67" t="s">
        <v>1688</v>
      </c>
      <c r="R447" s="67" t="s">
        <v>3746</v>
      </c>
      <c r="S447" s="67" t="s">
        <v>1688</v>
      </c>
      <c r="T447" s="67" t="s">
        <v>17</v>
      </c>
      <c r="U447" s="67" t="s">
        <v>1688</v>
      </c>
      <c r="V447" s="67" t="s">
        <v>3747</v>
      </c>
      <c r="W447" s="17"/>
    </row>
    <row r="448" spans="1:23" ht="409.6">
      <c r="A448" s="155" t="s">
        <v>961</v>
      </c>
      <c r="B448" s="155" t="s">
        <v>993</v>
      </c>
      <c r="C448" s="67" t="s">
        <v>1675</v>
      </c>
      <c r="D448" s="67" t="s">
        <v>3725</v>
      </c>
      <c r="E448" s="67" t="s">
        <v>1675</v>
      </c>
      <c r="F448" s="67" t="s">
        <v>3748</v>
      </c>
      <c r="G448" s="67" t="s">
        <v>1675</v>
      </c>
      <c r="H448" s="67" t="s">
        <v>29</v>
      </c>
      <c r="I448" s="67" t="s">
        <v>1675</v>
      </c>
      <c r="J448" s="67" t="s">
        <v>3749</v>
      </c>
      <c r="K448" s="67" t="s">
        <v>1675</v>
      </c>
      <c r="L448" s="67" t="s">
        <v>3750</v>
      </c>
      <c r="M448" s="67" t="s">
        <v>1675</v>
      </c>
      <c r="N448" s="67" t="s">
        <v>3751</v>
      </c>
      <c r="O448" s="67" t="s">
        <v>1675</v>
      </c>
      <c r="P448" s="67" t="s">
        <v>314</v>
      </c>
      <c r="Q448" s="67" t="s">
        <v>1675</v>
      </c>
      <c r="R448" s="67" t="s">
        <v>3752</v>
      </c>
      <c r="S448" s="67" t="s">
        <v>1675</v>
      </c>
      <c r="T448" s="67" t="s">
        <v>3753</v>
      </c>
      <c r="U448" s="67" t="s">
        <v>1675</v>
      </c>
      <c r="V448" s="67" t="s">
        <v>3754</v>
      </c>
      <c r="W448" s="17"/>
    </row>
    <row r="449" spans="1:23" ht="409.6">
      <c r="A449" s="155"/>
      <c r="B449" s="155"/>
      <c r="C449" s="67" t="s">
        <v>1681</v>
      </c>
      <c r="D449" s="67" t="s">
        <v>3725</v>
      </c>
      <c r="E449" s="67" t="s">
        <v>1681</v>
      </c>
      <c r="F449" s="67" t="s">
        <v>3748</v>
      </c>
      <c r="G449" s="67" t="s">
        <v>1681</v>
      </c>
      <c r="H449" s="67" t="s">
        <v>29</v>
      </c>
      <c r="I449" s="67" t="s">
        <v>1681</v>
      </c>
      <c r="J449" s="67" t="s">
        <v>3749</v>
      </c>
      <c r="K449" s="67" t="s">
        <v>1681</v>
      </c>
      <c r="L449" s="67" t="s">
        <v>3755</v>
      </c>
      <c r="M449" s="67" t="s">
        <v>1681</v>
      </c>
      <c r="N449" s="67" t="s">
        <v>3756</v>
      </c>
      <c r="O449" s="67" t="s">
        <v>1681</v>
      </c>
      <c r="P449" s="67" t="s">
        <v>3734</v>
      </c>
      <c r="Q449" s="67" t="s">
        <v>1681</v>
      </c>
      <c r="R449" s="67" t="s">
        <v>3757</v>
      </c>
      <c r="S449" s="67" t="s">
        <v>1681</v>
      </c>
      <c r="T449" s="67" t="s">
        <v>3753</v>
      </c>
      <c r="U449" s="67" t="s">
        <v>1681</v>
      </c>
      <c r="V449" s="67" t="s">
        <v>3758</v>
      </c>
      <c r="W449" s="17"/>
    </row>
    <row r="450" spans="1:23" ht="409.6">
      <c r="A450" s="155"/>
      <c r="B450" s="155"/>
      <c r="C450" s="67" t="s">
        <v>1685</v>
      </c>
      <c r="D450" s="67" t="s">
        <v>3725</v>
      </c>
      <c r="E450" s="67" t="s">
        <v>1685</v>
      </c>
      <c r="F450" s="67" t="s">
        <v>978</v>
      </c>
      <c r="G450" s="67" t="s">
        <v>1685</v>
      </c>
      <c r="H450" s="67" t="s">
        <v>3759</v>
      </c>
      <c r="I450" s="67" t="s">
        <v>1685</v>
      </c>
      <c r="J450" s="67" t="s">
        <v>3760</v>
      </c>
      <c r="K450" s="67" t="s">
        <v>1685</v>
      </c>
      <c r="L450" s="67" t="s">
        <v>3761</v>
      </c>
      <c r="M450" s="67" t="s">
        <v>1685</v>
      </c>
      <c r="N450" s="67" t="s">
        <v>3762</v>
      </c>
      <c r="O450" s="67" t="s">
        <v>1685</v>
      </c>
      <c r="P450" s="67" t="s">
        <v>3763</v>
      </c>
      <c r="Q450" s="67" t="s">
        <v>1685</v>
      </c>
      <c r="R450" s="67" t="s">
        <v>3764</v>
      </c>
      <c r="S450" s="67" t="s">
        <v>1685</v>
      </c>
      <c r="T450" s="67" t="s">
        <v>17</v>
      </c>
      <c r="U450" s="67" t="s">
        <v>1685</v>
      </c>
      <c r="V450" s="67" t="s">
        <v>3758</v>
      </c>
      <c r="W450" s="17"/>
    </row>
    <row r="451" spans="1:23" ht="409.6">
      <c r="A451" s="155"/>
      <c r="B451" s="155"/>
      <c r="C451" s="67" t="s">
        <v>1688</v>
      </c>
      <c r="D451" s="67" t="s">
        <v>3725</v>
      </c>
      <c r="E451" s="67" t="s">
        <v>1688</v>
      </c>
      <c r="F451" s="67" t="s">
        <v>978</v>
      </c>
      <c r="G451" s="67" t="s">
        <v>1688</v>
      </c>
      <c r="H451" s="67" t="s">
        <v>3765</v>
      </c>
      <c r="I451" s="67" t="s">
        <v>1688</v>
      </c>
      <c r="J451" s="67" t="s">
        <v>3760</v>
      </c>
      <c r="K451" s="67" t="s">
        <v>1688</v>
      </c>
      <c r="L451" s="68">
        <v>44377</v>
      </c>
      <c r="M451" s="67" t="s">
        <v>1688</v>
      </c>
      <c r="N451" s="67" t="s">
        <v>1915</v>
      </c>
      <c r="O451" s="67" t="s">
        <v>1688</v>
      </c>
      <c r="P451" s="67" t="s">
        <v>3763</v>
      </c>
      <c r="Q451" s="67" t="s">
        <v>1688</v>
      </c>
      <c r="R451" s="67" t="s">
        <v>3766</v>
      </c>
      <c r="S451" s="67" t="s">
        <v>1688</v>
      </c>
      <c r="T451" s="67" t="s">
        <v>17</v>
      </c>
      <c r="U451" s="67" t="s">
        <v>1688</v>
      </c>
      <c r="V451" s="67" t="s">
        <v>3767</v>
      </c>
      <c r="W451" s="17"/>
    </row>
    <row r="452" spans="1:23" ht="409.6">
      <c r="A452" s="155" t="s">
        <v>961</v>
      </c>
      <c r="B452" s="155" t="s">
        <v>976</v>
      </c>
      <c r="C452" s="67" t="s">
        <v>1675</v>
      </c>
      <c r="D452" s="67" t="s">
        <v>3725</v>
      </c>
      <c r="E452" s="67" t="s">
        <v>1675</v>
      </c>
      <c r="F452" s="67" t="s">
        <v>3726</v>
      </c>
      <c r="G452" s="67" t="s">
        <v>1675</v>
      </c>
      <c r="H452" s="67" t="s">
        <v>29</v>
      </c>
      <c r="I452" s="67" t="s">
        <v>1675</v>
      </c>
      <c r="J452" s="67" t="s">
        <v>3768</v>
      </c>
      <c r="K452" s="67" t="s">
        <v>1675</v>
      </c>
      <c r="L452" s="67" t="s">
        <v>3750</v>
      </c>
      <c r="M452" s="67" t="s">
        <v>1675</v>
      </c>
      <c r="N452" s="67" t="s">
        <v>3751</v>
      </c>
      <c r="O452" s="67" t="s">
        <v>1675</v>
      </c>
      <c r="P452" s="67" t="s">
        <v>17</v>
      </c>
      <c r="Q452" s="67" t="s">
        <v>1675</v>
      </c>
      <c r="R452" s="67" t="s">
        <v>3769</v>
      </c>
      <c r="S452" s="67" t="s">
        <v>1675</v>
      </c>
      <c r="T452" s="67" t="s">
        <v>17</v>
      </c>
      <c r="U452" s="67" t="s">
        <v>1675</v>
      </c>
      <c r="V452" s="67" t="s">
        <v>3770</v>
      </c>
      <c r="W452" s="17"/>
    </row>
    <row r="453" spans="1:23">
      <c r="A453" s="155"/>
      <c r="B453" s="155"/>
      <c r="C453" s="67" t="s">
        <v>1681</v>
      </c>
      <c r="D453" s="67" t="s">
        <v>2669</v>
      </c>
      <c r="E453" s="67"/>
      <c r="F453" s="67"/>
      <c r="G453" s="67"/>
      <c r="H453" s="67"/>
      <c r="I453" s="67"/>
      <c r="J453" s="67"/>
      <c r="K453" s="67"/>
      <c r="L453" s="67"/>
      <c r="M453" s="67"/>
      <c r="N453" s="67"/>
      <c r="O453" s="67"/>
      <c r="P453" s="67"/>
      <c r="Q453" s="67"/>
      <c r="R453" s="67"/>
      <c r="S453" s="67"/>
      <c r="T453" s="67"/>
      <c r="U453" s="67"/>
      <c r="V453" s="67"/>
      <c r="W453" s="17"/>
    </row>
    <row r="454" spans="1:23" ht="409.6">
      <c r="A454" s="155"/>
      <c r="B454" s="155"/>
      <c r="C454" s="67" t="s">
        <v>1685</v>
      </c>
      <c r="D454" s="67" t="s">
        <v>3771</v>
      </c>
      <c r="E454" s="67" t="s">
        <v>1685</v>
      </c>
      <c r="F454" s="67" t="s">
        <v>978</v>
      </c>
      <c r="G454" s="67" t="s">
        <v>1685</v>
      </c>
      <c r="H454" s="67" t="s">
        <v>88</v>
      </c>
      <c r="I454" s="67" t="s">
        <v>1685</v>
      </c>
      <c r="J454" s="67" t="s">
        <v>17</v>
      </c>
      <c r="K454" s="67" t="s">
        <v>1685</v>
      </c>
      <c r="L454" s="67" t="s">
        <v>3772</v>
      </c>
      <c r="M454" s="67" t="s">
        <v>1685</v>
      </c>
      <c r="N454" s="67" t="s">
        <v>3773</v>
      </c>
      <c r="O454" s="67" t="s">
        <v>1685</v>
      </c>
      <c r="P454" s="67" t="s">
        <v>17</v>
      </c>
      <c r="Q454" s="67" t="s">
        <v>1685</v>
      </c>
      <c r="R454" s="67" t="s">
        <v>3774</v>
      </c>
      <c r="S454" s="67" t="s">
        <v>1685</v>
      </c>
      <c r="T454" s="67" t="s">
        <v>17</v>
      </c>
      <c r="U454" s="67" t="s">
        <v>1685</v>
      </c>
      <c r="V454" s="67" t="s">
        <v>982</v>
      </c>
      <c r="W454" s="17"/>
    </row>
    <row r="455" spans="1:23" ht="409.6">
      <c r="A455" s="155"/>
      <c r="B455" s="155"/>
      <c r="C455" s="67" t="s">
        <v>1688</v>
      </c>
      <c r="D455" s="67" t="s">
        <v>3771</v>
      </c>
      <c r="E455" s="67" t="s">
        <v>1688</v>
      </c>
      <c r="F455" s="67" t="s">
        <v>978</v>
      </c>
      <c r="G455" s="67" t="s">
        <v>1688</v>
      </c>
      <c r="H455" s="67" t="s">
        <v>88</v>
      </c>
      <c r="I455" s="67" t="s">
        <v>1688</v>
      </c>
      <c r="J455" s="67" t="s">
        <v>3775</v>
      </c>
      <c r="K455" s="67" t="s">
        <v>1688</v>
      </c>
      <c r="L455" s="67" t="s">
        <v>3776</v>
      </c>
      <c r="M455" s="67" t="s">
        <v>1688</v>
      </c>
      <c r="N455" s="67" t="s">
        <v>3777</v>
      </c>
      <c r="O455" s="67" t="s">
        <v>1688</v>
      </c>
      <c r="P455" s="67" t="s">
        <v>17</v>
      </c>
      <c r="Q455" s="67" t="s">
        <v>1688</v>
      </c>
      <c r="R455" s="67" t="s">
        <v>3778</v>
      </c>
      <c r="S455" s="67" t="s">
        <v>1688</v>
      </c>
      <c r="T455" s="67" t="s">
        <v>17</v>
      </c>
      <c r="U455" s="67" t="s">
        <v>1688</v>
      </c>
      <c r="V455" s="67" t="s">
        <v>3779</v>
      </c>
      <c r="W455" s="17"/>
    </row>
    <row r="456" spans="1:23" ht="409.6">
      <c r="A456" s="155" t="s">
        <v>333</v>
      </c>
      <c r="B456" s="155" t="s">
        <v>3780</v>
      </c>
      <c r="C456" s="67" t="s">
        <v>1675</v>
      </c>
      <c r="D456" s="67" t="s">
        <v>52</v>
      </c>
      <c r="E456" s="67" t="s">
        <v>1675</v>
      </c>
      <c r="F456" s="67" t="s">
        <v>3781</v>
      </c>
      <c r="G456" s="67" t="s">
        <v>1675</v>
      </c>
      <c r="H456" s="67" t="s">
        <v>29</v>
      </c>
      <c r="I456" s="67" t="s">
        <v>1675</v>
      </c>
      <c r="J456" s="67" t="s">
        <v>3782</v>
      </c>
      <c r="K456" s="67" t="s">
        <v>1675</v>
      </c>
      <c r="L456" s="67" t="s">
        <v>3761</v>
      </c>
      <c r="M456" s="67" t="s">
        <v>1675</v>
      </c>
      <c r="N456" s="67" t="s">
        <v>3783</v>
      </c>
      <c r="O456" s="67" t="s">
        <v>1675</v>
      </c>
      <c r="P456" s="67" t="s">
        <v>402</v>
      </c>
      <c r="Q456" s="67" t="s">
        <v>1675</v>
      </c>
      <c r="R456" s="67" t="s">
        <v>3784</v>
      </c>
      <c r="S456" s="67" t="s">
        <v>1675</v>
      </c>
      <c r="T456" s="67" t="s">
        <v>3785</v>
      </c>
      <c r="U456" s="67" t="s">
        <v>1675</v>
      </c>
      <c r="V456" s="67" t="s">
        <v>17</v>
      </c>
      <c r="W456" s="17"/>
    </row>
    <row r="457" spans="1:23" ht="409.6">
      <c r="A457" s="155"/>
      <c r="B457" s="155"/>
      <c r="C457" s="67" t="s">
        <v>1681</v>
      </c>
      <c r="D457" s="69" t="s">
        <v>52</v>
      </c>
      <c r="E457" s="67" t="s">
        <v>1681</v>
      </c>
      <c r="F457" s="69" t="s">
        <v>3781</v>
      </c>
      <c r="G457" s="67" t="s">
        <v>1681</v>
      </c>
      <c r="H457" s="67" t="s">
        <v>29</v>
      </c>
      <c r="I457" s="67" t="s">
        <v>1681</v>
      </c>
      <c r="J457" s="67" t="s">
        <v>3782</v>
      </c>
      <c r="K457" s="67" t="s">
        <v>1681</v>
      </c>
      <c r="L457" s="70" t="s">
        <v>3761</v>
      </c>
      <c r="M457" s="67" t="s">
        <v>1681</v>
      </c>
      <c r="N457" s="67" t="s">
        <v>3786</v>
      </c>
      <c r="O457" s="67" t="s">
        <v>1681</v>
      </c>
      <c r="P457" s="69" t="s">
        <v>942</v>
      </c>
      <c r="Q457" s="67" t="s">
        <v>1681</v>
      </c>
      <c r="R457" s="69" t="s">
        <v>3787</v>
      </c>
      <c r="S457" s="67" t="s">
        <v>1681</v>
      </c>
      <c r="T457" s="67" t="s">
        <v>3788</v>
      </c>
      <c r="U457" s="67" t="s">
        <v>1681</v>
      </c>
      <c r="V457" s="69" t="s">
        <v>17</v>
      </c>
      <c r="W457" s="17"/>
    </row>
    <row r="458" spans="1:23" ht="409.6">
      <c r="A458" s="155"/>
      <c r="B458" s="155"/>
      <c r="C458" s="67" t="s">
        <v>1685</v>
      </c>
      <c r="D458" s="67" t="s">
        <v>52</v>
      </c>
      <c r="E458" s="67" t="s">
        <v>1685</v>
      </c>
      <c r="F458" s="67" t="s">
        <v>3781</v>
      </c>
      <c r="G458" s="67" t="s">
        <v>1685</v>
      </c>
      <c r="H458" s="67" t="s">
        <v>88</v>
      </c>
      <c r="I458" s="67" t="s">
        <v>1685</v>
      </c>
      <c r="J458" s="67" t="s">
        <v>3789</v>
      </c>
      <c r="K458" s="67" t="s">
        <v>1685</v>
      </c>
      <c r="L458" s="67" t="s">
        <v>3790</v>
      </c>
      <c r="M458" s="67" t="s">
        <v>1685</v>
      </c>
      <c r="N458" s="67" t="s">
        <v>3786</v>
      </c>
      <c r="O458" s="67" t="s">
        <v>1685</v>
      </c>
      <c r="P458" s="71" t="s">
        <v>625</v>
      </c>
      <c r="Q458" s="67" t="s">
        <v>1685</v>
      </c>
      <c r="R458" s="69" t="s">
        <v>3791</v>
      </c>
      <c r="S458" s="67" t="s">
        <v>1685</v>
      </c>
      <c r="T458" s="67" t="s">
        <v>17</v>
      </c>
      <c r="U458" s="67" t="s">
        <v>1685</v>
      </c>
      <c r="V458" s="67" t="s">
        <v>3792</v>
      </c>
      <c r="W458" s="17"/>
    </row>
    <row r="459" spans="1:23">
      <c r="A459" s="155"/>
      <c r="B459" s="155"/>
      <c r="C459" s="67" t="s">
        <v>1688</v>
      </c>
      <c r="D459" s="67" t="s">
        <v>1957</v>
      </c>
      <c r="E459" s="67"/>
      <c r="F459" s="67"/>
      <c r="G459" s="67"/>
      <c r="H459" s="67"/>
      <c r="I459" s="67"/>
      <c r="J459" s="67"/>
      <c r="K459" s="67"/>
      <c r="L459" s="67"/>
      <c r="M459" s="67"/>
      <c r="N459" s="67"/>
      <c r="O459" s="67"/>
      <c r="P459" s="71"/>
      <c r="Q459" s="67"/>
      <c r="R459" s="69"/>
      <c r="S459" s="67"/>
      <c r="T459" s="67"/>
      <c r="U459" s="67"/>
      <c r="V459" s="67"/>
      <c r="W459" s="17"/>
    </row>
    <row r="460" spans="1:23" ht="409.6">
      <c r="A460" s="155" t="s">
        <v>156</v>
      </c>
      <c r="B460" s="155" t="s">
        <v>157</v>
      </c>
      <c r="C460" s="67" t="s">
        <v>1675</v>
      </c>
      <c r="D460" s="67" t="s">
        <v>36</v>
      </c>
      <c r="E460" s="67" t="s">
        <v>1675</v>
      </c>
      <c r="F460" s="67" t="s">
        <v>3793</v>
      </c>
      <c r="G460" s="67" t="s">
        <v>1675</v>
      </c>
      <c r="H460" s="67" t="s">
        <v>29</v>
      </c>
      <c r="I460" s="67" t="s">
        <v>1675</v>
      </c>
      <c r="J460" s="67" t="s">
        <v>3794</v>
      </c>
      <c r="K460" s="67" t="s">
        <v>1675</v>
      </c>
      <c r="L460" s="67" t="s">
        <v>3795</v>
      </c>
      <c r="M460" s="67" t="s">
        <v>1675</v>
      </c>
      <c r="N460" s="67" t="s">
        <v>3796</v>
      </c>
      <c r="O460" s="67" t="s">
        <v>1675</v>
      </c>
      <c r="P460" s="67" t="s">
        <v>942</v>
      </c>
      <c r="Q460" s="67" t="s">
        <v>1675</v>
      </c>
      <c r="R460" s="69" t="s">
        <v>3797</v>
      </c>
      <c r="S460" s="67" t="s">
        <v>1675</v>
      </c>
      <c r="T460" s="67" t="s">
        <v>3798</v>
      </c>
      <c r="U460" s="67" t="s">
        <v>1675</v>
      </c>
      <c r="V460" s="67" t="s">
        <v>17</v>
      </c>
      <c r="W460" s="17"/>
    </row>
    <row r="461" spans="1:23" ht="409.6">
      <c r="A461" s="155"/>
      <c r="B461" s="155"/>
      <c r="C461" s="67" t="s">
        <v>1681</v>
      </c>
      <c r="D461" s="67" t="s">
        <v>3799</v>
      </c>
      <c r="E461" s="67" t="s">
        <v>1681</v>
      </c>
      <c r="F461" s="67" t="s">
        <v>3800</v>
      </c>
      <c r="G461" s="67" t="s">
        <v>1681</v>
      </c>
      <c r="H461" s="67" t="s">
        <v>3801</v>
      </c>
      <c r="I461" s="67" t="s">
        <v>1681</v>
      </c>
      <c r="J461" s="67" t="s">
        <v>3794</v>
      </c>
      <c r="K461" s="67" t="s">
        <v>1681</v>
      </c>
      <c r="L461" s="67" t="s">
        <v>3755</v>
      </c>
      <c r="M461" s="67" t="s">
        <v>1681</v>
      </c>
      <c r="N461" s="67" t="s">
        <v>3802</v>
      </c>
      <c r="O461" s="67" t="s">
        <v>1681</v>
      </c>
      <c r="P461" s="67" t="s">
        <v>942</v>
      </c>
      <c r="Q461" s="67" t="s">
        <v>1681</v>
      </c>
      <c r="R461" s="69" t="s">
        <v>3797</v>
      </c>
      <c r="S461" s="67" t="s">
        <v>1681</v>
      </c>
      <c r="T461" s="67" t="s">
        <v>3798</v>
      </c>
      <c r="U461" s="67" t="s">
        <v>1681</v>
      </c>
      <c r="V461" s="67" t="s">
        <v>17</v>
      </c>
      <c r="W461" s="17"/>
    </row>
    <row r="462" spans="1:23" ht="409.6">
      <c r="A462" s="155"/>
      <c r="B462" s="155"/>
      <c r="C462" s="67" t="s">
        <v>1685</v>
      </c>
      <c r="D462" s="67" t="s">
        <v>3799</v>
      </c>
      <c r="E462" s="67" t="s">
        <v>1685</v>
      </c>
      <c r="F462" s="67" t="s">
        <v>3800</v>
      </c>
      <c r="G462" s="67" t="s">
        <v>1685</v>
      </c>
      <c r="H462" s="67"/>
      <c r="I462" s="67" t="s">
        <v>1685</v>
      </c>
      <c r="J462" s="67" t="s">
        <v>3794</v>
      </c>
      <c r="K462" s="67" t="s">
        <v>1685</v>
      </c>
      <c r="L462" s="67" t="s">
        <v>3803</v>
      </c>
      <c r="M462" s="67" t="s">
        <v>1685</v>
      </c>
      <c r="N462" s="67" t="s">
        <v>3804</v>
      </c>
      <c r="O462" s="67" t="s">
        <v>1685</v>
      </c>
      <c r="P462" s="67" t="s">
        <v>942</v>
      </c>
      <c r="Q462" s="67" t="s">
        <v>1685</v>
      </c>
      <c r="R462" s="69" t="s">
        <v>3797</v>
      </c>
      <c r="S462" s="67" t="s">
        <v>1685</v>
      </c>
      <c r="T462" s="67" t="s">
        <v>3798</v>
      </c>
      <c r="U462" s="67" t="s">
        <v>1685</v>
      </c>
      <c r="V462" s="67" t="s">
        <v>17</v>
      </c>
      <c r="W462" s="17"/>
    </row>
    <row r="463" spans="1:23">
      <c r="A463" s="155"/>
      <c r="B463" s="155"/>
      <c r="C463" s="67" t="s">
        <v>1688</v>
      </c>
      <c r="D463" s="67" t="s">
        <v>1957</v>
      </c>
      <c r="E463" s="67"/>
      <c r="F463" s="67"/>
      <c r="G463" s="67"/>
      <c r="H463" s="67"/>
      <c r="I463" s="67"/>
      <c r="J463" s="67"/>
      <c r="K463" s="67"/>
      <c r="L463" s="67"/>
      <c r="M463" s="67"/>
      <c r="N463" s="67"/>
      <c r="O463" s="67"/>
      <c r="P463" s="67"/>
      <c r="Q463" s="67"/>
      <c r="R463" s="69"/>
      <c r="S463" s="67"/>
      <c r="T463" s="67"/>
      <c r="U463" s="67"/>
      <c r="V463" s="67"/>
      <c r="W463" s="17"/>
    </row>
    <row r="464" spans="1:23" ht="409.6">
      <c r="A464" s="155" t="s">
        <v>1015</v>
      </c>
      <c r="B464" s="155" t="s">
        <v>3805</v>
      </c>
      <c r="C464" s="67" t="s">
        <v>1681</v>
      </c>
      <c r="D464" s="67" t="s">
        <v>3806</v>
      </c>
      <c r="E464" s="67" t="s">
        <v>1681</v>
      </c>
      <c r="F464" s="67" t="s">
        <v>3807</v>
      </c>
      <c r="G464" s="67" t="s">
        <v>1681</v>
      </c>
      <c r="H464" s="67" t="s">
        <v>29</v>
      </c>
      <c r="I464" s="67" t="s">
        <v>1681</v>
      </c>
      <c r="J464" s="67" t="s">
        <v>3808</v>
      </c>
      <c r="K464" s="67" t="s">
        <v>1681</v>
      </c>
      <c r="L464" s="67" t="s">
        <v>3809</v>
      </c>
      <c r="M464" s="67" t="s">
        <v>1681</v>
      </c>
      <c r="N464" s="67" t="s">
        <v>3810</v>
      </c>
      <c r="O464" s="67" t="s">
        <v>1681</v>
      </c>
      <c r="P464" s="67" t="s">
        <v>314</v>
      </c>
      <c r="Q464" s="67" t="s">
        <v>1681</v>
      </c>
      <c r="R464" s="69" t="s">
        <v>3811</v>
      </c>
      <c r="S464" s="67" t="s">
        <v>1681</v>
      </c>
      <c r="T464" s="67" t="s">
        <v>3812</v>
      </c>
      <c r="U464" s="67" t="s">
        <v>1681</v>
      </c>
      <c r="V464" s="67" t="s">
        <v>3813</v>
      </c>
      <c r="W464" s="17"/>
    </row>
    <row r="465" spans="1:23" ht="409.6">
      <c r="A465" s="155"/>
      <c r="B465" s="155"/>
      <c r="C465" s="67" t="s">
        <v>1685</v>
      </c>
      <c r="D465" s="67" t="s">
        <v>3814</v>
      </c>
      <c r="E465" s="67" t="s">
        <v>1685</v>
      </c>
      <c r="F465" s="67" t="s">
        <v>3807</v>
      </c>
      <c r="G465" s="67" t="s">
        <v>1685</v>
      </c>
      <c r="H465" s="67" t="s">
        <v>88</v>
      </c>
      <c r="I465" s="67" t="s">
        <v>1685</v>
      </c>
      <c r="J465" s="67" t="s">
        <v>3815</v>
      </c>
      <c r="K465" s="67" t="s">
        <v>1685</v>
      </c>
      <c r="L465" s="67" t="s">
        <v>3816</v>
      </c>
      <c r="M465" s="67" t="s">
        <v>1685</v>
      </c>
      <c r="N465" s="68">
        <v>44057</v>
      </c>
      <c r="O465" s="67" t="s">
        <v>1685</v>
      </c>
      <c r="P465" s="67" t="s">
        <v>314</v>
      </c>
      <c r="Q465" s="67" t="s">
        <v>1685</v>
      </c>
      <c r="R465" s="69" t="s">
        <v>3817</v>
      </c>
      <c r="S465" s="67" t="s">
        <v>1685</v>
      </c>
      <c r="T465" s="67" t="s">
        <v>17</v>
      </c>
      <c r="U465" s="67" t="s">
        <v>1685</v>
      </c>
      <c r="V465" s="69" t="s">
        <v>3818</v>
      </c>
      <c r="W465" s="17"/>
    </row>
    <row r="466" spans="1:23" ht="409.6">
      <c r="A466" s="155"/>
      <c r="B466" s="155"/>
      <c r="C466" s="67" t="s">
        <v>1688</v>
      </c>
      <c r="D466" s="67" t="s">
        <v>3814</v>
      </c>
      <c r="E466" s="67" t="s">
        <v>1688</v>
      </c>
      <c r="F466" s="67" t="s">
        <v>3807</v>
      </c>
      <c r="G466" s="67" t="s">
        <v>1688</v>
      </c>
      <c r="H466" s="67" t="s">
        <v>88</v>
      </c>
      <c r="I466" s="67" t="s">
        <v>1688</v>
      </c>
      <c r="J466" s="67" t="s">
        <v>3819</v>
      </c>
      <c r="K466" s="67" t="s">
        <v>1688</v>
      </c>
      <c r="L466" s="67" t="s">
        <v>3820</v>
      </c>
      <c r="M466" s="67" t="s">
        <v>1688</v>
      </c>
      <c r="N466" s="68">
        <v>44390</v>
      </c>
      <c r="O466" s="67" t="s">
        <v>1688</v>
      </c>
      <c r="P466" s="67" t="s">
        <v>402</v>
      </c>
      <c r="Q466" s="67" t="s">
        <v>1688</v>
      </c>
      <c r="R466" s="69" t="s">
        <v>3821</v>
      </c>
      <c r="S466" s="67" t="s">
        <v>1688</v>
      </c>
      <c r="T466" s="67" t="s">
        <v>17</v>
      </c>
      <c r="U466" s="67" t="s">
        <v>1688</v>
      </c>
      <c r="V466" s="69" t="s">
        <v>3822</v>
      </c>
      <c r="W466" s="17"/>
    </row>
    <row r="467" spans="1:23" ht="409.6">
      <c r="A467" s="155" t="s">
        <v>612</v>
      </c>
      <c r="B467" s="155" t="s">
        <v>3823</v>
      </c>
      <c r="C467" s="67" t="s">
        <v>1681</v>
      </c>
      <c r="D467" s="67" t="s">
        <v>3824</v>
      </c>
      <c r="E467" s="67" t="s">
        <v>1681</v>
      </c>
      <c r="F467" s="67" t="s">
        <v>3825</v>
      </c>
      <c r="G467" s="67" t="s">
        <v>1681</v>
      </c>
      <c r="H467" s="67" t="s">
        <v>29</v>
      </c>
      <c r="I467" s="67" t="s">
        <v>1681</v>
      </c>
      <c r="J467" s="67" t="s">
        <v>3826</v>
      </c>
      <c r="K467" s="67" t="s">
        <v>1681</v>
      </c>
      <c r="L467" s="67" t="s">
        <v>3827</v>
      </c>
      <c r="M467" s="67" t="s">
        <v>1681</v>
      </c>
      <c r="N467" s="67" t="s">
        <v>3828</v>
      </c>
      <c r="O467" s="67" t="s">
        <v>1681</v>
      </c>
      <c r="P467" s="67" t="s">
        <v>17</v>
      </c>
      <c r="Q467" s="67" t="s">
        <v>1681</v>
      </c>
      <c r="R467" s="67" t="s">
        <v>3829</v>
      </c>
      <c r="S467" s="67" t="s">
        <v>1681</v>
      </c>
      <c r="T467" s="67" t="s">
        <v>3830</v>
      </c>
      <c r="U467" s="67" t="s">
        <v>1681</v>
      </c>
      <c r="V467" s="67" t="s">
        <v>3831</v>
      </c>
      <c r="W467" s="17"/>
    </row>
    <row r="468" spans="1:23" ht="409.6">
      <c r="A468" s="155"/>
      <c r="B468" s="155"/>
      <c r="C468" s="67" t="s">
        <v>1685</v>
      </c>
      <c r="D468" s="69" t="s">
        <v>3832</v>
      </c>
      <c r="E468" s="67" t="s">
        <v>1685</v>
      </c>
      <c r="F468" s="69" t="s">
        <v>3833</v>
      </c>
      <c r="G468" s="67" t="s">
        <v>1685</v>
      </c>
      <c r="H468" s="67" t="s">
        <v>88</v>
      </c>
      <c r="I468" s="67" t="s">
        <v>1685</v>
      </c>
      <c r="J468" s="69" t="s">
        <v>3834</v>
      </c>
      <c r="K468" s="67" t="s">
        <v>1685</v>
      </c>
      <c r="L468" s="67" t="s">
        <v>3835</v>
      </c>
      <c r="M468" s="67" t="s">
        <v>1685</v>
      </c>
      <c r="N468" s="69" t="s">
        <v>3836</v>
      </c>
      <c r="O468" s="67" t="s">
        <v>1685</v>
      </c>
      <c r="P468" s="67" t="s">
        <v>17</v>
      </c>
      <c r="Q468" s="67" t="s">
        <v>1685</v>
      </c>
      <c r="R468" s="69" t="s">
        <v>3829</v>
      </c>
      <c r="S468" s="67" t="s">
        <v>1685</v>
      </c>
      <c r="T468" s="67" t="s">
        <v>3837</v>
      </c>
      <c r="U468" s="67" t="s">
        <v>1685</v>
      </c>
      <c r="V468" s="67" t="s">
        <v>3838</v>
      </c>
      <c r="W468" s="17"/>
    </row>
    <row r="469" spans="1:23" ht="409.6">
      <c r="A469" s="155"/>
      <c r="B469" s="155"/>
      <c r="C469" s="67" t="s">
        <v>1688</v>
      </c>
      <c r="D469" s="69" t="s">
        <v>3832</v>
      </c>
      <c r="E469" s="67" t="s">
        <v>1688</v>
      </c>
      <c r="F469" s="69" t="s">
        <v>3839</v>
      </c>
      <c r="G469" s="67" t="s">
        <v>1688</v>
      </c>
      <c r="H469" s="67" t="s">
        <v>88</v>
      </c>
      <c r="I469" s="67" t="s">
        <v>1688</v>
      </c>
      <c r="J469" s="69" t="s">
        <v>3834</v>
      </c>
      <c r="K469" s="67" t="s">
        <v>1688</v>
      </c>
      <c r="L469" s="67" t="s">
        <v>3840</v>
      </c>
      <c r="M469" s="67" t="s">
        <v>1688</v>
      </c>
      <c r="N469" s="69" t="s">
        <v>3841</v>
      </c>
      <c r="O469" s="67" t="s">
        <v>1688</v>
      </c>
      <c r="P469" s="67" t="s">
        <v>3842</v>
      </c>
      <c r="Q469" s="67" t="s">
        <v>1688</v>
      </c>
      <c r="R469" s="69" t="s">
        <v>3843</v>
      </c>
      <c r="S469" s="67" t="s">
        <v>1688</v>
      </c>
      <c r="T469" s="67" t="s">
        <v>3837</v>
      </c>
      <c r="U469" s="67" t="s">
        <v>1688</v>
      </c>
      <c r="V469" s="67" t="s">
        <v>3844</v>
      </c>
      <c r="W469" s="17"/>
    </row>
    <row r="470" spans="1:23" ht="409.6">
      <c r="A470" s="155" t="s">
        <v>287</v>
      </c>
      <c r="B470" s="155" t="s">
        <v>59</v>
      </c>
      <c r="C470" s="67" t="s">
        <v>1675</v>
      </c>
      <c r="D470" s="67" t="s">
        <v>52</v>
      </c>
      <c r="E470" s="67" t="s">
        <v>1675</v>
      </c>
      <c r="F470" s="67" t="s">
        <v>3845</v>
      </c>
      <c r="G470" s="67" t="s">
        <v>1675</v>
      </c>
      <c r="H470" s="67" t="s">
        <v>29</v>
      </c>
      <c r="I470" s="67" t="s">
        <v>1675</v>
      </c>
      <c r="J470" s="72" t="s">
        <v>3846</v>
      </c>
      <c r="K470" s="67" t="s">
        <v>1675</v>
      </c>
      <c r="L470" s="67" t="s">
        <v>3847</v>
      </c>
      <c r="M470" s="67" t="s">
        <v>1675</v>
      </c>
      <c r="N470" s="67" t="s">
        <v>3848</v>
      </c>
      <c r="O470" s="67" t="s">
        <v>1675</v>
      </c>
      <c r="P470" s="67" t="s">
        <v>3849</v>
      </c>
      <c r="Q470" s="67" t="s">
        <v>1675</v>
      </c>
      <c r="R470" s="69" t="s">
        <v>3850</v>
      </c>
      <c r="S470" s="67" t="s">
        <v>1675</v>
      </c>
      <c r="T470" s="67" t="s">
        <v>3851</v>
      </c>
      <c r="U470" s="67" t="s">
        <v>1675</v>
      </c>
      <c r="V470" s="67" t="s">
        <v>3852</v>
      </c>
      <c r="W470" s="17"/>
    </row>
    <row r="471" spans="1:23" ht="409.6">
      <c r="A471" s="155"/>
      <c r="B471" s="155"/>
      <c r="C471" s="67" t="s">
        <v>1681</v>
      </c>
      <c r="D471" s="67" t="s">
        <v>52</v>
      </c>
      <c r="E471" s="67" t="s">
        <v>1681</v>
      </c>
      <c r="F471" s="67" t="s">
        <v>3845</v>
      </c>
      <c r="G471" s="67" t="s">
        <v>1681</v>
      </c>
      <c r="H471" s="67" t="s">
        <v>29</v>
      </c>
      <c r="I471" s="67" t="s">
        <v>1681</v>
      </c>
      <c r="J471" s="72" t="s">
        <v>3846</v>
      </c>
      <c r="K471" s="67" t="s">
        <v>1681</v>
      </c>
      <c r="L471" s="67" t="s">
        <v>3853</v>
      </c>
      <c r="M471" s="67" t="s">
        <v>1681</v>
      </c>
      <c r="N471" s="67" t="s">
        <v>3854</v>
      </c>
      <c r="O471" s="67" t="s">
        <v>1681</v>
      </c>
      <c r="P471" s="67" t="s">
        <v>231</v>
      </c>
      <c r="Q471" s="67" t="s">
        <v>1681</v>
      </c>
      <c r="R471" s="69" t="s">
        <v>3850</v>
      </c>
      <c r="S471" s="67" t="s">
        <v>1681</v>
      </c>
      <c r="T471" s="67" t="s">
        <v>3855</v>
      </c>
      <c r="U471" s="67" t="s">
        <v>1681</v>
      </c>
      <c r="V471" s="67" t="s">
        <v>3852</v>
      </c>
      <c r="W471" s="17"/>
    </row>
    <row r="472" spans="1:23" ht="409.6">
      <c r="A472" s="155"/>
      <c r="B472" s="155"/>
      <c r="C472" s="67" t="s">
        <v>1685</v>
      </c>
      <c r="D472" s="67" t="s">
        <v>52</v>
      </c>
      <c r="E472" s="67" t="s">
        <v>1685</v>
      </c>
      <c r="F472" s="67" t="s">
        <v>3845</v>
      </c>
      <c r="G472" s="67" t="s">
        <v>1685</v>
      </c>
      <c r="H472" s="67" t="s">
        <v>88</v>
      </c>
      <c r="I472" s="67" t="s">
        <v>1685</v>
      </c>
      <c r="J472" s="67" t="s">
        <v>3856</v>
      </c>
      <c r="K472" s="67" t="s">
        <v>1685</v>
      </c>
      <c r="L472" s="67" t="s">
        <v>3857</v>
      </c>
      <c r="M472" s="67" t="s">
        <v>1685</v>
      </c>
      <c r="N472" s="67" t="s">
        <v>3858</v>
      </c>
      <c r="O472" s="67" t="s">
        <v>1685</v>
      </c>
      <c r="P472" s="67" t="s">
        <v>1860</v>
      </c>
      <c r="Q472" s="67" t="s">
        <v>1685</v>
      </c>
      <c r="R472" s="69" t="s">
        <v>3850</v>
      </c>
      <c r="S472" s="67" t="s">
        <v>1685</v>
      </c>
      <c r="T472" s="67" t="s">
        <v>17</v>
      </c>
      <c r="U472" s="67" t="s">
        <v>1685</v>
      </c>
      <c r="V472" s="67" t="s">
        <v>3852</v>
      </c>
      <c r="W472" s="17"/>
    </row>
    <row r="473" spans="1:23" ht="409.6">
      <c r="A473" s="155"/>
      <c r="B473" s="155"/>
      <c r="C473" s="67" t="s">
        <v>1688</v>
      </c>
      <c r="D473" s="67" t="s">
        <v>52</v>
      </c>
      <c r="E473" s="67" t="s">
        <v>1688</v>
      </c>
      <c r="F473" s="67" t="s">
        <v>3845</v>
      </c>
      <c r="G473" s="67" t="s">
        <v>1688</v>
      </c>
      <c r="H473" s="67" t="s">
        <v>29</v>
      </c>
      <c r="I473" s="67" t="s">
        <v>1688</v>
      </c>
      <c r="J473" s="67" t="s">
        <v>3859</v>
      </c>
      <c r="K473" s="67" t="s">
        <v>1688</v>
      </c>
      <c r="L473" s="67" t="s">
        <v>3860</v>
      </c>
      <c r="M473" s="67" t="s">
        <v>1688</v>
      </c>
      <c r="N473" s="67" t="s">
        <v>3861</v>
      </c>
      <c r="O473" s="67" t="s">
        <v>1688</v>
      </c>
      <c r="P473" s="67" t="s">
        <v>3862</v>
      </c>
      <c r="Q473" s="67" t="s">
        <v>1688</v>
      </c>
      <c r="R473" s="69" t="s">
        <v>3863</v>
      </c>
      <c r="S473" s="67" t="s">
        <v>1688</v>
      </c>
      <c r="T473" s="67" t="s">
        <v>17</v>
      </c>
      <c r="U473" s="67" t="s">
        <v>1688</v>
      </c>
      <c r="V473" s="67" t="s">
        <v>3864</v>
      </c>
      <c r="W473" s="17"/>
    </row>
    <row r="474" spans="1:23" ht="409.6">
      <c r="A474" s="155" t="s">
        <v>50</v>
      </c>
      <c r="B474" s="155" t="s">
        <v>451</v>
      </c>
      <c r="C474" s="67" t="s">
        <v>1681</v>
      </c>
      <c r="D474" s="67" t="s">
        <v>3865</v>
      </c>
      <c r="E474" s="67" t="s">
        <v>1681</v>
      </c>
      <c r="F474" s="67" t="s">
        <v>3866</v>
      </c>
      <c r="G474" s="67" t="s">
        <v>1681</v>
      </c>
      <c r="H474" s="67" t="s">
        <v>29</v>
      </c>
      <c r="I474" s="67" t="s">
        <v>1681</v>
      </c>
      <c r="J474" s="67" t="s">
        <v>3867</v>
      </c>
      <c r="K474" s="67" t="s">
        <v>1681</v>
      </c>
      <c r="L474" s="67" t="s">
        <v>17</v>
      </c>
      <c r="M474" s="67" t="s">
        <v>1681</v>
      </c>
      <c r="N474" s="67" t="s">
        <v>3868</v>
      </c>
      <c r="O474" s="67" t="s">
        <v>1681</v>
      </c>
      <c r="P474" s="67" t="s">
        <v>928</v>
      </c>
      <c r="Q474" s="67" t="s">
        <v>1681</v>
      </c>
      <c r="R474" s="69" t="s">
        <v>3869</v>
      </c>
      <c r="S474" s="67" t="s">
        <v>1681</v>
      </c>
      <c r="T474" s="67" t="s">
        <v>3870</v>
      </c>
      <c r="U474" s="67" t="s">
        <v>1681</v>
      </c>
      <c r="V474" s="67" t="s">
        <v>3871</v>
      </c>
      <c r="W474" s="17"/>
    </row>
    <row r="475" spans="1:23" ht="409.6">
      <c r="A475" s="155"/>
      <c r="B475" s="155"/>
      <c r="C475" s="67" t="s">
        <v>1685</v>
      </c>
      <c r="D475" s="67" t="s">
        <v>36</v>
      </c>
      <c r="E475" s="67" t="s">
        <v>1685</v>
      </c>
      <c r="F475" s="67" t="s">
        <v>3872</v>
      </c>
      <c r="G475" s="67" t="s">
        <v>1685</v>
      </c>
      <c r="H475" s="67" t="s">
        <v>17</v>
      </c>
      <c r="I475" s="67" t="s">
        <v>1685</v>
      </c>
      <c r="J475" s="67" t="s">
        <v>3873</v>
      </c>
      <c r="K475" s="67" t="s">
        <v>1685</v>
      </c>
      <c r="L475" s="67" t="s">
        <v>3874</v>
      </c>
      <c r="M475" s="67" t="s">
        <v>1685</v>
      </c>
      <c r="N475" s="72" t="s">
        <v>3875</v>
      </c>
      <c r="O475" s="67" t="s">
        <v>1685</v>
      </c>
      <c r="P475" s="67" t="s">
        <v>402</v>
      </c>
      <c r="Q475" s="67" t="s">
        <v>1685</v>
      </c>
      <c r="R475" s="69" t="s">
        <v>3876</v>
      </c>
      <c r="S475" s="67" t="s">
        <v>1685</v>
      </c>
      <c r="T475" s="67" t="s">
        <v>17</v>
      </c>
      <c r="U475" s="67" t="s">
        <v>1685</v>
      </c>
      <c r="V475" s="67" t="s">
        <v>17</v>
      </c>
      <c r="W475" s="17"/>
    </row>
    <row r="476" spans="1:23" ht="409.6">
      <c r="A476" s="155"/>
      <c r="B476" s="155"/>
      <c r="C476" s="67" t="s">
        <v>1688</v>
      </c>
      <c r="D476" s="67" t="s">
        <v>36</v>
      </c>
      <c r="E476" s="67" t="s">
        <v>1688</v>
      </c>
      <c r="F476" s="67" t="s">
        <v>3872</v>
      </c>
      <c r="G476" s="67" t="s">
        <v>1688</v>
      </c>
      <c r="H476" s="67" t="s">
        <v>29</v>
      </c>
      <c r="I476" s="67" t="s">
        <v>1688</v>
      </c>
      <c r="J476" s="67" t="s">
        <v>3873</v>
      </c>
      <c r="K476" s="67" t="s">
        <v>1688</v>
      </c>
      <c r="L476" s="67" t="s">
        <v>3877</v>
      </c>
      <c r="M476" s="67" t="s">
        <v>1688</v>
      </c>
      <c r="N476" s="72" t="s">
        <v>3878</v>
      </c>
      <c r="O476" s="67" t="s">
        <v>1688</v>
      </c>
      <c r="P476" s="67" t="s">
        <v>3879</v>
      </c>
      <c r="Q476" s="67" t="s">
        <v>1688</v>
      </c>
      <c r="R476" s="69" t="s">
        <v>3880</v>
      </c>
      <c r="S476" s="67" t="s">
        <v>1688</v>
      </c>
      <c r="T476" s="67" t="s">
        <v>3881</v>
      </c>
      <c r="U476" s="67" t="s">
        <v>1688</v>
      </c>
      <c r="V476" s="67" t="s">
        <v>17</v>
      </c>
      <c r="W476" s="17"/>
    </row>
    <row r="477" spans="1:23" ht="409.6">
      <c r="A477" s="155" t="s">
        <v>13</v>
      </c>
      <c r="B477" s="155" t="s">
        <v>828</v>
      </c>
      <c r="C477" s="67" t="s">
        <v>1675</v>
      </c>
      <c r="D477" s="67" t="s">
        <v>36</v>
      </c>
      <c r="E477" s="67" t="s">
        <v>1675</v>
      </c>
      <c r="F477" s="67" t="s">
        <v>2023</v>
      </c>
      <c r="G477" s="67" t="s">
        <v>1675</v>
      </c>
      <c r="H477" s="67" t="s">
        <v>29</v>
      </c>
      <c r="I477" s="67" t="s">
        <v>1675</v>
      </c>
      <c r="J477" s="67" t="s">
        <v>3882</v>
      </c>
      <c r="K477" s="67" t="s">
        <v>1675</v>
      </c>
      <c r="L477" s="67" t="s">
        <v>3883</v>
      </c>
      <c r="M477" s="67" t="s">
        <v>1675</v>
      </c>
      <c r="N477" s="67" t="s">
        <v>145</v>
      </c>
      <c r="O477" s="67" t="s">
        <v>1675</v>
      </c>
      <c r="P477" s="67" t="s">
        <v>17</v>
      </c>
      <c r="Q477" s="67" t="s">
        <v>1675</v>
      </c>
      <c r="R477" s="69" t="s">
        <v>3884</v>
      </c>
      <c r="S477" s="67" t="s">
        <v>1675</v>
      </c>
      <c r="T477" s="67" t="s">
        <v>3885</v>
      </c>
      <c r="U477" s="67" t="s">
        <v>1675</v>
      </c>
      <c r="V477" s="67" t="s">
        <v>17</v>
      </c>
      <c r="W477" s="17"/>
    </row>
    <row r="478" spans="1:23" ht="409.6">
      <c r="A478" s="155"/>
      <c r="B478" s="155"/>
      <c r="C478" s="67" t="s">
        <v>1681</v>
      </c>
      <c r="D478" s="67" t="s">
        <v>36</v>
      </c>
      <c r="E478" s="67" t="s">
        <v>1681</v>
      </c>
      <c r="F478" s="67" t="s">
        <v>3886</v>
      </c>
      <c r="G478" s="67" t="s">
        <v>1681</v>
      </c>
      <c r="H478" s="67" t="s">
        <v>29</v>
      </c>
      <c r="I478" s="67" t="s">
        <v>1681</v>
      </c>
      <c r="J478" s="67" t="s">
        <v>3882</v>
      </c>
      <c r="K478" s="67" t="s">
        <v>1681</v>
      </c>
      <c r="L478" s="67" t="s">
        <v>3887</v>
      </c>
      <c r="M478" s="67" t="s">
        <v>1681</v>
      </c>
      <c r="N478" s="67" t="s">
        <v>3888</v>
      </c>
      <c r="O478" s="67" t="s">
        <v>1681</v>
      </c>
      <c r="P478" s="67" t="s">
        <v>17</v>
      </c>
      <c r="Q478" s="67" t="s">
        <v>1681</v>
      </c>
      <c r="R478" s="69" t="s">
        <v>3889</v>
      </c>
      <c r="S478" s="67" t="s">
        <v>1681</v>
      </c>
      <c r="T478" s="67" t="s">
        <v>3890</v>
      </c>
      <c r="U478" s="67" t="s">
        <v>1681</v>
      </c>
      <c r="V478" s="67" t="s">
        <v>17</v>
      </c>
      <c r="W478" s="17"/>
    </row>
    <row r="479" spans="1:23" ht="409.6">
      <c r="A479" s="155"/>
      <c r="B479" s="155"/>
      <c r="C479" s="67" t="s">
        <v>1685</v>
      </c>
      <c r="D479" s="67" t="s">
        <v>36</v>
      </c>
      <c r="E479" s="67" t="s">
        <v>1685</v>
      </c>
      <c r="F479" s="67" t="s">
        <v>3886</v>
      </c>
      <c r="G479" s="67" t="s">
        <v>1685</v>
      </c>
      <c r="H479" s="67" t="s">
        <v>88</v>
      </c>
      <c r="I479" s="67" t="s">
        <v>1685</v>
      </c>
      <c r="J479" s="67" t="s">
        <v>3891</v>
      </c>
      <c r="K479" s="67" t="s">
        <v>1685</v>
      </c>
      <c r="L479" s="67" t="s">
        <v>3892</v>
      </c>
      <c r="M479" s="67" t="s">
        <v>1685</v>
      </c>
      <c r="N479" s="67" t="s">
        <v>3893</v>
      </c>
      <c r="O479" s="67" t="s">
        <v>1685</v>
      </c>
      <c r="P479" s="67" t="s">
        <v>17</v>
      </c>
      <c r="Q479" s="67" t="s">
        <v>1685</v>
      </c>
      <c r="R479" s="67" t="s">
        <v>3894</v>
      </c>
      <c r="S479" s="67" t="s">
        <v>1685</v>
      </c>
      <c r="T479" s="67" t="s">
        <v>17</v>
      </c>
      <c r="U479" s="67" t="s">
        <v>1685</v>
      </c>
      <c r="V479" s="67" t="s">
        <v>17</v>
      </c>
      <c r="W479" s="17"/>
    </row>
    <row r="480" spans="1:23" ht="409.6">
      <c r="A480" s="155"/>
      <c r="B480" s="155"/>
      <c r="C480" s="67" t="s">
        <v>1688</v>
      </c>
      <c r="D480" s="67" t="s">
        <v>36</v>
      </c>
      <c r="E480" s="67" t="s">
        <v>1688</v>
      </c>
      <c r="F480" s="67" t="s">
        <v>3886</v>
      </c>
      <c r="G480" s="67" t="s">
        <v>1688</v>
      </c>
      <c r="H480" s="67" t="s">
        <v>88</v>
      </c>
      <c r="I480" s="67" t="s">
        <v>1688</v>
      </c>
      <c r="J480" s="67" t="s">
        <v>3895</v>
      </c>
      <c r="K480" s="67" t="s">
        <v>1688</v>
      </c>
      <c r="L480" s="67" t="s">
        <v>3896</v>
      </c>
      <c r="M480" s="67" t="s">
        <v>1688</v>
      </c>
      <c r="N480" s="67" t="s">
        <v>2698</v>
      </c>
      <c r="O480" s="67" t="s">
        <v>1688</v>
      </c>
      <c r="P480" s="67" t="s">
        <v>17</v>
      </c>
      <c r="Q480" s="67" t="s">
        <v>1688</v>
      </c>
      <c r="R480" s="67" t="s">
        <v>3897</v>
      </c>
      <c r="S480" s="67" t="s">
        <v>1688</v>
      </c>
      <c r="T480" s="67" t="s">
        <v>17</v>
      </c>
      <c r="U480" s="67" t="s">
        <v>1688</v>
      </c>
      <c r="V480" s="67" t="s">
        <v>17</v>
      </c>
      <c r="W480" s="17"/>
    </row>
    <row r="481" spans="1:23" ht="409.6">
      <c r="A481" s="155" t="s">
        <v>50</v>
      </c>
      <c r="B481" s="155" t="s">
        <v>1300</v>
      </c>
      <c r="C481" s="67" t="s">
        <v>1681</v>
      </c>
      <c r="D481" s="67" t="s">
        <v>1238</v>
      </c>
      <c r="E481" s="67" t="s">
        <v>1681</v>
      </c>
      <c r="F481" s="67" t="s">
        <v>3898</v>
      </c>
      <c r="G481" s="67" t="s">
        <v>1681</v>
      </c>
      <c r="H481" s="67" t="s">
        <v>29</v>
      </c>
      <c r="I481" s="67" t="s">
        <v>1681</v>
      </c>
      <c r="J481" s="67" t="s">
        <v>3899</v>
      </c>
      <c r="K481" s="67" t="s">
        <v>1681</v>
      </c>
      <c r="L481" s="67" t="s">
        <v>3900</v>
      </c>
      <c r="M481" s="67" t="s">
        <v>1681</v>
      </c>
      <c r="N481" s="67" t="s">
        <v>3901</v>
      </c>
      <c r="O481" s="67" t="s">
        <v>1681</v>
      </c>
      <c r="P481" s="67" t="s">
        <v>3902</v>
      </c>
      <c r="Q481" s="67" t="s">
        <v>1681</v>
      </c>
      <c r="R481" s="67" t="s">
        <v>3903</v>
      </c>
      <c r="S481" s="67" t="s">
        <v>1681</v>
      </c>
      <c r="T481" s="67" t="s">
        <v>3904</v>
      </c>
      <c r="U481" s="67" t="s">
        <v>1681</v>
      </c>
      <c r="V481" s="67" t="s">
        <v>3905</v>
      </c>
      <c r="W481" s="17"/>
    </row>
    <row r="482" spans="1:23" ht="409.6">
      <c r="A482" s="155"/>
      <c r="B482" s="155"/>
      <c r="C482" s="67" t="s">
        <v>1685</v>
      </c>
      <c r="D482" s="67" t="s">
        <v>1238</v>
      </c>
      <c r="E482" s="67" t="s">
        <v>1685</v>
      </c>
      <c r="F482" s="67" t="s">
        <v>3898</v>
      </c>
      <c r="G482" s="67" t="s">
        <v>1685</v>
      </c>
      <c r="H482" s="67" t="s">
        <v>88</v>
      </c>
      <c r="I482" s="67" t="s">
        <v>1685</v>
      </c>
      <c r="J482" s="67" t="s">
        <v>3906</v>
      </c>
      <c r="K482" s="67" t="s">
        <v>1685</v>
      </c>
      <c r="L482" s="67" t="s">
        <v>3907</v>
      </c>
      <c r="M482" s="67" t="s">
        <v>1685</v>
      </c>
      <c r="N482" s="68">
        <v>44040</v>
      </c>
      <c r="O482" s="67" t="s">
        <v>1685</v>
      </c>
      <c r="P482" s="67" t="s">
        <v>3902</v>
      </c>
      <c r="Q482" s="67" t="s">
        <v>1685</v>
      </c>
      <c r="R482" s="67" t="s">
        <v>3908</v>
      </c>
      <c r="S482" s="67" t="s">
        <v>1685</v>
      </c>
      <c r="T482" s="67" t="s">
        <v>17</v>
      </c>
      <c r="U482" s="67" t="s">
        <v>1685</v>
      </c>
      <c r="V482" s="67" t="s">
        <v>3909</v>
      </c>
      <c r="W482" s="17"/>
    </row>
    <row r="483" spans="1:23" ht="409.6">
      <c r="A483" s="155"/>
      <c r="B483" s="155"/>
      <c r="C483" s="67" t="s">
        <v>1688</v>
      </c>
      <c r="D483" s="67" t="s">
        <v>1238</v>
      </c>
      <c r="E483" s="67" t="s">
        <v>1688</v>
      </c>
      <c r="F483" s="67" t="s">
        <v>3898</v>
      </c>
      <c r="G483" s="67" t="s">
        <v>1688</v>
      </c>
      <c r="H483" s="67" t="s">
        <v>88</v>
      </c>
      <c r="I483" s="67" t="s">
        <v>1688</v>
      </c>
      <c r="J483" s="67" t="s">
        <v>3910</v>
      </c>
      <c r="K483" s="67" t="s">
        <v>1688</v>
      </c>
      <c r="L483" s="67" t="s">
        <v>3911</v>
      </c>
      <c r="M483" s="67" t="s">
        <v>1688</v>
      </c>
      <c r="N483" s="68" t="s">
        <v>3912</v>
      </c>
      <c r="O483" s="67" t="s">
        <v>1688</v>
      </c>
      <c r="P483" s="67" t="s">
        <v>3913</v>
      </c>
      <c r="Q483" s="67" t="s">
        <v>1688</v>
      </c>
      <c r="R483" s="67" t="s">
        <v>3914</v>
      </c>
      <c r="S483" s="67" t="s">
        <v>1688</v>
      </c>
      <c r="T483" s="67" t="s">
        <v>17</v>
      </c>
      <c r="U483" s="67" t="s">
        <v>1688</v>
      </c>
      <c r="V483" s="67" t="s">
        <v>3915</v>
      </c>
      <c r="W483" s="17"/>
    </row>
    <row r="484" spans="1:23" ht="409.6">
      <c r="A484" s="155" t="s">
        <v>760</v>
      </c>
      <c r="B484" s="155" t="s">
        <v>923</v>
      </c>
      <c r="C484" s="67" t="s">
        <v>1675</v>
      </c>
      <c r="D484" s="67" t="s">
        <v>3916</v>
      </c>
      <c r="E484" s="67" t="s">
        <v>1675</v>
      </c>
      <c r="F484" s="67" t="s">
        <v>925</v>
      </c>
      <c r="G484" s="67" t="s">
        <v>1675</v>
      </c>
      <c r="H484" s="67" t="s">
        <v>29</v>
      </c>
      <c r="I484" s="67" t="s">
        <v>1675</v>
      </c>
      <c r="J484" s="67" t="s">
        <v>3917</v>
      </c>
      <c r="K484" s="67" t="s">
        <v>1675</v>
      </c>
      <c r="L484" s="67" t="s">
        <v>3918</v>
      </c>
      <c r="M484" s="67" t="s">
        <v>1675</v>
      </c>
      <c r="N484" s="67" t="s">
        <v>3919</v>
      </c>
      <c r="O484" s="67" t="s">
        <v>1675</v>
      </c>
      <c r="P484" s="67" t="s">
        <v>928</v>
      </c>
      <c r="Q484" s="67" t="s">
        <v>1675</v>
      </c>
      <c r="R484" s="67" t="s">
        <v>3920</v>
      </c>
      <c r="S484" s="67" t="s">
        <v>1675</v>
      </c>
      <c r="T484" s="67" t="s">
        <v>3921</v>
      </c>
      <c r="U484" s="67" t="s">
        <v>1675</v>
      </c>
      <c r="V484" s="67" t="s">
        <v>17</v>
      </c>
      <c r="W484" s="17"/>
    </row>
    <row r="485" spans="1:23" ht="409.6">
      <c r="A485" s="155"/>
      <c r="B485" s="155"/>
      <c r="C485" s="67" t="s">
        <v>1681</v>
      </c>
      <c r="D485" s="67" t="s">
        <v>924</v>
      </c>
      <c r="E485" s="67" t="s">
        <v>1681</v>
      </c>
      <c r="F485" s="67" t="s">
        <v>925</v>
      </c>
      <c r="G485" s="67" t="s">
        <v>1681</v>
      </c>
      <c r="H485" s="67" t="s">
        <v>29</v>
      </c>
      <c r="I485" s="67" t="s">
        <v>1681</v>
      </c>
      <c r="J485" s="67" t="s">
        <v>3917</v>
      </c>
      <c r="K485" s="67" t="s">
        <v>1681</v>
      </c>
      <c r="L485" s="67" t="s">
        <v>3918</v>
      </c>
      <c r="M485" s="67" t="s">
        <v>1681</v>
      </c>
      <c r="N485" s="67" t="s">
        <v>3922</v>
      </c>
      <c r="O485" s="67" t="s">
        <v>1681</v>
      </c>
      <c r="P485" s="67" t="s">
        <v>928</v>
      </c>
      <c r="Q485" s="67" t="s">
        <v>1681</v>
      </c>
      <c r="R485" s="67" t="s">
        <v>3923</v>
      </c>
      <c r="S485" s="67" t="s">
        <v>1681</v>
      </c>
      <c r="T485" s="67" t="s">
        <v>3921</v>
      </c>
      <c r="U485" s="67" t="s">
        <v>1681</v>
      </c>
      <c r="V485" s="67" t="s">
        <v>17</v>
      </c>
      <c r="W485" s="17"/>
    </row>
    <row r="486" spans="1:23" ht="409.6">
      <c r="A486" s="155"/>
      <c r="B486" s="155"/>
      <c r="C486" s="67" t="s">
        <v>1685</v>
      </c>
      <c r="D486" s="67" t="s">
        <v>924</v>
      </c>
      <c r="E486" s="67" t="s">
        <v>1685</v>
      </c>
      <c r="F486" s="67" t="s">
        <v>925</v>
      </c>
      <c r="G486" s="67" t="s">
        <v>1685</v>
      </c>
      <c r="H486" s="67" t="s">
        <v>17</v>
      </c>
      <c r="I486" s="67" t="s">
        <v>1685</v>
      </c>
      <c r="J486" s="67" t="s">
        <v>17</v>
      </c>
      <c r="K486" s="67" t="s">
        <v>1685</v>
      </c>
      <c r="L486" s="67" t="s">
        <v>3918</v>
      </c>
      <c r="M486" s="67" t="s">
        <v>1685</v>
      </c>
      <c r="N486" s="67" t="s">
        <v>3922</v>
      </c>
      <c r="O486" s="67" t="s">
        <v>1685</v>
      </c>
      <c r="P486" s="67" t="s">
        <v>928</v>
      </c>
      <c r="Q486" s="67" t="s">
        <v>1685</v>
      </c>
      <c r="R486" s="67" t="s">
        <v>3924</v>
      </c>
      <c r="S486" s="67" t="s">
        <v>1685</v>
      </c>
      <c r="T486" s="67" t="s">
        <v>3921</v>
      </c>
      <c r="U486" s="67" t="s">
        <v>1685</v>
      </c>
      <c r="V486" s="67" t="s">
        <v>17</v>
      </c>
      <c r="W486" s="17"/>
    </row>
    <row r="487" spans="1:23" ht="409.6">
      <c r="A487" s="155"/>
      <c r="B487" s="155"/>
      <c r="C487" s="67" t="s">
        <v>1688</v>
      </c>
      <c r="D487" s="67" t="s">
        <v>924</v>
      </c>
      <c r="E487" s="67" t="s">
        <v>1688</v>
      </c>
      <c r="F487" s="67" t="s">
        <v>925</v>
      </c>
      <c r="G487" s="67" t="s">
        <v>1688</v>
      </c>
      <c r="H487" s="67" t="s">
        <v>29</v>
      </c>
      <c r="I487" s="67" t="s">
        <v>1688</v>
      </c>
      <c r="J487" s="67" t="s">
        <v>3925</v>
      </c>
      <c r="K487" s="67" t="s">
        <v>1688</v>
      </c>
      <c r="L487" s="67" t="s">
        <v>3926</v>
      </c>
      <c r="M487" s="67" t="s">
        <v>1688</v>
      </c>
      <c r="N487" s="67" t="s">
        <v>3922</v>
      </c>
      <c r="O487" s="67" t="s">
        <v>1688</v>
      </c>
      <c r="P487" s="67" t="s">
        <v>928</v>
      </c>
      <c r="Q487" s="67" t="s">
        <v>1688</v>
      </c>
      <c r="R487" s="67" t="s">
        <v>3927</v>
      </c>
      <c r="S487" s="67" t="s">
        <v>1688</v>
      </c>
      <c r="T487" s="67" t="s">
        <v>3921</v>
      </c>
      <c r="U487" s="67" t="s">
        <v>1688</v>
      </c>
      <c r="V487" s="67" t="s">
        <v>17</v>
      </c>
      <c r="W487" s="17"/>
    </row>
    <row r="488" spans="1:23" ht="409.6">
      <c r="A488" s="156" t="s">
        <v>287</v>
      </c>
      <c r="B488" s="157" t="s">
        <v>1119</v>
      </c>
      <c r="C488" s="17" t="s">
        <v>1675</v>
      </c>
      <c r="D488" s="18" t="s">
        <v>36</v>
      </c>
      <c r="E488" s="17" t="s">
        <v>1675</v>
      </c>
      <c r="F488" s="18" t="s">
        <v>3928</v>
      </c>
      <c r="G488" s="17" t="s">
        <v>1675</v>
      </c>
      <c r="H488" s="18" t="s">
        <v>29</v>
      </c>
      <c r="I488" s="17" t="s">
        <v>1675</v>
      </c>
      <c r="J488" s="18" t="s">
        <v>3929</v>
      </c>
      <c r="K488" s="17" t="s">
        <v>1675</v>
      </c>
      <c r="L488" s="18" t="s">
        <v>3930</v>
      </c>
      <c r="M488" s="17" t="s">
        <v>1675</v>
      </c>
      <c r="N488" s="18" t="s">
        <v>3931</v>
      </c>
      <c r="O488" s="17" t="s">
        <v>1675</v>
      </c>
      <c r="P488" s="18" t="s">
        <v>17</v>
      </c>
      <c r="Q488" s="17" t="s">
        <v>1675</v>
      </c>
      <c r="R488" s="17" t="s">
        <v>3932</v>
      </c>
      <c r="S488" s="17" t="s">
        <v>1675</v>
      </c>
      <c r="T488" s="17" t="s">
        <v>3933</v>
      </c>
      <c r="U488" s="17" t="s">
        <v>1675</v>
      </c>
      <c r="V488" s="17" t="s">
        <v>3934</v>
      </c>
      <c r="W488" s="17"/>
    </row>
    <row r="489" spans="1:23" ht="409.6">
      <c r="A489" s="156"/>
      <c r="B489" s="157"/>
      <c r="C489" s="17" t="s">
        <v>1681</v>
      </c>
      <c r="D489" s="18" t="s">
        <v>36</v>
      </c>
      <c r="E489" s="17" t="s">
        <v>1681</v>
      </c>
      <c r="F489" s="18" t="s">
        <v>3928</v>
      </c>
      <c r="G489" s="17" t="s">
        <v>1681</v>
      </c>
      <c r="H489" s="18" t="s">
        <v>29</v>
      </c>
      <c r="I489" s="17" t="s">
        <v>1681</v>
      </c>
      <c r="J489" s="18" t="s">
        <v>3935</v>
      </c>
      <c r="K489" s="17" t="s">
        <v>1681</v>
      </c>
      <c r="L489" s="18" t="s">
        <v>3936</v>
      </c>
      <c r="M489" s="17" t="s">
        <v>1681</v>
      </c>
      <c r="N489" s="18" t="s">
        <v>3937</v>
      </c>
      <c r="O489" s="17" t="s">
        <v>1681</v>
      </c>
      <c r="P489" s="18" t="s">
        <v>17</v>
      </c>
      <c r="Q489" s="17" t="s">
        <v>1681</v>
      </c>
      <c r="R489" s="17" t="s">
        <v>3938</v>
      </c>
      <c r="S489" s="17" t="s">
        <v>1681</v>
      </c>
      <c r="T489" s="17" t="s">
        <v>3939</v>
      </c>
      <c r="U489" s="17" t="s">
        <v>1681</v>
      </c>
      <c r="V489" s="17" t="s">
        <v>3940</v>
      </c>
      <c r="W489" s="17"/>
    </row>
    <row r="490" spans="1:23" ht="409.6">
      <c r="A490" s="156"/>
      <c r="B490" s="157"/>
      <c r="C490" s="17" t="s">
        <v>1685</v>
      </c>
      <c r="D490" s="18" t="s">
        <v>36</v>
      </c>
      <c r="E490" s="17" t="s">
        <v>1685</v>
      </c>
      <c r="F490" s="18" t="s">
        <v>3928</v>
      </c>
      <c r="G490" s="17" t="s">
        <v>1685</v>
      </c>
      <c r="H490" s="18" t="s">
        <v>3941</v>
      </c>
      <c r="I490" s="17" t="s">
        <v>1685</v>
      </c>
      <c r="J490" s="18" t="s">
        <v>3942</v>
      </c>
      <c r="K490" s="17" t="s">
        <v>1685</v>
      </c>
      <c r="L490" s="18" t="s">
        <v>3943</v>
      </c>
      <c r="M490" s="17" t="s">
        <v>1685</v>
      </c>
      <c r="N490" s="18" t="s">
        <v>3944</v>
      </c>
      <c r="O490" s="17" t="s">
        <v>1685</v>
      </c>
      <c r="P490" s="18" t="s">
        <v>17</v>
      </c>
      <c r="Q490" s="17" t="s">
        <v>1685</v>
      </c>
      <c r="R490" s="17" t="s">
        <v>3945</v>
      </c>
      <c r="S490" s="17" t="s">
        <v>1685</v>
      </c>
      <c r="T490" s="17" t="s">
        <v>17</v>
      </c>
      <c r="U490" s="17" t="s">
        <v>1685</v>
      </c>
      <c r="V490" s="17" t="s">
        <v>3946</v>
      </c>
      <c r="W490" s="17"/>
    </row>
    <row r="491" spans="1:23" ht="409.6">
      <c r="A491" s="156"/>
      <c r="B491" s="157"/>
      <c r="C491" s="17" t="s">
        <v>1688</v>
      </c>
      <c r="D491" s="18" t="s">
        <v>36</v>
      </c>
      <c r="E491" s="17" t="s">
        <v>1688</v>
      </c>
      <c r="F491" s="18" t="s">
        <v>3928</v>
      </c>
      <c r="G491" s="17" t="s">
        <v>1688</v>
      </c>
      <c r="H491" s="18" t="s">
        <v>3947</v>
      </c>
      <c r="I491" s="17" t="s">
        <v>1688</v>
      </c>
      <c r="J491" s="18" t="s">
        <v>3948</v>
      </c>
      <c r="K491" s="17" t="s">
        <v>1688</v>
      </c>
      <c r="L491" s="18" t="s">
        <v>3949</v>
      </c>
      <c r="M491" s="17" t="s">
        <v>1688</v>
      </c>
      <c r="N491" s="18" t="s">
        <v>3950</v>
      </c>
      <c r="O491" s="17" t="s">
        <v>1688</v>
      </c>
      <c r="P491" s="18" t="s">
        <v>17</v>
      </c>
      <c r="Q491" s="17" t="s">
        <v>1688</v>
      </c>
      <c r="R491" s="17" t="s">
        <v>3951</v>
      </c>
      <c r="S491" s="17" t="s">
        <v>1688</v>
      </c>
      <c r="T491" s="17" t="s">
        <v>3952</v>
      </c>
      <c r="U491" s="17" t="s">
        <v>1688</v>
      </c>
      <c r="V491" s="17" t="s">
        <v>3946</v>
      </c>
      <c r="W491" s="17"/>
    </row>
    <row r="492" spans="1:23" ht="409.6">
      <c r="A492" s="156"/>
      <c r="B492" s="158" t="s">
        <v>1605</v>
      </c>
      <c r="C492" s="17" t="s">
        <v>1675</v>
      </c>
      <c r="D492" s="18" t="s">
        <v>52</v>
      </c>
      <c r="E492" s="17" t="s">
        <v>1675</v>
      </c>
      <c r="F492" s="18" t="s">
        <v>3928</v>
      </c>
      <c r="G492" s="17" t="s">
        <v>1675</v>
      </c>
      <c r="H492" s="18" t="s">
        <v>29</v>
      </c>
      <c r="I492" s="17" t="s">
        <v>1675</v>
      </c>
      <c r="J492" s="18" t="s">
        <v>3953</v>
      </c>
      <c r="K492" s="17" t="s">
        <v>1675</v>
      </c>
      <c r="L492" s="18" t="s">
        <v>3954</v>
      </c>
      <c r="M492" s="17" t="s">
        <v>1675</v>
      </c>
      <c r="N492" s="18" t="s">
        <v>3955</v>
      </c>
      <c r="O492" s="17" t="s">
        <v>1675</v>
      </c>
      <c r="P492" s="18" t="s">
        <v>231</v>
      </c>
      <c r="Q492" s="17" t="s">
        <v>1675</v>
      </c>
      <c r="R492" s="17" t="s">
        <v>3956</v>
      </c>
      <c r="S492" s="17" t="s">
        <v>1675</v>
      </c>
      <c r="T492" s="17" t="s">
        <v>3957</v>
      </c>
      <c r="U492" s="17" t="s">
        <v>1675</v>
      </c>
      <c r="V492" s="17" t="s">
        <v>17</v>
      </c>
      <c r="W492" s="17"/>
    </row>
    <row r="493" spans="1:23" ht="409.6">
      <c r="A493" s="156"/>
      <c r="B493" s="158"/>
      <c r="C493" s="17" t="s">
        <v>1681</v>
      </c>
      <c r="D493" s="18" t="s">
        <v>52</v>
      </c>
      <c r="E493" s="17" t="s">
        <v>1681</v>
      </c>
      <c r="F493" s="18" t="s">
        <v>3928</v>
      </c>
      <c r="G493" s="17" t="s">
        <v>1681</v>
      </c>
      <c r="H493" s="18" t="s">
        <v>29</v>
      </c>
      <c r="I493" s="17" t="s">
        <v>1681</v>
      </c>
      <c r="J493" s="18" t="s">
        <v>3958</v>
      </c>
      <c r="K493" s="17" t="s">
        <v>1681</v>
      </c>
      <c r="L493" s="18" t="s">
        <v>3959</v>
      </c>
      <c r="M493" s="17" t="s">
        <v>1681</v>
      </c>
      <c r="N493" s="18" t="s">
        <v>3960</v>
      </c>
      <c r="O493" s="17" t="s">
        <v>1681</v>
      </c>
      <c r="P493" s="18" t="s">
        <v>17</v>
      </c>
      <c r="Q493" s="17" t="s">
        <v>1681</v>
      </c>
      <c r="R493" s="17" t="s">
        <v>3961</v>
      </c>
      <c r="S493" s="17" t="s">
        <v>1681</v>
      </c>
      <c r="T493" s="17" t="s">
        <v>3962</v>
      </c>
      <c r="U493" s="17" t="s">
        <v>1681</v>
      </c>
      <c r="V493" s="17" t="s">
        <v>3963</v>
      </c>
      <c r="W493" s="17"/>
    </row>
    <row r="494" spans="1:23" ht="409.6">
      <c r="A494" s="156"/>
      <c r="B494" s="158"/>
      <c r="C494" s="17" t="s">
        <v>1685</v>
      </c>
      <c r="D494" s="18" t="s">
        <v>52</v>
      </c>
      <c r="E494" s="17" t="s">
        <v>1685</v>
      </c>
      <c r="F494" s="18" t="s">
        <v>3928</v>
      </c>
      <c r="G494" s="17" t="s">
        <v>1685</v>
      </c>
      <c r="H494" s="18" t="s">
        <v>29</v>
      </c>
      <c r="I494" s="17" t="s">
        <v>1685</v>
      </c>
      <c r="J494" s="18" t="s">
        <v>3964</v>
      </c>
      <c r="K494" s="17" t="s">
        <v>1685</v>
      </c>
      <c r="L494" s="18" t="s">
        <v>3965</v>
      </c>
      <c r="M494" s="17" t="s">
        <v>1685</v>
      </c>
      <c r="N494" s="18" t="s">
        <v>3966</v>
      </c>
      <c r="O494" s="17" t="s">
        <v>1685</v>
      </c>
      <c r="P494" s="18" t="s">
        <v>3152</v>
      </c>
      <c r="Q494" s="17" t="s">
        <v>1685</v>
      </c>
      <c r="R494" s="17" t="s">
        <v>3967</v>
      </c>
      <c r="S494" s="17" t="s">
        <v>1685</v>
      </c>
      <c r="T494" s="17" t="s">
        <v>3968</v>
      </c>
      <c r="U494" s="17" t="s">
        <v>1685</v>
      </c>
      <c r="V494" s="17" t="s">
        <v>17</v>
      </c>
      <c r="W494" s="17"/>
    </row>
    <row r="495" spans="1:23" ht="409.6">
      <c r="A495" s="156"/>
      <c r="B495" s="159"/>
      <c r="C495" s="17" t="s">
        <v>1688</v>
      </c>
      <c r="D495" s="18" t="s">
        <v>52</v>
      </c>
      <c r="E495" s="17" t="s">
        <v>1688</v>
      </c>
      <c r="F495" s="18" t="s">
        <v>3928</v>
      </c>
      <c r="G495" s="17" t="s">
        <v>1688</v>
      </c>
      <c r="H495" s="18" t="s">
        <v>88</v>
      </c>
      <c r="I495" s="17" t="s">
        <v>1688</v>
      </c>
      <c r="J495" s="18" t="s">
        <v>3552</v>
      </c>
      <c r="K495" s="17" t="s">
        <v>1688</v>
      </c>
      <c r="L495" s="18" t="s">
        <v>3969</v>
      </c>
      <c r="M495" s="17" t="s">
        <v>1688</v>
      </c>
      <c r="N495" s="18" t="s">
        <v>3970</v>
      </c>
      <c r="O495" s="17" t="s">
        <v>1688</v>
      </c>
      <c r="P495" s="18" t="s">
        <v>3971</v>
      </c>
      <c r="Q495" s="17" t="s">
        <v>1688</v>
      </c>
      <c r="R495" s="17" t="s">
        <v>3972</v>
      </c>
      <c r="S495" s="17" t="s">
        <v>1688</v>
      </c>
      <c r="T495" s="17" t="s">
        <v>3552</v>
      </c>
      <c r="U495" s="17" t="s">
        <v>1688</v>
      </c>
      <c r="V495" s="17" t="s">
        <v>3973</v>
      </c>
      <c r="W495" s="17"/>
    </row>
    <row r="496" spans="1:23" ht="409.6">
      <c r="A496" s="156"/>
      <c r="B496" s="158" t="s">
        <v>1584</v>
      </c>
      <c r="C496" s="17" t="s">
        <v>1675</v>
      </c>
      <c r="D496" s="18" t="s">
        <v>52</v>
      </c>
      <c r="E496" s="17" t="s">
        <v>1675</v>
      </c>
      <c r="F496" s="18" t="s">
        <v>3974</v>
      </c>
      <c r="G496" s="17" t="s">
        <v>1675</v>
      </c>
      <c r="H496" s="18" t="s">
        <v>29</v>
      </c>
      <c r="I496" s="17" t="s">
        <v>1675</v>
      </c>
      <c r="J496" s="18" t="s">
        <v>3958</v>
      </c>
      <c r="K496" s="17" t="s">
        <v>1675</v>
      </c>
      <c r="L496" s="18" t="s">
        <v>3975</v>
      </c>
      <c r="M496" s="17" t="s">
        <v>1675</v>
      </c>
      <c r="N496" s="18" t="s">
        <v>3976</v>
      </c>
      <c r="O496" s="17" t="s">
        <v>1675</v>
      </c>
      <c r="P496" s="18" t="s">
        <v>17</v>
      </c>
      <c r="Q496" s="17" t="s">
        <v>1675</v>
      </c>
      <c r="R496" s="17" t="s">
        <v>3977</v>
      </c>
      <c r="S496" s="17" t="s">
        <v>1675</v>
      </c>
      <c r="T496" s="17" t="s">
        <v>3978</v>
      </c>
      <c r="U496" s="17" t="s">
        <v>1675</v>
      </c>
      <c r="V496" s="17" t="s">
        <v>3979</v>
      </c>
      <c r="W496" s="17"/>
    </row>
    <row r="497" spans="1:23" ht="409.6">
      <c r="A497" s="156"/>
      <c r="B497" s="158"/>
      <c r="C497" s="17" t="s">
        <v>1681</v>
      </c>
      <c r="D497" s="18" t="s">
        <v>52</v>
      </c>
      <c r="E497" s="17" t="s">
        <v>1681</v>
      </c>
      <c r="F497" s="18" t="s">
        <v>3974</v>
      </c>
      <c r="G497" s="17" t="s">
        <v>1681</v>
      </c>
      <c r="H497" s="18" t="s">
        <v>29</v>
      </c>
      <c r="I497" s="17" t="s">
        <v>1681</v>
      </c>
      <c r="J497" s="18" t="s">
        <v>17</v>
      </c>
      <c r="K497" s="17" t="s">
        <v>1681</v>
      </c>
      <c r="L497" s="18" t="s">
        <v>3980</v>
      </c>
      <c r="M497" s="17" t="s">
        <v>1681</v>
      </c>
      <c r="N497" s="18" t="s">
        <v>3981</v>
      </c>
      <c r="O497" s="17" t="s">
        <v>1681</v>
      </c>
      <c r="P497" s="18" t="s">
        <v>17</v>
      </c>
      <c r="Q497" s="17" t="s">
        <v>1681</v>
      </c>
      <c r="R497" s="17" t="s">
        <v>3982</v>
      </c>
      <c r="S497" s="17" t="s">
        <v>1681</v>
      </c>
      <c r="T497" s="17" t="s">
        <v>3983</v>
      </c>
      <c r="U497" s="17" t="s">
        <v>1681</v>
      </c>
      <c r="V497" s="17" t="s">
        <v>3963</v>
      </c>
      <c r="W497" s="17"/>
    </row>
    <row r="498" spans="1:23" ht="409.6">
      <c r="A498" s="156"/>
      <c r="B498" s="158"/>
      <c r="C498" s="17" t="s">
        <v>1685</v>
      </c>
      <c r="D498" s="18" t="s">
        <v>52</v>
      </c>
      <c r="E498" s="17" t="s">
        <v>1685</v>
      </c>
      <c r="F498" s="18" t="s">
        <v>3974</v>
      </c>
      <c r="G498" s="17" t="s">
        <v>1685</v>
      </c>
      <c r="H498" s="18" t="s">
        <v>3984</v>
      </c>
      <c r="I498" s="17" t="s">
        <v>1685</v>
      </c>
      <c r="J498" s="18" t="s">
        <v>3985</v>
      </c>
      <c r="K498" s="17" t="s">
        <v>1685</v>
      </c>
      <c r="L498" s="18" t="s">
        <v>3986</v>
      </c>
      <c r="M498" s="17" t="s">
        <v>1685</v>
      </c>
      <c r="N498" s="18" t="s">
        <v>3987</v>
      </c>
      <c r="O498" s="17" t="s">
        <v>1685</v>
      </c>
      <c r="P498" s="18" t="s">
        <v>2421</v>
      </c>
      <c r="Q498" s="17" t="s">
        <v>1685</v>
      </c>
      <c r="R498" s="17" t="s">
        <v>3988</v>
      </c>
      <c r="S498" s="17" t="s">
        <v>1685</v>
      </c>
      <c r="T498" s="17" t="s">
        <v>3989</v>
      </c>
      <c r="U498" s="17" t="s">
        <v>1685</v>
      </c>
      <c r="V498" s="17" t="s">
        <v>17</v>
      </c>
      <c r="W498" s="17"/>
    </row>
    <row r="499" spans="1:23" ht="409.6">
      <c r="A499" s="156"/>
      <c r="B499" s="159"/>
      <c r="C499" s="17" t="s">
        <v>1688</v>
      </c>
      <c r="D499" s="18" t="s">
        <v>52</v>
      </c>
      <c r="E499" s="17" t="s">
        <v>1688</v>
      </c>
      <c r="F499" s="18" t="s">
        <v>3974</v>
      </c>
      <c r="G499" s="17" t="s">
        <v>1688</v>
      </c>
      <c r="H499" s="18" t="s">
        <v>3984</v>
      </c>
      <c r="I499" s="17" t="s">
        <v>1688</v>
      </c>
      <c r="J499" s="18" t="s">
        <v>3552</v>
      </c>
      <c r="K499" s="17" t="s">
        <v>1688</v>
      </c>
      <c r="L499" s="18" t="s">
        <v>3990</v>
      </c>
      <c r="M499" s="17" t="s">
        <v>1688</v>
      </c>
      <c r="N499" s="18" t="s">
        <v>3991</v>
      </c>
      <c r="O499" s="17" t="s">
        <v>1688</v>
      </c>
      <c r="P499" s="18" t="s">
        <v>3552</v>
      </c>
      <c r="Q499" s="17" t="s">
        <v>1688</v>
      </c>
      <c r="R499" s="17" t="s">
        <v>3988</v>
      </c>
      <c r="S499" s="17" t="s">
        <v>1688</v>
      </c>
      <c r="T499" s="17" t="s">
        <v>3552</v>
      </c>
      <c r="U499" s="17" t="s">
        <v>1688</v>
      </c>
      <c r="V499" s="17" t="s">
        <v>3973</v>
      </c>
      <c r="W499" s="17"/>
    </row>
    <row r="500" spans="1:23" ht="409.6">
      <c r="A500" s="156"/>
      <c r="B500" s="153" t="s">
        <v>3992</v>
      </c>
      <c r="C500" s="17" t="s">
        <v>1675</v>
      </c>
      <c r="D500" s="18" t="s">
        <v>52</v>
      </c>
      <c r="E500" s="17" t="s">
        <v>1675</v>
      </c>
      <c r="F500" s="18" t="s">
        <v>3974</v>
      </c>
      <c r="G500" s="17" t="s">
        <v>1675</v>
      </c>
      <c r="H500" s="18" t="s">
        <v>29</v>
      </c>
      <c r="I500" s="17" t="s">
        <v>1675</v>
      </c>
      <c r="J500" s="18" t="s">
        <v>17</v>
      </c>
      <c r="K500" s="17" t="s">
        <v>1675</v>
      </c>
      <c r="L500" s="18" t="s">
        <v>3993</v>
      </c>
      <c r="M500" s="17" t="s">
        <v>1675</v>
      </c>
      <c r="N500" s="18" t="s">
        <v>3994</v>
      </c>
      <c r="O500" s="17" t="s">
        <v>1675</v>
      </c>
      <c r="P500" s="18" t="s">
        <v>17</v>
      </c>
      <c r="Q500" s="17" t="s">
        <v>1675</v>
      </c>
      <c r="R500" s="17" t="s">
        <v>3995</v>
      </c>
      <c r="S500" s="17" t="s">
        <v>1675</v>
      </c>
      <c r="T500" s="17" t="s">
        <v>3996</v>
      </c>
      <c r="U500" s="17" t="s">
        <v>1675</v>
      </c>
      <c r="V500" s="17" t="s">
        <v>3997</v>
      </c>
      <c r="W500" s="17"/>
    </row>
    <row r="501" spans="1:23" ht="409.6">
      <c r="A501" s="156"/>
      <c r="B501" s="153"/>
      <c r="C501" s="17" t="s">
        <v>1681</v>
      </c>
      <c r="D501" s="18" t="s">
        <v>52</v>
      </c>
      <c r="E501" s="17" t="s">
        <v>1681</v>
      </c>
      <c r="F501" s="18" t="s">
        <v>3974</v>
      </c>
      <c r="G501" s="17" t="s">
        <v>1681</v>
      </c>
      <c r="H501" s="18" t="s">
        <v>29</v>
      </c>
      <c r="I501" s="17" t="s">
        <v>1681</v>
      </c>
      <c r="J501" s="18" t="s">
        <v>17</v>
      </c>
      <c r="K501" s="17" t="s">
        <v>1681</v>
      </c>
      <c r="L501" s="18" t="s">
        <v>3980</v>
      </c>
      <c r="M501" s="17" t="s">
        <v>1681</v>
      </c>
      <c r="N501" s="18" t="s">
        <v>3998</v>
      </c>
      <c r="O501" s="17" t="s">
        <v>1681</v>
      </c>
      <c r="P501" s="18" t="s">
        <v>17</v>
      </c>
      <c r="Q501" s="17" t="s">
        <v>1681</v>
      </c>
      <c r="R501" s="17" t="s">
        <v>3982</v>
      </c>
      <c r="S501" s="17" t="s">
        <v>1681</v>
      </c>
      <c r="T501" s="17" t="s">
        <v>3983</v>
      </c>
      <c r="U501" s="17" t="s">
        <v>1681</v>
      </c>
      <c r="V501" s="17" t="s">
        <v>3997</v>
      </c>
      <c r="W501" s="17"/>
    </row>
    <row r="502" spans="1:23" ht="409.6">
      <c r="A502" s="156"/>
      <c r="B502" s="153"/>
      <c r="C502" s="17" t="s">
        <v>1685</v>
      </c>
      <c r="D502" s="18" t="s">
        <v>36</v>
      </c>
      <c r="E502" s="17" t="s">
        <v>1685</v>
      </c>
      <c r="F502" s="18" t="s">
        <v>3974</v>
      </c>
      <c r="G502" s="17" t="s">
        <v>1685</v>
      </c>
      <c r="H502" s="18" t="s">
        <v>17</v>
      </c>
      <c r="I502" s="17" t="s">
        <v>1685</v>
      </c>
      <c r="J502" s="18" t="s">
        <v>3999</v>
      </c>
      <c r="K502" s="17" t="s">
        <v>1685</v>
      </c>
      <c r="L502" s="18" t="s">
        <v>4000</v>
      </c>
      <c r="M502" s="17" t="s">
        <v>1685</v>
      </c>
      <c r="N502" s="18" t="s">
        <v>4001</v>
      </c>
      <c r="O502" s="17" t="s">
        <v>1685</v>
      </c>
      <c r="P502" s="18" t="s">
        <v>17</v>
      </c>
      <c r="Q502" s="17" t="s">
        <v>1685</v>
      </c>
      <c r="R502" s="17" t="s">
        <v>4002</v>
      </c>
      <c r="S502" s="17" t="s">
        <v>1685</v>
      </c>
      <c r="T502" s="17" t="s">
        <v>17</v>
      </c>
      <c r="U502" s="17" t="s">
        <v>1685</v>
      </c>
      <c r="V502" s="17" t="s">
        <v>17</v>
      </c>
      <c r="W502" s="17"/>
    </row>
    <row r="503" spans="1:23" ht="409.6">
      <c r="A503" s="156"/>
      <c r="B503" s="154"/>
      <c r="C503" s="17" t="s">
        <v>1688</v>
      </c>
      <c r="D503" s="18" t="s">
        <v>36</v>
      </c>
      <c r="E503" s="17" t="s">
        <v>1688</v>
      </c>
      <c r="F503" s="18" t="s">
        <v>3974</v>
      </c>
      <c r="G503" s="17" t="s">
        <v>1688</v>
      </c>
      <c r="H503" s="18" t="s">
        <v>88</v>
      </c>
      <c r="I503" s="17" t="s">
        <v>1688</v>
      </c>
      <c r="J503" s="18" t="s">
        <v>3999</v>
      </c>
      <c r="K503" s="17" t="s">
        <v>1688</v>
      </c>
      <c r="L503" s="18" t="s">
        <v>4003</v>
      </c>
      <c r="M503" s="17" t="s">
        <v>1685</v>
      </c>
      <c r="N503" s="18" t="s">
        <v>4001</v>
      </c>
      <c r="O503" s="17" t="s">
        <v>1688</v>
      </c>
      <c r="P503" s="18" t="s">
        <v>17</v>
      </c>
      <c r="Q503" s="17" t="s">
        <v>1688</v>
      </c>
      <c r="R503" s="17" t="s">
        <v>4002</v>
      </c>
      <c r="S503" s="17" t="s">
        <v>1688</v>
      </c>
      <c r="T503" s="17" t="s">
        <v>17</v>
      </c>
      <c r="U503" s="17" t="s">
        <v>1688</v>
      </c>
      <c r="V503" s="17" t="s">
        <v>17</v>
      </c>
      <c r="W503" s="17"/>
    </row>
    <row r="504" spans="1:23" ht="409.6">
      <c r="A504" s="156"/>
      <c r="B504" s="153" t="s">
        <v>4004</v>
      </c>
      <c r="C504" s="17" t="s">
        <v>1675</v>
      </c>
      <c r="D504" s="18" t="s">
        <v>52</v>
      </c>
      <c r="E504" s="17" t="s">
        <v>1675</v>
      </c>
      <c r="F504" s="18" t="s">
        <v>3974</v>
      </c>
      <c r="G504" s="17" t="s">
        <v>1675</v>
      </c>
      <c r="H504" s="18" t="s">
        <v>29</v>
      </c>
      <c r="I504" s="17" t="s">
        <v>1675</v>
      </c>
      <c r="J504" s="18" t="s">
        <v>17</v>
      </c>
      <c r="K504" s="17" t="s">
        <v>1675</v>
      </c>
      <c r="L504" s="18" t="s">
        <v>4005</v>
      </c>
      <c r="M504" s="17" t="s">
        <v>1675</v>
      </c>
      <c r="N504" s="18" t="s">
        <v>3994</v>
      </c>
      <c r="O504" s="17" t="s">
        <v>1675</v>
      </c>
      <c r="P504" s="18" t="s">
        <v>17</v>
      </c>
      <c r="Q504" s="17" t="s">
        <v>1675</v>
      </c>
      <c r="R504" s="17" t="s">
        <v>3995</v>
      </c>
      <c r="S504" s="17" t="s">
        <v>1675</v>
      </c>
      <c r="T504" s="17" t="s">
        <v>3996</v>
      </c>
      <c r="U504" s="17" t="s">
        <v>1675</v>
      </c>
      <c r="V504" s="17" t="s">
        <v>3997</v>
      </c>
      <c r="W504" s="17"/>
    </row>
    <row r="505" spans="1:23" ht="409.6">
      <c r="A505" s="156"/>
      <c r="B505" s="153"/>
      <c r="C505" s="17" t="s">
        <v>1681</v>
      </c>
      <c r="D505" s="18" t="s">
        <v>52</v>
      </c>
      <c r="E505" s="17" t="s">
        <v>1681</v>
      </c>
      <c r="F505" s="18" t="s">
        <v>3974</v>
      </c>
      <c r="G505" s="17" t="s">
        <v>1681</v>
      </c>
      <c r="H505" s="18" t="s">
        <v>29</v>
      </c>
      <c r="I505" s="17" t="s">
        <v>1681</v>
      </c>
      <c r="J505" s="18" t="s">
        <v>17</v>
      </c>
      <c r="K505" s="17" t="s">
        <v>1681</v>
      </c>
      <c r="L505" s="18" t="s">
        <v>3980</v>
      </c>
      <c r="M505" s="17" t="s">
        <v>1681</v>
      </c>
      <c r="N505" s="18" t="s">
        <v>4006</v>
      </c>
      <c r="O505" s="17" t="s">
        <v>1681</v>
      </c>
      <c r="P505" s="18" t="s">
        <v>17</v>
      </c>
      <c r="Q505" s="17" t="s">
        <v>1681</v>
      </c>
      <c r="R505" s="17" t="s">
        <v>3982</v>
      </c>
      <c r="S505" s="17" t="s">
        <v>1681</v>
      </c>
      <c r="T505" s="17" t="s">
        <v>3983</v>
      </c>
      <c r="U505" s="17" t="s">
        <v>1681</v>
      </c>
      <c r="V505" s="17" t="s">
        <v>3997</v>
      </c>
      <c r="W505" s="17"/>
    </row>
    <row r="506" spans="1:23">
      <c r="A506" s="156"/>
      <c r="B506" s="154"/>
      <c r="C506" s="17" t="s">
        <v>1688</v>
      </c>
      <c r="D506" s="18" t="s">
        <v>1957</v>
      </c>
      <c r="E506" s="17"/>
      <c r="F506" s="18"/>
      <c r="G506" s="17"/>
      <c r="H506" s="18"/>
      <c r="I506" s="17"/>
      <c r="J506" s="18"/>
      <c r="K506" s="17"/>
      <c r="L506" s="18"/>
      <c r="M506" s="17"/>
      <c r="N506" s="18"/>
      <c r="O506" s="17"/>
      <c r="P506" s="18"/>
      <c r="Q506" s="17"/>
      <c r="R506" s="17"/>
      <c r="S506" s="17"/>
      <c r="T506" s="17"/>
      <c r="U506" s="17"/>
      <c r="V506" s="17"/>
      <c r="W506" s="17"/>
    </row>
    <row r="507" spans="1:23" ht="409.6">
      <c r="A507" s="153" t="s">
        <v>333</v>
      </c>
      <c r="B507" s="153" t="s">
        <v>4007</v>
      </c>
      <c r="C507" s="17" t="s">
        <v>1675</v>
      </c>
      <c r="D507" s="18" t="s">
        <v>4008</v>
      </c>
      <c r="E507" s="17" t="s">
        <v>1675</v>
      </c>
      <c r="F507" s="18" t="s">
        <v>4009</v>
      </c>
      <c r="G507" s="17" t="s">
        <v>1675</v>
      </c>
      <c r="H507" s="18" t="s">
        <v>29</v>
      </c>
      <c r="I507" s="17" t="s">
        <v>1675</v>
      </c>
      <c r="J507" s="18" t="s">
        <v>17</v>
      </c>
      <c r="K507" s="17" t="s">
        <v>1675</v>
      </c>
      <c r="L507" s="18" t="s">
        <v>4010</v>
      </c>
      <c r="M507" s="17" t="s">
        <v>1675</v>
      </c>
      <c r="N507" s="18" t="s">
        <v>4011</v>
      </c>
      <c r="O507" s="17" t="s">
        <v>1675</v>
      </c>
      <c r="P507" s="18" t="s">
        <v>625</v>
      </c>
      <c r="Q507" s="17" t="s">
        <v>1675</v>
      </c>
      <c r="R507" s="17" t="s">
        <v>4012</v>
      </c>
      <c r="S507" s="17" t="s">
        <v>1675</v>
      </c>
      <c r="T507" s="17" t="s">
        <v>4013</v>
      </c>
      <c r="U507" s="17" t="s">
        <v>1675</v>
      </c>
      <c r="V507" s="17" t="s">
        <v>4014</v>
      </c>
      <c r="W507" s="17"/>
    </row>
    <row r="508" spans="1:23" ht="409.6">
      <c r="A508" s="153"/>
      <c r="B508" s="153"/>
      <c r="C508" s="17" t="s">
        <v>1681</v>
      </c>
      <c r="D508" s="18" t="s">
        <v>4015</v>
      </c>
      <c r="E508" s="17" t="s">
        <v>1681</v>
      </c>
      <c r="F508" s="18" t="s">
        <v>4016</v>
      </c>
      <c r="G508" s="17" t="s">
        <v>1681</v>
      </c>
      <c r="H508" s="18" t="s">
        <v>29</v>
      </c>
      <c r="I508" s="17" t="s">
        <v>1681</v>
      </c>
      <c r="J508" s="18" t="s">
        <v>4017</v>
      </c>
      <c r="K508" s="17" t="s">
        <v>1681</v>
      </c>
      <c r="L508" s="18" t="s">
        <v>4018</v>
      </c>
      <c r="M508" s="17" t="s">
        <v>1681</v>
      </c>
      <c r="N508" s="18" t="s">
        <v>4019</v>
      </c>
      <c r="O508" s="17" t="s">
        <v>1681</v>
      </c>
      <c r="P508" s="18" t="s">
        <v>625</v>
      </c>
      <c r="Q508" s="17" t="s">
        <v>1681</v>
      </c>
      <c r="R508" s="17" t="s">
        <v>4020</v>
      </c>
      <c r="S508" s="17" t="s">
        <v>1681</v>
      </c>
      <c r="T508" s="17" t="s">
        <v>4021</v>
      </c>
      <c r="U508" s="17" t="s">
        <v>1681</v>
      </c>
      <c r="V508" s="17" t="s">
        <v>4022</v>
      </c>
      <c r="W508" s="17"/>
    </row>
    <row r="509" spans="1:23" ht="409.6">
      <c r="A509" s="153"/>
      <c r="B509" s="153"/>
      <c r="C509" s="17" t="s">
        <v>1685</v>
      </c>
      <c r="D509" s="18" t="s">
        <v>4023</v>
      </c>
      <c r="E509" s="17" t="s">
        <v>1685</v>
      </c>
      <c r="F509" s="18" t="s">
        <v>4024</v>
      </c>
      <c r="G509" s="17" t="s">
        <v>1685</v>
      </c>
      <c r="H509" s="18" t="s">
        <v>88</v>
      </c>
      <c r="I509" s="17" t="s">
        <v>1685</v>
      </c>
      <c r="J509" s="18" t="s">
        <v>17</v>
      </c>
      <c r="K509" s="17" t="s">
        <v>1685</v>
      </c>
      <c r="L509" s="18" t="s">
        <v>4025</v>
      </c>
      <c r="M509" s="17" t="s">
        <v>1685</v>
      </c>
      <c r="N509" s="18" t="s">
        <v>4026</v>
      </c>
      <c r="O509" s="17" t="s">
        <v>1685</v>
      </c>
      <c r="P509" s="18" t="s">
        <v>625</v>
      </c>
      <c r="Q509" s="17" t="s">
        <v>1685</v>
      </c>
      <c r="R509" s="17" t="s">
        <v>4027</v>
      </c>
      <c r="S509" s="17" t="s">
        <v>1685</v>
      </c>
      <c r="T509" s="17" t="s">
        <v>17</v>
      </c>
      <c r="U509" s="17" t="s">
        <v>1685</v>
      </c>
      <c r="V509" s="17" t="s">
        <v>4028</v>
      </c>
      <c r="W509" s="17"/>
    </row>
    <row r="510" spans="1:23" ht="409.6">
      <c r="A510" s="153"/>
      <c r="B510" s="154"/>
      <c r="C510" s="17" t="s">
        <v>1688</v>
      </c>
      <c r="D510" s="18" t="s">
        <v>4029</v>
      </c>
      <c r="E510" s="17" t="s">
        <v>1688</v>
      </c>
      <c r="F510" s="18" t="s">
        <v>4024</v>
      </c>
      <c r="G510" s="17" t="s">
        <v>1688</v>
      </c>
      <c r="H510" s="18" t="s">
        <v>3552</v>
      </c>
      <c r="I510" s="17" t="s">
        <v>1688</v>
      </c>
      <c r="J510" s="18" t="s">
        <v>17</v>
      </c>
      <c r="K510" s="17" t="s">
        <v>1688</v>
      </c>
      <c r="L510" s="18" t="s">
        <v>860</v>
      </c>
      <c r="M510" s="17" t="s">
        <v>1688</v>
      </c>
      <c r="N510" s="18" t="s">
        <v>4030</v>
      </c>
      <c r="O510" s="17" t="s">
        <v>1688</v>
      </c>
      <c r="P510" s="18" t="s">
        <v>3552</v>
      </c>
      <c r="Q510" s="17" t="s">
        <v>1688</v>
      </c>
      <c r="R510" s="17" t="s">
        <v>4031</v>
      </c>
      <c r="S510" s="17" t="s">
        <v>1688</v>
      </c>
      <c r="T510" s="17" t="s">
        <v>17</v>
      </c>
      <c r="U510" s="17" t="s">
        <v>1688</v>
      </c>
      <c r="V510" s="17" t="s">
        <v>4028</v>
      </c>
      <c r="W510" s="17"/>
    </row>
    <row r="511" spans="1:23" ht="409.6">
      <c r="A511" s="153"/>
      <c r="B511" s="153" t="s">
        <v>828</v>
      </c>
      <c r="C511" s="17" t="s">
        <v>1675</v>
      </c>
      <c r="D511" s="18" t="s">
        <v>4032</v>
      </c>
      <c r="E511" s="17" t="s">
        <v>1675</v>
      </c>
      <c r="F511" s="18" t="s">
        <v>4033</v>
      </c>
      <c r="G511" s="17" t="s">
        <v>1675</v>
      </c>
      <c r="H511" s="18" t="s">
        <v>29</v>
      </c>
      <c r="I511" s="17" t="s">
        <v>1675</v>
      </c>
      <c r="J511" s="18" t="s">
        <v>4034</v>
      </c>
      <c r="K511" s="17" t="s">
        <v>1675</v>
      </c>
      <c r="L511" s="18" t="s">
        <v>4035</v>
      </c>
      <c r="M511" s="17" t="s">
        <v>1675</v>
      </c>
      <c r="N511" s="18" t="s">
        <v>4036</v>
      </c>
      <c r="O511" s="17" t="s">
        <v>1675</v>
      </c>
      <c r="P511" s="18" t="s">
        <v>17</v>
      </c>
      <c r="Q511" s="17" t="s">
        <v>1675</v>
      </c>
      <c r="R511" s="17" t="s">
        <v>4037</v>
      </c>
      <c r="S511" s="17" t="s">
        <v>1675</v>
      </c>
      <c r="T511" s="17" t="s">
        <v>4038</v>
      </c>
      <c r="U511" s="17" t="s">
        <v>1675</v>
      </c>
      <c r="V511" s="17" t="s">
        <v>17</v>
      </c>
      <c r="W511" s="17"/>
    </row>
    <row r="512" spans="1:23" ht="409.6">
      <c r="A512" s="153"/>
      <c r="B512" s="153"/>
      <c r="C512" s="17" t="s">
        <v>1681</v>
      </c>
      <c r="D512" s="18" t="s">
        <v>4032</v>
      </c>
      <c r="E512" s="17" t="s">
        <v>1681</v>
      </c>
      <c r="F512" s="18" t="s">
        <v>509</v>
      </c>
      <c r="G512" s="17" t="s">
        <v>1681</v>
      </c>
      <c r="H512" s="18" t="s">
        <v>29</v>
      </c>
      <c r="I512" s="17" t="s">
        <v>1681</v>
      </c>
      <c r="J512" s="18" t="s">
        <v>4034</v>
      </c>
      <c r="K512" s="17" t="s">
        <v>1681</v>
      </c>
      <c r="L512" s="21" t="s">
        <v>4039</v>
      </c>
      <c r="M512" s="17" t="s">
        <v>1681</v>
      </c>
      <c r="N512" s="18" t="s">
        <v>4040</v>
      </c>
      <c r="O512" s="17" t="s">
        <v>1681</v>
      </c>
      <c r="P512" s="18" t="s">
        <v>4041</v>
      </c>
      <c r="Q512" s="17" t="s">
        <v>1681</v>
      </c>
      <c r="R512" s="17" t="s">
        <v>4042</v>
      </c>
      <c r="S512" s="17" t="s">
        <v>1681</v>
      </c>
      <c r="T512" s="17" t="s">
        <v>4043</v>
      </c>
      <c r="U512" s="17" t="s">
        <v>1681</v>
      </c>
      <c r="V512" s="17" t="s">
        <v>4044</v>
      </c>
      <c r="W512" s="17"/>
    </row>
    <row r="513" spans="1:23" ht="409.6">
      <c r="A513" s="153"/>
      <c r="B513" s="153"/>
      <c r="C513" s="17" t="s">
        <v>1685</v>
      </c>
      <c r="D513" s="18" t="s">
        <v>4032</v>
      </c>
      <c r="E513" s="17" t="s">
        <v>1685</v>
      </c>
      <c r="F513" s="18" t="s">
        <v>509</v>
      </c>
      <c r="G513" s="17" t="s">
        <v>1685</v>
      </c>
      <c r="H513" s="18" t="s">
        <v>88</v>
      </c>
      <c r="I513" s="17" t="s">
        <v>1685</v>
      </c>
      <c r="J513" s="18" t="s">
        <v>4045</v>
      </c>
      <c r="K513" s="17" t="s">
        <v>1685</v>
      </c>
      <c r="L513" s="18" t="s">
        <v>4046</v>
      </c>
      <c r="M513" s="17" t="s">
        <v>1685</v>
      </c>
      <c r="N513" s="18" t="s">
        <v>4047</v>
      </c>
      <c r="O513" s="17" t="s">
        <v>1685</v>
      </c>
      <c r="P513" s="18" t="s">
        <v>4041</v>
      </c>
      <c r="Q513" s="17" t="s">
        <v>1685</v>
      </c>
      <c r="R513" s="17" t="s">
        <v>4048</v>
      </c>
      <c r="S513" s="17" t="s">
        <v>1685</v>
      </c>
      <c r="T513" s="17" t="s">
        <v>3167</v>
      </c>
      <c r="U513" s="17" t="s">
        <v>1685</v>
      </c>
      <c r="V513" s="17" t="s">
        <v>4049</v>
      </c>
      <c r="W513" s="17"/>
    </row>
    <row r="514" spans="1:23" ht="409.6">
      <c r="A514" s="154"/>
      <c r="B514" s="154"/>
      <c r="C514" s="17" t="s">
        <v>1688</v>
      </c>
      <c r="D514" s="18" t="s">
        <v>1436</v>
      </c>
      <c r="E514" s="17" t="s">
        <v>1688</v>
      </c>
      <c r="F514" s="18" t="s">
        <v>509</v>
      </c>
      <c r="G514" s="17" t="s">
        <v>1688</v>
      </c>
      <c r="H514" s="18" t="s">
        <v>88</v>
      </c>
      <c r="I514" s="17" t="s">
        <v>1688</v>
      </c>
      <c r="J514" s="18" t="s">
        <v>4050</v>
      </c>
      <c r="K514" s="17" t="s">
        <v>1688</v>
      </c>
      <c r="L514" s="18" t="s">
        <v>4051</v>
      </c>
      <c r="M514" s="17" t="s">
        <v>1688</v>
      </c>
      <c r="N514" s="18" t="s">
        <v>4052</v>
      </c>
      <c r="O514" s="17" t="s">
        <v>1688</v>
      </c>
      <c r="P514" s="18" t="s">
        <v>4053</v>
      </c>
      <c r="Q514" s="17" t="s">
        <v>1688</v>
      </c>
      <c r="R514" s="17" t="s">
        <v>4054</v>
      </c>
      <c r="S514" s="17" t="s">
        <v>1688</v>
      </c>
      <c r="T514" s="17" t="s">
        <v>3167</v>
      </c>
      <c r="U514" s="17" t="s">
        <v>1688</v>
      </c>
      <c r="V514" s="17" t="s">
        <v>4049</v>
      </c>
      <c r="W514" s="17"/>
    </row>
    <row r="515" spans="1:23" ht="409.6">
      <c r="A515" s="153" t="s">
        <v>1548</v>
      </c>
      <c r="B515" s="153" t="s">
        <v>4055</v>
      </c>
      <c r="C515" s="17" t="s">
        <v>1675</v>
      </c>
      <c r="D515" s="18" t="s">
        <v>1550</v>
      </c>
      <c r="E515" s="17" t="s">
        <v>1675</v>
      </c>
      <c r="F515" s="18" t="s">
        <v>4056</v>
      </c>
      <c r="G515" s="17" t="s">
        <v>1675</v>
      </c>
      <c r="H515" s="18" t="s">
        <v>29</v>
      </c>
      <c r="I515" s="17" t="s">
        <v>1675</v>
      </c>
      <c r="J515" s="18" t="s">
        <v>4057</v>
      </c>
      <c r="K515" s="17" t="s">
        <v>1675</v>
      </c>
      <c r="L515" s="18" t="s">
        <v>4058</v>
      </c>
      <c r="M515" s="17" t="s">
        <v>1675</v>
      </c>
      <c r="N515" s="21">
        <v>44393</v>
      </c>
      <c r="O515" s="17" t="s">
        <v>1675</v>
      </c>
      <c r="P515" s="18" t="s">
        <v>4059</v>
      </c>
      <c r="Q515" s="17" t="s">
        <v>1675</v>
      </c>
      <c r="R515" s="17" t="s">
        <v>4060</v>
      </c>
      <c r="S515" s="17" t="s">
        <v>1675</v>
      </c>
      <c r="T515" s="17" t="s">
        <v>17</v>
      </c>
      <c r="U515" s="17" t="s">
        <v>1675</v>
      </c>
      <c r="V515" s="17" t="s">
        <v>4061</v>
      </c>
      <c r="W515" s="17"/>
    </row>
    <row r="516" spans="1:23" ht="409.6">
      <c r="A516" s="153"/>
      <c r="B516" s="153"/>
      <c r="C516" s="17" t="s">
        <v>1681</v>
      </c>
      <c r="D516" s="18" t="s">
        <v>1550</v>
      </c>
      <c r="E516" s="17" t="s">
        <v>1681</v>
      </c>
      <c r="F516" s="18" t="s">
        <v>4056</v>
      </c>
      <c r="G516" s="17" t="s">
        <v>1681</v>
      </c>
      <c r="H516" s="18" t="s">
        <v>29</v>
      </c>
      <c r="I516" s="17" t="s">
        <v>1681</v>
      </c>
      <c r="J516" s="18" t="s">
        <v>4057</v>
      </c>
      <c r="K516" s="17" t="s">
        <v>1681</v>
      </c>
      <c r="L516" s="21" t="s">
        <v>4062</v>
      </c>
      <c r="M516" s="17" t="s">
        <v>1681</v>
      </c>
      <c r="N516" s="18" t="s">
        <v>4063</v>
      </c>
      <c r="O516" s="17" t="s">
        <v>1681</v>
      </c>
      <c r="P516" s="18" t="s">
        <v>4059</v>
      </c>
      <c r="Q516" s="17" t="s">
        <v>1681</v>
      </c>
      <c r="R516" s="17" t="s">
        <v>4064</v>
      </c>
      <c r="S516" s="17" t="s">
        <v>1681</v>
      </c>
      <c r="T516" s="17" t="s">
        <v>17</v>
      </c>
      <c r="U516" s="17" t="s">
        <v>1681</v>
      </c>
      <c r="V516" s="17" t="s">
        <v>4065</v>
      </c>
      <c r="W516" s="17"/>
    </row>
    <row r="517" spans="1:23" ht="409.6">
      <c r="A517" s="153"/>
      <c r="B517" s="153"/>
      <c r="C517" s="17" t="s">
        <v>1685</v>
      </c>
      <c r="D517" s="18" t="s">
        <v>1550</v>
      </c>
      <c r="E517" s="17" t="s">
        <v>1685</v>
      </c>
      <c r="F517" s="18" t="s">
        <v>4056</v>
      </c>
      <c r="G517" s="17" t="s">
        <v>1685</v>
      </c>
      <c r="H517" s="18" t="s">
        <v>4066</v>
      </c>
      <c r="I517" s="17" t="s">
        <v>1685</v>
      </c>
      <c r="J517" s="18" t="s">
        <v>4067</v>
      </c>
      <c r="K517" s="17" t="s">
        <v>1685</v>
      </c>
      <c r="L517" s="18" t="s">
        <v>4046</v>
      </c>
      <c r="M517" s="17" t="s">
        <v>1685</v>
      </c>
      <c r="N517" s="18" t="s">
        <v>4068</v>
      </c>
      <c r="O517" s="17" t="s">
        <v>1685</v>
      </c>
      <c r="P517" s="18" t="s">
        <v>4059</v>
      </c>
      <c r="Q517" s="17" t="s">
        <v>1685</v>
      </c>
      <c r="R517" s="17" t="s">
        <v>4069</v>
      </c>
      <c r="S517" s="17" t="s">
        <v>1685</v>
      </c>
      <c r="T517" s="17" t="s">
        <v>17</v>
      </c>
      <c r="U517" s="17" t="s">
        <v>1685</v>
      </c>
      <c r="V517" s="17" t="s">
        <v>4065</v>
      </c>
      <c r="W517" s="17"/>
    </row>
    <row r="518" spans="1:23" ht="409.6">
      <c r="A518" s="153"/>
      <c r="B518" s="154"/>
      <c r="C518" s="17" t="s">
        <v>1688</v>
      </c>
      <c r="D518" s="18" t="s">
        <v>1550</v>
      </c>
      <c r="E518" s="17" t="s">
        <v>1688</v>
      </c>
      <c r="F518" s="18" t="s">
        <v>4056</v>
      </c>
      <c r="G518" s="17" t="s">
        <v>1688</v>
      </c>
      <c r="H518" s="18" t="s">
        <v>4066</v>
      </c>
      <c r="I518" s="17" t="s">
        <v>1688</v>
      </c>
      <c r="J518" s="18" t="s">
        <v>4067</v>
      </c>
      <c r="K518" s="17" t="s">
        <v>1688</v>
      </c>
      <c r="L518" s="18" t="s">
        <v>4070</v>
      </c>
      <c r="M518" s="17" t="s">
        <v>1688</v>
      </c>
      <c r="N518" s="18" t="s">
        <v>4071</v>
      </c>
      <c r="O518" s="17" t="s">
        <v>1688</v>
      </c>
      <c r="P518" s="18" t="s">
        <v>4072</v>
      </c>
      <c r="Q518" s="17" t="s">
        <v>1688</v>
      </c>
      <c r="R518" s="17" t="s">
        <v>4073</v>
      </c>
      <c r="S518" s="17" t="s">
        <v>1688</v>
      </c>
      <c r="T518" s="17" t="s">
        <v>17</v>
      </c>
      <c r="U518" s="17" t="s">
        <v>1688</v>
      </c>
      <c r="V518" s="17" t="s">
        <v>4074</v>
      </c>
      <c r="W518" s="17"/>
    </row>
    <row r="519" spans="1:23" ht="409.6">
      <c r="A519" s="153"/>
      <c r="B519" s="153" t="s">
        <v>4075</v>
      </c>
      <c r="C519" s="17" t="s">
        <v>1675</v>
      </c>
      <c r="D519" s="18" t="s">
        <v>4076</v>
      </c>
      <c r="E519" s="17" t="s">
        <v>1675</v>
      </c>
      <c r="F519" s="18" t="s">
        <v>4056</v>
      </c>
      <c r="G519" s="17" t="s">
        <v>1675</v>
      </c>
      <c r="H519" s="18" t="s">
        <v>29</v>
      </c>
      <c r="I519" s="17" t="s">
        <v>1675</v>
      </c>
      <c r="J519" s="18" t="s">
        <v>4057</v>
      </c>
      <c r="K519" s="17" t="s">
        <v>1675</v>
      </c>
      <c r="L519" s="18" t="s">
        <v>4058</v>
      </c>
      <c r="M519" s="17" t="s">
        <v>1675</v>
      </c>
      <c r="N519" s="21">
        <v>44393</v>
      </c>
      <c r="O519" s="17" t="s">
        <v>1675</v>
      </c>
      <c r="P519" s="18" t="s">
        <v>4059</v>
      </c>
      <c r="Q519" s="17" t="s">
        <v>1675</v>
      </c>
      <c r="R519" s="17" t="s">
        <v>4060</v>
      </c>
      <c r="S519" s="17" t="s">
        <v>1675</v>
      </c>
      <c r="T519" s="17" t="s">
        <v>17</v>
      </c>
      <c r="U519" s="17" t="s">
        <v>1675</v>
      </c>
      <c r="V519" s="17" t="s">
        <v>4061</v>
      </c>
      <c r="W519" s="17"/>
    </row>
    <row r="520" spans="1:23" ht="409.6">
      <c r="A520" s="153"/>
      <c r="B520" s="153"/>
      <c r="C520" s="17" t="s">
        <v>1681</v>
      </c>
      <c r="D520" s="18" t="s">
        <v>4076</v>
      </c>
      <c r="E520" s="17" t="s">
        <v>1681</v>
      </c>
      <c r="F520" s="18" t="s">
        <v>4056</v>
      </c>
      <c r="G520" s="17" t="s">
        <v>1681</v>
      </c>
      <c r="H520" s="18" t="s">
        <v>29</v>
      </c>
      <c r="I520" s="17" t="s">
        <v>1681</v>
      </c>
      <c r="J520" s="18" t="s">
        <v>4057</v>
      </c>
      <c r="K520" s="17" t="s">
        <v>1681</v>
      </c>
      <c r="L520" s="21" t="s">
        <v>4062</v>
      </c>
      <c r="M520" s="17" t="s">
        <v>1681</v>
      </c>
      <c r="N520" s="18" t="s">
        <v>4063</v>
      </c>
      <c r="O520" s="17" t="s">
        <v>1681</v>
      </c>
      <c r="P520" s="18" t="s">
        <v>4059</v>
      </c>
      <c r="Q520" s="17" t="s">
        <v>1681</v>
      </c>
      <c r="R520" s="17" t="s">
        <v>4077</v>
      </c>
      <c r="S520" s="17" t="s">
        <v>1681</v>
      </c>
      <c r="T520" s="17" t="s">
        <v>17</v>
      </c>
      <c r="U520" s="17" t="s">
        <v>1681</v>
      </c>
      <c r="V520" s="17" t="s">
        <v>4065</v>
      </c>
      <c r="W520" s="17"/>
    </row>
    <row r="521" spans="1:23" ht="409.6">
      <c r="A521" s="153"/>
      <c r="B521" s="153"/>
      <c r="C521" s="17" t="s">
        <v>1685</v>
      </c>
      <c r="D521" s="18" t="s">
        <v>1550</v>
      </c>
      <c r="E521" s="17" t="s">
        <v>1685</v>
      </c>
      <c r="F521" s="18" t="s">
        <v>4056</v>
      </c>
      <c r="G521" s="17" t="s">
        <v>1685</v>
      </c>
      <c r="H521" s="18" t="s">
        <v>4066</v>
      </c>
      <c r="I521" s="17" t="s">
        <v>1685</v>
      </c>
      <c r="J521" s="18" t="s">
        <v>1553</v>
      </c>
      <c r="K521" s="17" t="s">
        <v>1685</v>
      </c>
      <c r="L521" s="18" t="s">
        <v>4078</v>
      </c>
      <c r="M521" s="17" t="s">
        <v>1685</v>
      </c>
      <c r="N521" s="21">
        <v>44413</v>
      </c>
      <c r="O521" s="17" t="s">
        <v>1685</v>
      </c>
      <c r="P521" s="18" t="s">
        <v>4059</v>
      </c>
      <c r="Q521" s="17" t="s">
        <v>1685</v>
      </c>
      <c r="R521" s="17" t="s">
        <v>4079</v>
      </c>
      <c r="S521" s="17" t="s">
        <v>1685</v>
      </c>
      <c r="T521" s="17" t="s">
        <v>17</v>
      </c>
      <c r="U521" s="17" t="s">
        <v>1685</v>
      </c>
      <c r="V521" s="17" t="s">
        <v>4065</v>
      </c>
      <c r="W521" s="17"/>
    </row>
    <row r="522" spans="1:23" ht="409.6">
      <c r="A522" s="154"/>
      <c r="B522" s="154"/>
      <c r="C522" s="17" t="s">
        <v>1688</v>
      </c>
      <c r="D522" s="18" t="s">
        <v>1550</v>
      </c>
      <c r="E522" s="17" t="s">
        <v>1688</v>
      </c>
      <c r="F522" s="18" t="s">
        <v>4056</v>
      </c>
      <c r="G522" s="17" t="s">
        <v>1688</v>
      </c>
      <c r="H522" s="18" t="s">
        <v>4066</v>
      </c>
      <c r="I522" s="17" t="s">
        <v>1688</v>
      </c>
      <c r="J522" s="18" t="s">
        <v>1553</v>
      </c>
      <c r="K522" s="17" t="s">
        <v>1688</v>
      </c>
      <c r="L522" s="18" t="s">
        <v>4078</v>
      </c>
      <c r="M522" s="17" t="s">
        <v>1685</v>
      </c>
      <c r="N522" s="21" t="s">
        <v>4080</v>
      </c>
      <c r="O522" s="17" t="s">
        <v>1688</v>
      </c>
      <c r="P522" s="18" t="s">
        <v>4072</v>
      </c>
      <c r="Q522" s="17" t="s">
        <v>1688</v>
      </c>
      <c r="R522" s="17" t="s">
        <v>4079</v>
      </c>
      <c r="S522" s="17" t="s">
        <v>1688</v>
      </c>
      <c r="T522" s="17" t="s">
        <v>17</v>
      </c>
      <c r="U522" s="17" t="s">
        <v>1685</v>
      </c>
      <c r="V522" s="17" t="s">
        <v>4065</v>
      </c>
      <c r="W522" s="17"/>
    </row>
  </sheetData>
  <mergeCells count="289">
    <mergeCell ref="O1:P1"/>
    <mergeCell ref="Q1:R1"/>
    <mergeCell ref="S1:T1"/>
    <mergeCell ref="U1:V1"/>
    <mergeCell ref="A2:A5"/>
    <mergeCell ref="B2:B5"/>
    <mergeCell ref="C1:D1"/>
    <mergeCell ref="E1:F1"/>
    <mergeCell ref="G1:H1"/>
    <mergeCell ref="I1:J1"/>
    <mergeCell ref="K1:L1"/>
    <mergeCell ref="M1:N1"/>
    <mergeCell ref="W13:W14"/>
    <mergeCell ref="J17:J20"/>
    <mergeCell ref="N17:N20"/>
    <mergeCell ref="T17:T20"/>
    <mergeCell ref="A6:A9"/>
    <mergeCell ref="B6:B9"/>
    <mergeCell ref="V6:V9"/>
    <mergeCell ref="A10:A12"/>
    <mergeCell ref="B10:B12"/>
    <mergeCell ref="V10:V12"/>
    <mergeCell ref="A21:A24"/>
    <mergeCell ref="B21:B24"/>
    <mergeCell ref="V21:V24"/>
    <mergeCell ref="A25:A27"/>
    <mergeCell ref="B25:B27"/>
    <mergeCell ref="V25:V27"/>
    <mergeCell ref="A13:A20"/>
    <mergeCell ref="B13:B20"/>
    <mergeCell ref="H13:H14"/>
    <mergeCell ref="J13:J14"/>
    <mergeCell ref="R13:R14"/>
    <mergeCell ref="A38:A41"/>
    <mergeCell ref="B38:B41"/>
    <mergeCell ref="V38:V41"/>
    <mergeCell ref="A42:A45"/>
    <mergeCell ref="B42:B45"/>
    <mergeCell ref="V42:V45"/>
    <mergeCell ref="A28:A31"/>
    <mergeCell ref="B28:B31"/>
    <mergeCell ref="V28:V31"/>
    <mergeCell ref="A32:A33"/>
    <mergeCell ref="B32:B33"/>
    <mergeCell ref="A34:A37"/>
    <mergeCell ref="B34:B37"/>
    <mergeCell ref="V34:V37"/>
    <mergeCell ref="A56:A59"/>
    <mergeCell ref="B56:B59"/>
    <mergeCell ref="A60:A63"/>
    <mergeCell ref="B60:B63"/>
    <mergeCell ref="A64:A67"/>
    <mergeCell ref="B64:B67"/>
    <mergeCell ref="A46:A47"/>
    <mergeCell ref="B46:B47"/>
    <mergeCell ref="A48:A51"/>
    <mergeCell ref="B48:B51"/>
    <mergeCell ref="A52:A55"/>
    <mergeCell ref="B52:B55"/>
    <mergeCell ref="A80:A83"/>
    <mergeCell ref="B80:B83"/>
    <mergeCell ref="A84:A87"/>
    <mergeCell ref="B84:B87"/>
    <mergeCell ref="A88:A91"/>
    <mergeCell ref="B88:B91"/>
    <mergeCell ref="A68:A71"/>
    <mergeCell ref="B68:B71"/>
    <mergeCell ref="A72:A75"/>
    <mergeCell ref="B72:B75"/>
    <mergeCell ref="A76:A79"/>
    <mergeCell ref="B76:B79"/>
    <mergeCell ref="A104:A107"/>
    <mergeCell ref="B104:B107"/>
    <mergeCell ref="A108:A111"/>
    <mergeCell ref="B108:B111"/>
    <mergeCell ref="A112:A115"/>
    <mergeCell ref="B112:B115"/>
    <mergeCell ref="A92:A95"/>
    <mergeCell ref="B92:B95"/>
    <mergeCell ref="A96:A99"/>
    <mergeCell ref="B96:B99"/>
    <mergeCell ref="A100:A103"/>
    <mergeCell ref="B100:B103"/>
    <mergeCell ref="A128:A131"/>
    <mergeCell ref="B128:B131"/>
    <mergeCell ref="A132:A135"/>
    <mergeCell ref="B132:B135"/>
    <mergeCell ref="A136:A138"/>
    <mergeCell ref="B136:B138"/>
    <mergeCell ref="A116:A119"/>
    <mergeCell ref="B116:B119"/>
    <mergeCell ref="A120:A123"/>
    <mergeCell ref="B120:B123"/>
    <mergeCell ref="A124:A127"/>
    <mergeCell ref="B124:B127"/>
    <mergeCell ref="A151:A154"/>
    <mergeCell ref="B151:B154"/>
    <mergeCell ref="A155:A158"/>
    <mergeCell ref="B155:B158"/>
    <mergeCell ref="A159:A162"/>
    <mergeCell ref="B159:B162"/>
    <mergeCell ref="A139:A142"/>
    <mergeCell ref="B139:B142"/>
    <mergeCell ref="A143:A146"/>
    <mergeCell ref="B143:B146"/>
    <mergeCell ref="A147:A150"/>
    <mergeCell ref="B147:B150"/>
    <mergeCell ref="A175:A178"/>
    <mergeCell ref="B175:B178"/>
    <mergeCell ref="A179:A182"/>
    <mergeCell ref="B179:B182"/>
    <mergeCell ref="A183:A186"/>
    <mergeCell ref="B183:B186"/>
    <mergeCell ref="A163:A166"/>
    <mergeCell ref="B163:B166"/>
    <mergeCell ref="A167:A170"/>
    <mergeCell ref="B167:B170"/>
    <mergeCell ref="A171:A174"/>
    <mergeCell ref="B171:B174"/>
    <mergeCell ref="A199:A202"/>
    <mergeCell ref="B199:B202"/>
    <mergeCell ref="A203:A206"/>
    <mergeCell ref="B203:B206"/>
    <mergeCell ref="A207:A210"/>
    <mergeCell ref="B207:B210"/>
    <mergeCell ref="A187:A190"/>
    <mergeCell ref="B187:B190"/>
    <mergeCell ref="A191:A194"/>
    <mergeCell ref="B191:B194"/>
    <mergeCell ref="A195:A198"/>
    <mergeCell ref="B195:B198"/>
    <mergeCell ref="A223:A226"/>
    <mergeCell ref="B223:B226"/>
    <mergeCell ref="A227:A230"/>
    <mergeCell ref="B227:B230"/>
    <mergeCell ref="A231:A234"/>
    <mergeCell ref="B231:B234"/>
    <mergeCell ref="A211:A214"/>
    <mergeCell ref="B211:B214"/>
    <mergeCell ref="A215:A218"/>
    <mergeCell ref="B215:B218"/>
    <mergeCell ref="A219:A222"/>
    <mergeCell ref="B219:B222"/>
    <mergeCell ref="A243:A245"/>
    <mergeCell ref="B243:B245"/>
    <mergeCell ref="A246:A249"/>
    <mergeCell ref="B246:B249"/>
    <mergeCell ref="A250:A253"/>
    <mergeCell ref="B250:B253"/>
    <mergeCell ref="A235:A236"/>
    <mergeCell ref="B235:B236"/>
    <mergeCell ref="A237:A240"/>
    <mergeCell ref="B237:B240"/>
    <mergeCell ref="A241:A242"/>
    <mergeCell ref="B241:B242"/>
    <mergeCell ref="A266:A269"/>
    <mergeCell ref="B266:B269"/>
    <mergeCell ref="A270:A273"/>
    <mergeCell ref="B270:B273"/>
    <mergeCell ref="A274:A277"/>
    <mergeCell ref="B274:B277"/>
    <mergeCell ref="A254:A257"/>
    <mergeCell ref="B254:B257"/>
    <mergeCell ref="A258:A261"/>
    <mergeCell ref="B258:B261"/>
    <mergeCell ref="A262:A265"/>
    <mergeCell ref="B262:B265"/>
    <mergeCell ref="A290:A293"/>
    <mergeCell ref="B290:B293"/>
    <mergeCell ref="A294:A297"/>
    <mergeCell ref="B294:B297"/>
    <mergeCell ref="A298:A301"/>
    <mergeCell ref="B298:B301"/>
    <mergeCell ref="A278:A281"/>
    <mergeCell ref="B278:B281"/>
    <mergeCell ref="A282:A285"/>
    <mergeCell ref="B282:B285"/>
    <mergeCell ref="A286:A289"/>
    <mergeCell ref="B286:B289"/>
    <mergeCell ref="A312:A315"/>
    <mergeCell ref="B312:B315"/>
    <mergeCell ref="A316:A319"/>
    <mergeCell ref="B316:B319"/>
    <mergeCell ref="A320:A323"/>
    <mergeCell ref="B320:B323"/>
    <mergeCell ref="A302:A303"/>
    <mergeCell ref="B302:B303"/>
    <mergeCell ref="A304:A307"/>
    <mergeCell ref="B304:B307"/>
    <mergeCell ref="A308:A311"/>
    <mergeCell ref="B308:B311"/>
    <mergeCell ref="A335:A338"/>
    <mergeCell ref="B335:B338"/>
    <mergeCell ref="A339:A342"/>
    <mergeCell ref="B339:B342"/>
    <mergeCell ref="A343:A344"/>
    <mergeCell ref="B343:B344"/>
    <mergeCell ref="A324:A327"/>
    <mergeCell ref="B324:B327"/>
    <mergeCell ref="A328:A332"/>
    <mergeCell ref="B328:B332"/>
    <mergeCell ref="A333:A334"/>
    <mergeCell ref="B333:B334"/>
    <mergeCell ref="A357:A360"/>
    <mergeCell ref="B357:B360"/>
    <mergeCell ref="A361:A364"/>
    <mergeCell ref="B361:B364"/>
    <mergeCell ref="A365:A368"/>
    <mergeCell ref="B365:B368"/>
    <mergeCell ref="A345:A348"/>
    <mergeCell ref="B345:B348"/>
    <mergeCell ref="A349:A352"/>
    <mergeCell ref="B349:B352"/>
    <mergeCell ref="A353:A356"/>
    <mergeCell ref="B353:B356"/>
    <mergeCell ref="A380:A383"/>
    <mergeCell ref="B380:B383"/>
    <mergeCell ref="A384:A387"/>
    <mergeCell ref="B384:B387"/>
    <mergeCell ref="A388:A391"/>
    <mergeCell ref="B388:B391"/>
    <mergeCell ref="A369:A372"/>
    <mergeCell ref="B369:B372"/>
    <mergeCell ref="A373:A376"/>
    <mergeCell ref="B373:B376"/>
    <mergeCell ref="A377:A379"/>
    <mergeCell ref="B377:B379"/>
    <mergeCell ref="A404:A407"/>
    <mergeCell ref="B404:B407"/>
    <mergeCell ref="A408:A411"/>
    <mergeCell ref="B408:B411"/>
    <mergeCell ref="A412:A415"/>
    <mergeCell ref="B412:B415"/>
    <mergeCell ref="A392:A395"/>
    <mergeCell ref="B392:B395"/>
    <mergeCell ref="A396:A399"/>
    <mergeCell ref="B396:B399"/>
    <mergeCell ref="A400:A403"/>
    <mergeCell ref="B400:B403"/>
    <mergeCell ref="A428:A431"/>
    <mergeCell ref="B428:B431"/>
    <mergeCell ref="A432:A435"/>
    <mergeCell ref="B432:B435"/>
    <mergeCell ref="A436:A439"/>
    <mergeCell ref="B436:B439"/>
    <mergeCell ref="A416:A419"/>
    <mergeCell ref="B416:B419"/>
    <mergeCell ref="A420:A423"/>
    <mergeCell ref="B420:B423"/>
    <mergeCell ref="A424:A427"/>
    <mergeCell ref="B424:B427"/>
    <mergeCell ref="A452:A455"/>
    <mergeCell ref="B452:B455"/>
    <mergeCell ref="A456:A459"/>
    <mergeCell ref="B456:B459"/>
    <mergeCell ref="A460:A463"/>
    <mergeCell ref="B460:B463"/>
    <mergeCell ref="A440:A443"/>
    <mergeCell ref="B440:B443"/>
    <mergeCell ref="A444:A447"/>
    <mergeCell ref="B444:B447"/>
    <mergeCell ref="A448:A451"/>
    <mergeCell ref="B448:B451"/>
    <mergeCell ref="A474:A476"/>
    <mergeCell ref="B474:B476"/>
    <mergeCell ref="A477:A480"/>
    <mergeCell ref="B477:B480"/>
    <mergeCell ref="A481:A483"/>
    <mergeCell ref="B481:B483"/>
    <mergeCell ref="A464:A466"/>
    <mergeCell ref="B464:B466"/>
    <mergeCell ref="A467:A469"/>
    <mergeCell ref="B467:B469"/>
    <mergeCell ref="A470:A473"/>
    <mergeCell ref="B470:B473"/>
    <mergeCell ref="A507:A514"/>
    <mergeCell ref="B507:B510"/>
    <mergeCell ref="B511:B514"/>
    <mergeCell ref="A515:A522"/>
    <mergeCell ref="B515:B518"/>
    <mergeCell ref="B519:B522"/>
    <mergeCell ref="A484:A487"/>
    <mergeCell ref="B484:B487"/>
    <mergeCell ref="A488:A506"/>
    <mergeCell ref="B488:B491"/>
    <mergeCell ref="B492:B495"/>
    <mergeCell ref="B496:B499"/>
    <mergeCell ref="B500:B503"/>
    <mergeCell ref="B504:B506"/>
  </mergeCells>
  <phoneticPr fontId="5" type="noConversion"/>
  <dataValidations count="3">
    <dataValidation type="list" allowBlank="1" showInputMessage="1" showErrorMessage="1" sqref="H153:H156 H159:H170 H173:H202" xr:uid="{A1F406F1-F304-43FA-AA53-4192C8A0552C}">
      <formula1>"线下,线上,未说明"</formula1>
    </dataValidation>
    <dataValidation type="list" allowBlank="1" showInputMessage="1" showErrorMessage="1" promptTitle="线下,未说明,线上" sqref="H152" xr:uid="{77027CDC-BFDD-48AA-8801-05125F66695F}">
      <formula1>"线下,线上,未说明"</formula1>
    </dataValidation>
    <dataValidation type="list" allowBlank="1" showInputMessage="1" showErrorMessage="1" sqref="D151 D156:D185 D187:D193 D195:D202" xr:uid="{A361F1D8-B9BC-4212-9C33-84FE208DD46A}">
      <formula1>"学习成绩优秀,学"</formula1>
    </dataValidation>
  </dataValidations>
  <hyperlinks>
    <hyperlink ref="N298" r:id="rId1" xr:uid="{B5262415-E402-4F1C-AD62-62BB7DFFA7AE}"/>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2D7B-B37C-4424-92CF-65F3AC2FDC95}">
  <dimension ref="A1"/>
  <sheetViews>
    <sheetView workbookViewId="0"/>
  </sheetViews>
  <sheetFormatPr defaultRowHeight="15"/>
  <sheetData/>
  <phoneticPr fontId="5" type="noConversion"/>
  <pageMargins left="0.7" right="0.7" top="0.75" bottom="0.75" header="0.3" footer="0.3"/>
</worksheet>
</file>

<file path=docProps/app.xml><?xml version="1.0" encoding="utf-8"?>
<ns0:Properties xmlns:ns0="http://schemas.openxmlformats.org/officeDocument/2006/extended-properties" xmlns:ns1="http://schemas.openxmlformats.org/officeDocument/2006/docPropsVTypes">
  <ns0:Application>Microsoft Excel</ns0:Application>
  <ns0:DocSecurity>0</ns0:DocSecurity>
  <ns0:ScaleCrop>false</ns0:ScaleCrop>
  <ns0:HeadingPairs>
    <ns1:vector size="2" baseType="variant">
      <ns1:variant>
        <ns1:lpstr>工作表</ns1:lpstr>
      </ns1:variant>
      <ns1:variant>
        <ns1:i4>6</ns1:i4>
      </ns1:variant>
    </ns1:vector>
  </ns0:HeadingPairs>
  <ns0:TitlesOfParts>
    <ns1:vector size="6" baseType="lpstr">
      <ns1:lpstr>从医行第8期夏令营册夏令营部分（2025年）</ns1:lpstr>
      <ns1:lpstr>从医行第7期夏令营手册夏令营部分（2024年）</ns1:lpstr>
      <ns1:lpstr>从医行第6期夏令营手册夏令营部分（2023年）</ns1:lpstr>
      <ns1:lpstr>从医行第5期夏令营手册夏令营部分（2022年）</ns1:lpstr>
      <ns1:lpstr>从医行第2-4期夏令营手册（2018-2021年）</ns1:lpstr>
      <ns1:lpstr>Sheet1</ns1:lpstr>
    </ns1:vector>
  </ns0:TitlesOfParts>
  <ns0:LinksUpToDate>false</ns0:LinksUpToDate>
  <ns0:SharedDoc>false</ns0:SharedDoc>
  <ns0:HyperlinksChanged>false</ns0:HyperlinksChanged>
  <ns0:AppVersion>16.0300</ns0:AppVersion>
</ns0:Properties>
</file>

<file path=docProps/core.xml><?xml version="1.0" encoding="utf-8"?>
<cp:coreProperties xmlns:cp="http://schemas.openxmlformats.org/package/2006/metadata/core-properties" xmlns:dc="http://purl.org/dc/elements/1.1/" xmlns:dcterms="http://purl.org/dc/terms/" xmlns:dcmitype="http://purl.org/dc/terms/" xmlns:xsi="http://www.w3.org/2001/XMLSchema-instance">
  <dc:creator/>
  <cp:lastModifiedBy/>
  <dcterms:created xsi:type="dcterms:W3CDTF">2000-01-01T00:00:00Z</dcterms:created>
  <dcterms:modified xsi:type="dcterms:W3CDTF">2000-01-01T00:00:00Z</dcterms:modified>
</cp:coreProperties>
</file>

<file path=docProps/custom.xml><?xml version="1.0" encoding="utf-8"?>
<Properties xmlns="http://schemas.openxmlformats.org/officeDocument/2006/custom-properties" xmlns:vt="http://schemas.openxmlformats.org/officeDocument/2006/docPropsVTypes"/>
</file>